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jpeers/Documents/Chapters - intro and discussion etc/supplementary/"/>
    </mc:Choice>
  </mc:AlternateContent>
  <xr:revisionPtr revIDLastSave="0" documentId="13_ncr:1_{A5A22244-FE70-6045-A07F-F7EFDA3A833F}" xr6:coauthVersionLast="47" xr6:coauthVersionMax="47" xr10:uidLastSave="{00000000-0000-0000-0000-000000000000}"/>
  <bookViews>
    <workbookView xWindow="32120" yWindow="-380" windowWidth="28800" windowHeight="16040" xr2:uid="{55EDBE15-95FE-5746-B169-2353159E1E33}"/>
  </bookViews>
  <sheets>
    <sheet name="Contents" sheetId="22" r:id="rId1"/>
    <sheet name="Table S1" sheetId="3" r:id="rId2"/>
    <sheet name="Table S2" sheetId="4" r:id="rId3"/>
    <sheet name="Table S3" sheetId="5" r:id="rId4"/>
    <sheet name="Table S4" sheetId="6" r:id="rId5"/>
    <sheet name="Table S5" sheetId="13" r:id="rId6"/>
    <sheet name="Table S6" sheetId="7" r:id="rId7"/>
    <sheet name="Table S7" sheetId="8" r:id="rId8"/>
    <sheet name="Table S8" sheetId="20" r:id="rId9"/>
    <sheet name="Table S9" sheetId="17" r:id="rId10"/>
    <sheet name="Table S10" sheetId="21" r:id="rId11"/>
  </sheets>
  <definedNames>
    <definedName name="_xlnm._FilterDatabase" localSheetId="10" hidden="1">'Table S10'!$A$6:$C$95</definedName>
    <definedName name="_xlnm._FilterDatabase" localSheetId="4" hidden="1">'Table S4'!$A$7:$D$5548</definedName>
    <definedName name="_xlnm._FilterDatabase" localSheetId="5" hidden="1">'Table S5'!$A$7:$D$159</definedName>
    <definedName name="_xlnm._FilterDatabase" localSheetId="6" hidden="1">'Table S6'!$K$6:$K$749</definedName>
    <definedName name="_xlnm._FilterDatabase" localSheetId="7" hidden="1">'Table S7'!$K$6:$K$1201</definedName>
    <definedName name="_xlnm._FilterDatabase" localSheetId="9" hidden="1">'Table S9'!$A$6:$K$305</definedName>
    <definedName name="cut_before_after_stop_identity.table" localSheetId="9">'Table S9'!$G$6:$J$305</definedName>
    <definedName name="stop_codon_filtering.table_1" localSheetId="9">'Table S9'!$A$6:$D$305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6" l="1"/>
  <c r="G8" i="6"/>
  <c r="G9" i="6"/>
  <c r="G10" i="6"/>
  <c r="G11" i="6"/>
  <c r="D220" i="17"/>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7" i="8"/>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 i="7"/>
  <c r="K8" i="7"/>
  <c r="D8" i="5"/>
  <c r="D9" i="5"/>
  <c r="D10" i="5"/>
  <c r="D11" i="5"/>
  <c r="D12" i="5"/>
  <c r="D13" i="5"/>
  <c r="D14" i="5"/>
  <c r="D15" i="5"/>
  <c r="D16" i="5"/>
  <c r="D17" i="5"/>
  <c r="D18" i="5"/>
  <c r="D7" i="5"/>
  <c r="D19" i="5" s="1"/>
  <c r="E8" i="5"/>
  <c r="E9" i="5"/>
  <c r="E10" i="5"/>
  <c r="E11" i="5"/>
  <c r="E12" i="5"/>
  <c r="E13" i="5"/>
  <c r="E14" i="5"/>
  <c r="E15" i="5"/>
  <c r="E16" i="5"/>
  <c r="E17" i="5"/>
  <c r="E18" i="5"/>
  <c r="E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E09E28-2955-5945-ACF3-F787F81698C0}" name="cut_before_after_stop_identity" type="6" refreshedVersion="8" background="1" saveData="1">
    <textPr sourceFile="/Volumes/hpc-home/cut_before_after_stop_identity.table">
      <textFields count="5">
        <textField/>
        <textField/>
        <textField/>
        <textField/>
        <textField/>
      </textFields>
    </textPr>
  </connection>
  <connection id="2" xr16:uid="{63F4691A-DC3F-9C47-A396-67D2F84C5878}" name="stop_codon_filtering" type="6" refreshedVersion="8" background="1" saveData="1">
    <textPr sourceFile="/Volumes/Projects-Scratch/f/f91aebc0-7e54-444d-b5f7-af45ebaf65c0/notung/acinonyxjubatus/loss1plus/transcriptinfo_pumaref/stop_codon_filtering.table" space="1" consecutive="1">
      <textFields count="8">
        <textField/>
        <textField/>
        <textField/>
        <textField/>
        <textField/>
        <textField/>
        <textField/>
        <textField/>
      </textFields>
    </textPr>
  </connection>
</connections>
</file>

<file path=xl/sharedStrings.xml><?xml version="1.0" encoding="utf-8"?>
<sst xmlns="http://schemas.openxmlformats.org/spreadsheetml/2006/main" count="33380" uniqueCount="15163">
  <si>
    <t>Gene ID</t>
  </si>
  <si>
    <t>ENST00000495827</t>
  </si>
  <si>
    <t>ENST00000295760</t>
  </si>
  <si>
    <t>ENST00000290524</t>
  </si>
  <si>
    <t>ENST00000296550</t>
  </si>
  <si>
    <t>ENST00000246069</t>
  </si>
  <si>
    <t>ENST00000373306</t>
  </si>
  <si>
    <t>ENST00000381337</t>
  </si>
  <si>
    <t>ENST00000306708</t>
  </si>
  <si>
    <t>ENST00000381920</t>
  </si>
  <si>
    <t>ENST00000261488</t>
  </si>
  <si>
    <t>ENST00000322349</t>
  </si>
  <si>
    <t>ENST00000465127</t>
  </si>
  <si>
    <t>ENST00000278618</t>
  </si>
  <si>
    <t>ENST00000338957</t>
  </si>
  <si>
    <t>ENST00000562522</t>
  </si>
  <si>
    <t>ENST00000326771</t>
  </si>
  <si>
    <t>ENST00000377765</t>
  </si>
  <si>
    <t>ENST00000395952</t>
  </si>
  <si>
    <t>ENST00000380615</t>
  </si>
  <si>
    <t>ENST00000339872</t>
  </si>
  <si>
    <t>ENST00000223642</t>
  </si>
  <si>
    <t>ENST00000369124</t>
  </si>
  <si>
    <t>ENST00000379643</t>
  </si>
  <si>
    <t>ENST00000235329</t>
  </si>
  <si>
    <t>Y</t>
  </si>
  <si>
    <t>ENST00000204517</t>
  </si>
  <si>
    <t>ENST00000219322</t>
  </si>
  <si>
    <t>ENST00000226225</t>
  </si>
  <si>
    <t>ENST00000256001</t>
  </si>
  <si>
    <t>ENST00000262207</t>
  </si>
  <si>
    <t>ENST00000262794</t>
  </si>
  <si>
    <t>ENST00000265036</t>
  </si>
  <si>
    <t>ENST00000273359</t>
  </si>
  <si>
    <t>ENST00000274140</t>
  </si>
  <si>
    <t>ENST00000281047</t>
  </si>
  <si>
    <t>ENST00000298281</t>
  </si>
  <si>
    <t>ENST00000306730</t>
  </si>
  <si>
    <t>ENST00000307959</t>
  </si>
  <si>
    <t>ENST00000311798</t>
  </si>
  <si>
    <t>ENST00000327581</t>
  </si>
  <si>
    <t>ENST00000327906</t>
  </si>
  <si>
    <t>ENST00000328345</t>
  </si>
  <si>
    <t>ENST00000329106</t>
  </si>
  <si>
    <t>ENST00000334744</t>
  </si>
  <si>
    <t>ENST00000337623</t>
  </si>
  <si>
    <t>ENST00000356090</t>
  </si>
  <si>
    <t>ENST00000356517</t>
  </si>
  <si>
    <t>ENST00000361005</t>
  </si>
  <si>
    <t>ENST00000361682</t>
  </si>
  <si>
    <t>ENST00000378982</t>
  </si>
  <si>
    <t>ENST00000400549</t>
  </si>
  <si>
    <t>ENST00000420323</t>
  </si>
  <si>
    <t>ENST00000441448</t>
  </si>
  <si>
    <t>ENST00000450049</t>
  </si>
  <si>
    <t>ENST00000541260</t>
  </si>
  <si>
    <t>ENST00000564100</t>
  </si>
  <si>
    <t>ENST00000583666</t>
  </si>
  <si>
    <t>ENST00000585672</t>
  </si>
  <si>
    <t>ENST00000594664</t>
  </si>
  <si>
    <t>ENST00000610664</t>
  </si>
  <si>
    <t>ENST00000640769</t>
  </si>
  <si>
    <t>ENST00000674128</t>
  </si>
  <si>
    <t>ENST00000257966</t>
  </si>
  <si>
    <t>ENST00000372343</t>
  </si>
  <si>
    <t>ENST00000411809</t>
  </si>
  <si>
    <t>ENST00000438375</t>
  </si>
  <si>
    <t>Duplicate</t>
  </si>
  <si>
    <t>Puma</t>
  </si>
  <si>
    <t xml:space="preserve"> </t>
  </si>
  <si>
    <t>N</t>
  </si>
  <si>
    <t>Species</t>
  </si>
  <si>
    <t>Common name</t>
  </si>
  <si>
    <t>Assembly</t>
  </si>
  <si>
    <t>Reference</t>
  </si>
  <si>
    <t>Acinonyx jubatus</t>
  </si>
  <si>
    <t>Cheetah</t>
  </si>
  <si>
    <t>aciJub1</t>
  </si>
  <si>
    <t>Canis lupus familiaris</t>
  </si>
  <si>
    <t>Dog</t>
  </si>
  <si>
    <t>Felis catus</t>
  </si>
  <si>
    <t>Domestic cat</t>
  </si>
  <si>
    <t>Felis nigripes</t>
  </si>
  <si>
    <t>Black-footed cat</t>
  </si>
  <si>
    <t>FelNig_v1_BIUU</t>
  </si>
  <si>
    <t>Homo sapiens</t>
  </si>
  <si>
    <t>Human</t>
  </si>
  <si>
    <t>GRCh38, Release 99</t>
  </si>
  <si>
    <t>Mus musculus</t>
  </si>
  <si>
    <t>Mouse</t>
  </si>
  <si>
    <t>GRCm38, Release 99</t>
  </si>
  <si>
    <t>Panthera leo</t>
  </si>
  <si>
    <t>Lion</t>
  </si>
  <si>
    <t>PanLeo1.0</t>
  </si>
  <si>
    <t>Panthera onca</t>
  </si>
  <si>
    <t>Jaguar</t>
  </si>
  <si>
    <t>PanOnc_v1_BIUU</t>
  </si>
  <si>
    <t>Panthera pardus</t>
  </si>
  <si>
    <t>Leopard</t>
  </si>
  <si>
    <t>PanPar1.0</t>
  </si>
  <si>
    <t>Panthera tigris</t>
  </si>
  <si>
    <t>Tiger</t>
  </si>
  <si>
    <t>PanTig1.0</t>
  </si>
  <si>
    <t>Puma concolor</t>
  </si>
  <si>
    <t>PumCon1.0</t>
  </si>
  <si>
    <t>Sus scrofa</t>
  </si>
  <si>
    <t>Pig</t>
  </si>
  <si>
    <t>Sscrofa10.2</t>
  </si>
  <si>
    <r>
      <t>Dobrynin, P. et al. (2015) ‘Genomic legacy of the African cheetah, Acinonyx jubatus’,</t>
    </r>
    <r>
      <rPr>
        <i/>
        <sz val="12"/>
        <color theme="1"/>
        <rFont val="Calibri"/>
        <family val="2"/>
        <scheme val="minor"/>
      </rPr>
      <t xml:space="preserve"> Genome biology</t>
    </r>
    <r>
      <rPr>
        <sz val="12"/>
        <color theme="1"/>
        <rFont val="Calibri"/>
        <family val="2"/>
        <scheme val="minor"/>
      </rPr>
      <t>, 16, p. 277.</t>
    </r>
  </si>
  <si>
    <r>
      <t>Hoeppner, M.P. et al. (2014) ‘An improved canine genome and a comprehensive catalogue of coding genes and non-coding transcripts’,</t>
    </r>
    <r>
      <rPr>
        <i/>
        <sz val="12"/>
        <color theme="1"/>
        <rFont val="Calibri"/>
        <family val="2"/>
        <scheme val="minor"/>
      </rPr>
      <t xml:space="preserve"> PloS one,</t>
    </r>
    <r>
      <rPr>
        <sz val="12"/>
        <color theme="1"/>
        <rFont val="Calibri"/>
        <family val="2"/>
        <scheme val="minor"/>
      </rPr>
      <t xml:space="preserve"> 9(3), p. e91172.</t>
    </r>
  </si>
  <si>
    <r>
      <t xml:space="preserve">Li, G. et al. (2016) ‘A High-Resolution SNP Array-Based Linkage Map Anchors a New Domestic Cat Draft Genome Assembly and Provides Detailed Patterns of Recombination’, </t>
    </r>
    <r>
      <rPr>
        <i/>
        <sz val="12"/>
        <color theme="1"/>
        <rFont val="Calibri"/>
        <family val="2"/>
        <scheme val="minor"/>
      </rPr>
      <t>G3</t>
    </r>
    <r>
      <rPr>
        <sz val="12"/>
        <color theme="1"/>
        <rFont val="Calibri"/>
        <family val="2"/>
        <scheme val="minor"/>
      </rPr>
      <t xml:space="preserve"> , 6(6), pp. 1607–1616.</t>
    </r>
  </si>
  <si>
    <t>Zoonomia Consortium (2020) ‘A comparative genomics multitool for scientific discovery and conservation’, Nature, 587(7833), pp. 240–245.</t>
  </si>
  <si>
    <t>Cunningham, F. et al. (2022) ‘Ensembl 2022’, Nucleic acids research, 50(D1), pp. D988–D995.</t>
  </si>
  <si>
    <t>Armstrong, E.E. et al. (2020) ‘Long live the king: chromosome-level assembly of the lion (Panthera leo) using linked-read, Hi-C, and long-read data’, BMC biology, 18(1), p. 3.</t>
  </si>
  <si>
    <t>Kim, S. et al. (2016) ‘Comparison of carnivore, omnivore, and herbivore mammalian genomes with a new leopard assembly’, Genome biology, 17(1), p. 211.</t>
  </si>
  <si>
    <t>Cho, Y.S. et al. (2013) ‘The tiger genome and comparative analysis with lion and snow leopard genomes’, Nature communications, 4, p. 2433.</t>
  </si>
  <si>
    <t>Groenen, M.A.M. et al. (2012) ‘Analyses of pig genomes provide insight into porcine demography and evolution’, Nature, 491(7424), pp. 393–398.</t>
  </si>
  <si>
    <t>Saremi, N.F. et al. (2019) ‘Puma genomes from North and South America provide insights into the genomic consequences of inbreeding’, Nature communications, 10(1), p. 4769.</t>
  </si>
  <si>
    <t>GenBank</t>
  </si>
  <si>
    <t>RefSeq</t>
  </si>
  <si>
    <t>GCA_001443585.1</t>
  </si>
  <si>
    <t>VMU_Ajub_asm_v1.0</t>
  </si>
  <si>
    <t>GCA_027475565.2</t>
  </si>
  <si>
    <t>GCF_001443585.1</t>
  </si>
  <si>
    <t>GCF_027475565.1</t>
  </si>
  <si>
    <t>Winter, S. et al. (2023) ‘A chromosome-scale high-contiguity genome assembly of the cheetah (Acinonyx jubatus)’, The Journal of heredity [Preprint]. Available at: https://doi.org/10.1093/jhered/esad015.</t>
  </si>
  <si>
    <t>GCF_000002285.3</t>
  </si>
  <si>
    <t>GCA_000002285.2</t>
  </si>
  <si>
    <t>CanFam3.1/canFam3</t>
  </si>
  <si>
    <t>Felis_catus_8.0/felCat8</t>
  </si>
  <si>
    <t>GCF_000181335.2</t>
  </si>
  <si>
    <t>GCA_000181335.3</t>
  </si>
  <si>
    <t>GCA_004023925.1</t>
  </si>
  <si>
    <t>N/A</t>
  </si>
  <si>
    <t>GCA_000001405.15</t>
  </si>
  <si>
    <t>GCF_000001405.26</t>
  </si>
  <si>
    <t>GCA_000001635.2</t>
  </si>
  <si>
    <t>GCF_000001635.20</t>
  </si>
  <si>
    <t>GCA_008795835.1</t>
  </si>
  <si>
    <t>GCA_004023805.1</t>
  </si>
  <si>
    <t>GCF_001857705.1</t>
  </si>
  <si>
    <t>GCA_001857705.1</t>
  </si>
  <si>
    <t>GCF_000464555.1</t>
  </si>
  <si>
    <t>GCA_000464555.1</t>
  </si>
  <si>
    <t>GCF_003327715.1</t>
  </si>
  <si>
    <t>GCA_003327715.1</t>
  </si>
  <si>
    <t>GCF_000003025.5</t>
  </si>
  <si>
    <t>GCA_000003025.4</t>
  </si>
  <si>
    <t>Tool</t>
  </si>
  <si>
    <t>Version</t>
  </si>
  <si>
    <t>Flags</t>
  </si>
  <si>
    <t>"-bSq 25 -f 2 -F 8"</t>
  </si>
  <si>
    <t>samtools</t>
  </si>
  <si>
    <t>v1.15</t>
  </si>
  <si>
    <t>Task</t>
  </si>
  <si>
    <t>Filtering mappings</t>
  </si>
  <si>
    <t>Joint genotyping</t>
  </si>
  <si>
    <t>bcftools</t>
  </si>
  <si>
    <t>Software</t>
  </si>
  <si>
    <t>view</t>
  </si>
  <si>
    <t>mpileup</t>
  </si>
  <si>
    <t>v1.10.2</t>
  </si>
  <si>
    <t>"-a AD,ADF,ADR -q 30 -Q 30"</t>
  </si>
  <si>
    <t>Calling multi-allelic variants</t>
  </si>
  <si>
    <t>call</t>
  </si>
  <si>
    <t>"-mv -f GQ"</t>
  </si>
  <si>
    <t>Filtering variants</t>
  </si>
  <si>
    <t>filter</t>
  </si>
  <si>
    <t>"-g 3 -G 3 -e'DP&lt;12 || DP&gt;106 || F_MISSING&gt;0.5 || QUAL&lt;30'"</t>
  </si>
  <si>
    <t>Extracting SNPs</t>
  </si>
  <si>
    <t>"--min-ac 3:minor -e'ALT="*" || type!="snp" || F_MISSING &gt;0.5'"</t>
  </si>
  <si>
    <r>
      <t xml:space="preserve">Danecek, P. </t>
    </r>
    <r>
      <rPr>
        <i/>
        <sz val="11"/>
        <color rgb="FF000000"/>
        <rFont val="Arial"/>
        <family val="2"/>
      </rPr>
      <t>et al.</t>
    </r>
    <r>
      <rPr>
        <sz val="11"/>
        <color rgb="FF000000"/>
        <rFont val="Arial"/>
        <family val="2"/>
      </rPr>
      <t xml:space="preserve"> (2021) ‘Twelve years of SAMtools and BCFtools’, </t>
    </r>
    <r>
      <rPr>
        <i/>
        <sz val="11"/>
        <color rgb="FF000000"/>
        <rFont val="Arial"/>
        <family val="2"/>
      </rPr>
      <t>GigaScience</t>
    </r>
    <r>
      <rPr>
        <sz val="11"/>
        <color rgb="FF000000"/>
        <rFont val="Arial"/>
        <family val="2"/>
      </rPr>
      <t>, 10(2). Available at: https://doi.org/10.1093/gigascience/giab008.</t>
    </r>
  </si>
  <si>
    <t>""</t>
  </si>
  <si>
    <t>Total CDS sequences</t>
  </si>
  <si>
    <t>Sequences that do not follow coding logic (%)</t>
  </si>
  <si>
    <t>Genes (longest transcript per gene)</t>
  </si>
  <si>
    <t>Black-footed  cat</t>
  </si>
  <si>
    <t>Total</t>
  </si>
  <si>
    <t>Transcripts filtered out by GSTF step one</t>
  </si>
  <si>
    <t>Transcripts remaining after GSTF step one</t>
  </si>
  <si>
    <t>Gene_tree_ID</t>
  </si>
  <si>
    <t>Gene_ID</t>
  </si>
  <si>
    <t>Transcript_ID</t>
  </si>
  <si>
    <t>Status</t>
  </si>
  <si>
    <t>0_1</t>
  </si>
  <si>
    <t>ENSG00000179051</t>
  </si>
  <si>
    <t>ENST00000375433_Acinonyx_jubatus_zoonomia</t>
  </si>
  <si>
    <t>Lost_before_GSTF</t>
  </si>
  <si>
    <t>1000_2</t>
  </si>
  <si>
    <t>ENSG00000147573</t>
  </si>
  <si>
    <t>NA</t>
  </si>
  <si>
    <t>In_current_file</t>
  </si>
  <si>
    <t>10003_1</t>
  </si>
  <si>
    <t>ENSG00000139438</t>
  </si>
  <si>
    <t>ENST00000358906_Acinonyx_jubatus_zoonomia</t>
  </si>
  <si>
    <t>Discarded_by_GSTF</t>
  </si>
  <si>
    <t>10011_1</t>
  </si>
  <si>
    <t>ENSG00000188611</t>
  </si>
  <si>
    <t>ENSG00000204147</t>
  </si>
  <si>
    <t>1001_1</t>
  </si>
  <si>
    <t>ENSG00000163584</t>
  </si>
  <si>
    <t>10012_1</t>
  </si>
  <si>
    <t>ENSG00000198964</t>
  </si>
  <si>
    <t>10013_1</t>
  </si>
  <si>
    <t>ENSG00000107789</t>
  </si>
  <si>
    <t>10014_1</t>
  </si>
  <si>
    <t>ENSG00000138801</t>
  </si>
  <si>
    <t>10022_1</t>
  </si>
  <si>
    <t>ENSG00000163357</t>
  </si>
  <si>
    <t>10031_1</t>
  </si>
  <si>
    <t>ENSG00000197353</t>
  </si>
  <si>
    <t>ENST00000359228_Acinonyx_jubatus_zoonomia</t>
  </si>
  <si>
    <t>1003_18</t>
  </si>
  <si>
    <t>ENSG00000119969</t>
  </si>
  <si>
    <t>ENST00000348459_Acinonyx_jubatus_zoonomia</t>
  </si>
  <si>
    <t>1003_19</t>
  </si>
  <si>
    <t>ENSG00000177200</t>
  </si>
  <si>
    <t>ENST00000398510_Acinonyx_jubatus_zoonomia</t>
  </si>
  <si>
    <t>1003_21</t>
  </si>
  <si>
    <t>ENSG00000171316</t>
  </si>
  <si>
    <t>1003_24</t>
  </si>
  <si>
    <t>ENSG00000170004</t>
  </si>
  <si>
    <t>ENST00000380358_Acinonyx_jubatus_zoonomia</t>
  </si>
  <si>
    <t>1003_26</t>
  </si>
  <si>
    <t>ENSG00000131778</t>
  </si>
  <si>
    <t>1003_2</t>
  </si>
  <si>
    <t>ENSG00000197275</t>
  </si>
  <si>
    <t>ENSG00000265817</t>
  </si>
  <si>
    <t>1003_8</t>
  </si>
  <si>
    <t>ENSG00000225830</t>
  </si>
  <si>
    <t>ENST00000355832_Acinonyx_jubatus_zoonomia</t>
  </si>
  <si>
    <t>10040_1</t>
  </si>
  <si>
    <t>ENSG00000185269</t>
  </si>
  <si>
    <t>1004_2</t>
  </si>
  <si>
    <t>ENSG00000085224</t>
  </si>
  <si>
    <t>10048_2</t>
  </si>
  <si>
    <t>ENSG00000105568</t>
  </si>
  <si>
    <t>10067_2</t>
  </si>
  <si>
    <t>ENSG00000153898</t>
  </si>
  <si>
    <t>10067_3</t>
  </si>
  <si>
    <t>ENSG00000090674</t>
  </si>
  <si>
    <t>ENST00000264079_Acinonyx_jubatus_zoonomia</t>
  </si>
  <si>
    <t>10068_1</t>
  </si>
  <si>
    <t>ENSG00000162642</t>
  </si>
  <si>
    <t>10072_1</t>
  </si>
  <si>
    <t>ENSG00000106991</t>
  </si>
  <si>
    <t>ENST00000373203_Acinonyx_jubatus_zoonomia</t>
  </si>
  <si>
    <t>10075_1</t>
  </si>
  <si>
    <t>ENSG00000203910</t>
  </si>
  <si>
    <t>10079_1</t>
  </si>
  <si>
    <t>ENSG00000165716</t>
  </si>
  <si>
    <t>10079_2</t>
  </si>
  <si>
    <t>ENSG00000154511</t>
  </si>
  <si>
    <t>10080_1</t>
  </si>
  <si>
    <t>ENSG00000187773</t>
  </si>
  <si>
    <t>ENST00000343998_Acinonyx_jubatus_zoonomia</t>
  </si>
  <si>
    <t>10081_2</t>
  </si>
  <si>
    <t>ENSG00000119403</t>
  </si>
  <si>
    <t>ENST00000616568_Acinonyx_jubatus_zoonomia</t>
  </si>
  <si>
    <t>10081_3</t>
  </si>
  <si>
    <t>ENSG00000112511</t>
  </si>
  <si>
    <t>10083_1</t>
  </si>
  <si>
    <t>ENSG00000187239</t>
  </si>
  <si>
    <t>ENST00000420781_Acinonyx_jubatus_zoonomia</t>
  </si>
  <si>
    <t>10084_2</t>
  </si>
  <si>
    <t>ENSG00000137936</t>
  </si>
  <si>
    <t>ENST00000260502_Acinonyx_jubatus_zoonomia</t>
  </si>
  <si>
    <t>10088_1</t>
  </si>
  <si>
    <t>ENSG00000172339</t>
  </si>
  <si>
    <t>10091_1</t>
  </si>
  <si>
    <t>ENSG00000188641</t>
  </si>
  <si>
    <t>10095_1</t>
  </si>
  <si>
    <t>ENSG00000181656</t>
  </si>
  <si>
    <t>ENST00000315033_Acinonyx_jubatus_zoonomia</t>
  </si>
  <si>
    <t>10105_1</t>
  </si>
  <si>
    <t>ENSG00000099942</t>
  </si>
  <si>
    <t>10107_1</t>
  </si>
  <si>
    <t>ENSG00000100321</t>
  </si>
  <si>
    <t>10108_1</t>
  </si>
  <si>
    <t>ENSG00000127561</t>
  </si>
  <si>
    <t>Not_in_annotation</t>
  </si>
  <si>
    <t>10119_1</t>
  </si>
  <si>
    <t>ENSG00000189051</t>
  </si>
  <si>
    <t>ENST00000344001_Acinonyx_jubatus_zoonomia</t>
  </si>
  <si>
    <t>1012_1</t>
  </si>
  <si>
    <t>ENSG00000056487</t>
  </si>
  <si>
    <t>ENST00000313237_Acinonyx_jubatus_zoonomia</t>
  </si>
  <si>
    <t>10122_1</t>
  </si>
  <si>
    <t>ENSG00000276231</t>
  </si>
  <si>
    <t>10126_2</t>
  </si>
  <si>
    <t>ENSG00000133028</t>
  </si>
  <si>
    <t>10133_1</t>
  </si>
  <si>
    <t>ENSG00000185261</t>
  </si>
  <si>
    <t>10134_1</t>
  </si>
  <si>
    <t>ENSG00000198677</t>
  </si>
  <si>
    <t>ENST00000358746_Acinonyx_jubatus_zoonomia</t>
  </si>
  <si>
    <t>1014_1</t>
  </si>
  <si>
    <t>ENSG00000160224</t>
  </si>
  <si>
    <t>ENST00000291582_Acinonyx_jubatus_zoonomia</t>
  </si>
  <si>
    <t>10142_1</t>
  </si>
  <si>
    <t>ENSG00000164209</t>
  </si>
  <si>
    <t>10145_1</t>
  </si>
  <si>
    <t>ENSG00000134986</t>
  </si>
  <si>
    <t>10146_1</t>
  </si>
  <si>
    <t>ENSG00000153037</t>
  </si>
  <si>
    <t>10149_1</t>
  </si>
  <si>
    <t>ENSG00000127666</t>
  </si>
  <si>
    <t>ENST00000248244_Acinonyx_jubatus_zoonomia</t>
  </si>
  <si>
    <t>10150_1</t>
  </si>
  <si>
    <t>ENSG00000129596</t>
  </si>
  <si>
    <t>1015_1</t>
  </si>
  <si>
    <t>ENSG00000109118</t>
  </si>
  <si>
    <t>10154_2</t>
  </si>
  <si>
    <t>ENSG00000104093</t>
  </si>
  <si>
    <t>ENST00000251076_Acinonyx_jubatus_zoonomia</t>
  </si>
  <si>
    <t>10160_2</t>
  </si>
  <si>
    <t>ENSG00000180357</t>
  </si>
  <si>
    <t>ENST00000326648_Acinonyx_jubatus_zoonomia</t>
  </si>
  <si>
    <t>10161_1</t>
  </si>
  <si>
    <t>ENSG00000164902</t>
  </si>
  <si>
    <t>10162_1</t>
  </si>
  <si>
    <t>ENSG00000196900</t>
  </si>
  <si>
    <t>10163_4</t>
  </si>
  <si>
    <t>ENSG00000160789</t>
  </si>
  <si>
    <t>ENST00000347559_Acinonyx_jubatus_zoonomia</t>
  </si>
  <si>
    <t>1017_1</t>
  </si>
  <si>
    <t>ENSG00000069424</t>
  </si>
  <si>
    <t>ENST00000164247_Acinonyx_jubatus_zoonomia</t>
  </si>
  <si>
    <t>10181_1</t>
  </si>
  <si>
    <t>ENSG00000169194</t>
  </si>
  <si>
    <t>10189_2</t>
  </si>
  <si>
    <t>ENSG00000113615</t>
  </si>
  <si>
    <t>10189_3</t>
  </si>
  <si>
    <t>ENSG00000176986</t>
  </si>
  <si>
    <t>ENST00000339365_Acinonyx_jubatus_zoonomia</t>
  </si>
  <si>
    <t>10190_1</t>
  </si>
  <si>
    <t>ENSG00000164615</t>
  </si>
  <si>
    <t>ENST00000297156_Acinonyx_jubatus_zoonomia</t>
  </si>
  <si>
    <t>10193_1</t>
  </si>
  <si>
    <t>ENSG00000132570</t>
  </si>
  <si>
    <t>10200_1</t>
  </si>
  <si>
    <t>ENSG00000120705</t>
  </si>
  <si>
    <t>1020_1</t>
  </si>
  <si>
    <t>ENSG00000196581</t>
  </si>
  <si>
    <t>10205_1</t>
  </si>
  <si>
    <t>ENSG00000249751</t>
  </si>
  <si>
    <t>ENST00000618155_Acinonyx_jubatus_zoonomia</t>
  </si>
  <si>
    <t>10210_1</t>
  </si>
  <si>
    <t>ENSG00000120306</t>
  </si>
  <si>
    <t>10212_1</t>
  </si>
  <si>
    <t>ENSG00000113068</t>
  </si>
  <si>
    <t>10213_1</t>
  </si>
  <si>
    <t>ENSG00000113070</t>
  </si>
  <si>
    <t>10217_1</t>
  </si>
  <si>
    <t>ENSG00000176087</t>
  </si>
  <si>
    <t>10219_1</t>
  </si>
  <si>
    <t>ENSG00000131495</t>
  </si>
  <si>
    <t>ENST00000252102_Acinonyx_jubatus_zoonomia</t>
  </si>
  <si>
    <t>102_1</t>
  </si>
  <si>
    <t>ENSG00000142449</t>
  </si>
  <si>
    <t>ENST00000270509_Acinonyx_jubatus_zoonomia</t>
  </si>
  <si>
    <t>10223_1</t>
  </si>
  <si>
    <t>ENSG00000146007</t>
  </si>
  <si>
    <t>10230_1</t>
  </si>
  <si>
    <t>ENSG00000182271</t>
  </si>
  <si>
    <t>10238_1</t>
  </si>
  <si>
    <t>ENSG00000198242</t>
  </si>
  <si>
    <t>10239_1</t>
  </si>
  <si>
    <t>ENSG00000167525</t>
  </si>
  <si>
    <t>ENST00000301039_Acinonyx_jubatus_zoonomia</t>
  </si>
  <si>
    <t>10249_1</t>
  </si>
  <si>
    <t>ENSG00000116690</t>
  </si>
  <si>
    <t>ENST00000367483_Acinonyx_jubatus_zoonomia</t>
  </si>
  <si>
    <t>102_4</t>
  </si>
  <si>
    <t>ENSG00000168056</t>
  </si>
  <si>
    <t>10259_2</t>
  </si>
  <si>
    <t>ENSG00000090565</t>
  </si>
  <si>
    <t>1026_1</t>
  </si>
  <si>
    <t>ENSG00000163428</t>
  </si>
  <si>
    <t>ENST00000295628_Acinonyx_jubatus_zoonomia</t>
  </si>
  <si>
    <t>10265_1</t>
  </si>
  <si>
    <t>ENSG00000108666</t>
  </si>
  <si>
    <t>10266_1</t>
  </si>
  <si>
    <t>ENSG00000010244</t>
  </si>
  <si>
    <t>10267_2</t>
  </si>
  <si>
    <t>ENSG00000176749</t>
  </si>
  <si>
    <t>10269_1</t>
  </si>
  <si>
    <t>ENSG00000144406</t>
  </si>
  <si>
    <t>ENST00000272845_Acinonyx_jubatus_zoonomia</t>
  </si>
  <si>
    <t>10273_1</t>
  </si>
  <si>
    <t>ENSG00000115839</t>
  </si>
  <si>
    <t>ENST00000264158_Acinonyx_jubatus_zoonomia</t>
  </si>
  <si>
    <t>10278_1</t>
  </si>
  <si>
    <t>ENSG00000100918</t>
  </si>
  <si>
    <t>10284_1</t>
  </si>
  <si>
    <t>ENSG00000203546</t>
  </si>
  <si>
    <t>ENST00000547378_Acinonyx_jubatus_zoonomia</t>
  </si>
  <si>
    <t>10294_1</t>
  </si>
  <si>
    <t>ENSG00000182934</t>
  </si>
  <si>
    <t>ENST00000332118_Acinonyx_jubatus_zoonomia</t>
  </si>
  <si>
    <t>10299_1</t>
  </si>
  <si>
    <t>ENSG00000151332</t>
  </si>
  <si>
    <t>10301_1</t>
  </si>
  <si>
    <t>ENSG00000100941</t>
  </si>
  <si>
    <t>ENST00000216832_Acinonyx_jubatus_zoonomia</t>
  </si>
  <si>
    <t>10302_1</t>
  </si>
  <si>
    <t>ENSG00000189139</t>
  </si>
  <si>
    <t>10303_1</t>
  </si>
  <si>
    <t>ENSG00000087301</t>
  </si>
  <si>
    <t>ENST00000281741_Acinonyx_jubatus_zoonomia</t>
  </si>
  <si>
    <t>10304_1</t>
  </si>
  <si>
    <t>ENSG00000100528</t>
  </si>
  <si>
    <t>ENST00000216416_Acinonyx_jubatus_zoonomia</t>
  </si>
  <si>
    <t>10304_3</t>
  </si>
  <si>
    <t>ENSG00000143786</t>
  </si>
  <si>
    <t>10309_1</t>
  </si>
  <si>
    <t>ENSG00000165807</t>
  </si>
  <si>
    <t>ENST00000298705_Acinonyx_jubatus_zoonomia</t>
  </si>
  <si>
    <t>10312_1</t>
  </si>
  <si>
    <t>ENSG00000148358</t>
  </si>
  <si>
    <t>ENST00000347136_Acinonyx_jubatus_zoonomia</t>
  </si>
  <si>
    <t>1031_2</t>
  </si>
  <si>
    <t>ENSG00000171017</t>
  </si>
  <si>
    <t>ENST00000306708_Acinonyx_jubatus_zoonomia</t>
  </si>
  <si>
    <t>10314_1</t>
  </si>
  <si>
    <t>ENSG00000130749</t>
  </si>
  <si>
    <t>ENST00000253048_Acinonyx_jubatus_zoonomia</t>
  </si>
  <si>
    <t>10314_2</t>
  </si>
  <si>
    <t>ENSG00000188177</t>
  </si>
  <si>
    <t>10315_1</t>
  </si>
  <si>
    <t>ENSG00000125611</t>
  </si>
  <si>
    <t>10317_1</t>
  </si>
  <si>
    <t>ENSG00000115008</t>
  </si>
  <si>
    <t>10321_1</t>
  </si>
  <si>
    <t>ENSG00000237524</t>
  </si>
  <si>
    <t>ENST00000636457_Acinonyx_jubatus_zoonomia</t>
  </si>
  <si>
    <t>10327_1</t>
  </si>
  <si>
    <t>ENSG00000101935</t>
  </si>
  <si>
    <t>103_2</t>
  </si>
  <si>
    <t>ENSG00000159307</t>
  </si>
  <si>
    <t>10331_1</t>
  </si>
  <si>
    <t>ENSG00000152082</t>
  </si>
  <si>
    <t>ENST00000425361_Acinonyx_jubatus_zoonomia</t>
  </si>
  <si>
    <t>ENSG00000173272</t>
  </si>
  <si>
    <t>10337_1</t>
  </si>
  <si>
    <t>ENSG00000153086</t>
  </si>
  <si>
    <t>10339_1</t>
  </si>
  <si>
    <t>ENSG00000121964</t>
  </si>
  <si>
    <t>10340_1</t>
  </si>
  <si>
    <t>ENSG00000169554</t>
  </si>
  <si>
    <t>10342_1</t>
  </si>
  <si>
    <t>ENSG00000204406</t>
  </si>
  <si>
    <t>ENST00000404807_Acinonyx_jubatus_zoonomia</t>
  </si>
  <si>
    <t>10346_1</t>
  </si>
  <si>
    <t>ENSG00000187123</t>
  </si>
  <si>
    <t>1035_1</t>
  </si>
  <si>
    <t>ENSG00000162592</t>
  </si>
  <si>
    <t>ENST00000294600_Acinonyx_jubatus_zoonomia</t>
  </si>
  <si>
    <t>10355_1</t>
  </si>
  <si>
    <t>ENSG00000161835</t>
  </si>
  <si>
    <t>10358_1</t>
  </si>
  <si>
    <t>ENSG00000121022</t>
  </si>
  <si>
    <t>10363_1</t>
  </si>
  <si>
    <t>ENSG00000110925</t>
  </si>
  <si>
    <t>ENST00000228515_Acinonyx_jubatus_zoonomia</t>
  </si>
  <si>
    <t>10371_2</t>
  </si>
  <si>
    <t>ENSG00000139133</t>
  </si>
  <si>
    <t>ENSG00000175548</t>
  </si>
  <si>
    <t>1037_1</t>
  </si>
  <si>
    <t>ENSG00000073282</t>
  </si>
  <si>
    <t>10375_1</t>
  </si>
  <si>
    <t>ENSG00000075240</t>
  </si>
  <si>
    <t>ENST00000361034_Acinonyx_jubatus_zoonomia</t>
  </si>
  <si>
    <t>10383_1</t>
  </si>
  <si>
    <t>ENSG00000165704</t>
  </si>
  <si>
    <t>10384_1</t>
  </si>
  <si>
    <t>ENSG00000100220</t>
  </si>
  <si>
    <t>ENST00000216038_Acinonyx_jubatus_zoonomia</t>
  </si>
  <si>
    <t>10387_1</t>
  </si>
  <si>
    <t>ENSG00000101474</t>
  </si>
  <si>
    <t>10388_1</t>
  </si>
  <si>
    <t>ENSG00000101439</t>
  </si>
  <si>
    <t>ENSG00000101441</t>
  </si>
  <si>
    <t>ENSG00000170367</t>
  </si>
  <si>
    <t>ENSG00000170369</t>
  </si>
  <si>
    <t>ENSG00000170373</t>
  </si>
  <si>
    <t>10389_1</t>
  </si>
  <si>
    <t>ENSG00000125823</t>
  </si>
  <si>
    <t>10404_1</t>
  </si>
  <si>
    <t>ENSG00000156006</t>
  </si>
  <si>
    <t>ENSG00000171428</t>
  </si>
  <si>
    <t>10407_1</t>
  </si>
  <si>
    <t>ENSG00000253251</t>
  </si>
  <si>
    <t>10410_1</t>
  </si>
  <si>
    <t>ENSG00000134056</t>
  </si>
  <si>
    <t>104_1</t>
  </si>
  <si>
    <t>ENSG00000163520</t>
  </si>
  <si>
    <t>ENST00000295760_Acinonyx_jubatus_zoonomia</t>
  </si>
  <si>
    <t>1042_1</t>
  </si>
  <si>
    <t>ENSG00000158109</t>
  </si>
  <si>
    <t>10427_1</t>
  </si>
  <si>
    <t>ENSG00000170734</t>
  </si>
  <si>
    <t>10428_1</t>
  </si>
  <si>
    <t>ENSG00000135945</t>
  </si>
  <si>
    <t>ENST00000258428_Acinonyx_jubatus_zoonomia</t>
  </si>
  <si>
    <t>10432_1</t>
  </si>
  <si>
    <t>ENSG00000132846</t>
  </si>
  <si>
    <t>ENST00000255198_Acinonyx_jubatus_zoonomia</t>
  </si>
  <si>
    <t>10434_1</t>
  </si>
  <si>
    <t>ENSG00000145685</t>
  </si>
  <si>
    <t>ENST00000380345_Acinonyx_jubatus_zoonomia</t>
  </si>
  <si>
    <t>10435_2</t>
  </si>
  <si>
    <t>ENSG00000145020</t>
  </si>
  <si>
    <t>ENST00000395338_Acinonyx_jubatus_zoonomia</t>
  </si>
  <si>
    <t>ENSG00000283189</t>
  </si>
  <si>
    <t>In_file_10435_1</t>
  </si>
  <si>
    <t>10439_2</t>
  </si>
  <si>
    <t>ENSG00000152380</t>
  </si>
  <si>
    <t>104_3</t>
  </si>
  <si>
    <t>ENSG00000172638</t>
  </si>
  <si>
    <t>10442_2</t>
  </si>
  <si>
    <t>ENSG00000140153</t>
  </si>
  <si>
    <t>ENST00000335263_Acinonyx_jubatus_zoonomia</t>
  </si>
  <si>
    <t>10443_1</t>
  </si>
  <si>
    <t>ENSG00000125755</t>
  </si>
  <si>
    <t>ENST00000245934_Acinonyx_jubatus_zoonomia</t>
  </si>
  <si>
    <t>10446_1</t>
  </si>
  <si>
    <t>ENSG00000188624</t>
  </si>
  <si>
    <t>ENSG00000204866</t>
  </si>
  <si>
    <t>ENSG00000204869</t>
  </si>
  <si>
    <t>1045_1</t>
  </si>
  <si>
    <t>ENSG00000168743</t>
  </si>
  <si>
    <t>10452_1</t>
  </si>
  <si>
    <t>ENSG00000215131</t>
  </si>
  <si>
    <t>ENST00000399645_Acinonyx_jubatus_zoonomia</t>
  </si>
  <si>
    <t>1045_2</t>
  </si>
  <si>
    <t>ENSG00000198759</t>
  </si>
  <si>
    <t>ENST00000361306_Acinonyx_jubatus_zoonomia</t>
  </si>
  <si>
    <t>10456_1</t>
  </si>
  <si>
    <t>ENSG00000090447</t>
  </si>
  <si>
    <t>ENST00000204517_Acinonyx_jubatus_zoonomia</t>
  </si>
  <si>
    <t>104_5</t>
  </si>
  <si>
    <t>ENSG00000115380</t>
  </si>
  <si>
    <t>10463_1</t>
  </si>
  <si>
    <t>ENSG00000067836</t>
  </si>
  <si>
    <t>10468_1</t>
  </si>
  <si>
    <t>ENSG00000284395</t>
  </si>
  <si>
    <t>1047_1</t>
  </si>
  <si>
    <t>ENSG00000103174</t>
  </si>
  <si>
    <t>ENST00000312251_Acinonyx_jubatus_zoonomia</t>
  </si>
  <si>
    <t>10474_1</t>
  </si>
  <si>
    <t>ENSG00000067365</t>
  </si>
  <si>
    <t>ENST00000381920_Acinonyx_jubatus_zoonomia</t>
  </si>
  <si>
    <t>10477_1</t>
  </si>
  <si>
    <t>ENSG00000131634</t>
  </si>
  <si>
    <t>ENST00000253934_Acinonyx_jubatus_zoonomia</t>
  </si>
  <si>
    <t>10478_1</t>
  </si>
  <si>
    <t>ENSG00000007545</t>
  </si>
  <si>
    <t>ENST00000293925_Acinonyx_jubatus_zoonomia</t>
  </si>
  <si>
    <t>10488_1</t>
  </si>
  <si>
    <t>ENSG00000134419</t>
  </si>
  <si>
    <t>10491_1</t>
  </si>
  <si>
    <t>ENSG00000171681</t>
  </si>
  <si>
    <t>ENST00000544627_Acinonyx_jubatus_zoonomia</t>
  </si>
  <si>
    <t>1049_1</t>
  </si>
  <si>
    <t>ENSG00000103111</t>
  </si>
  <si>
    <t>10498_1</t>
  </si>
  <si>
    <t>ENSG00000166676</t>
  </si>
  <si>
    <t>ENST00000299866_Acinonyx_jubatus_zoonomia</t>
  </si>
  <si>
    <t>10498_2</t>
  </si>
  <si>
    <t>ENSG00000171928</t>
  </si>
  <si>
    <t>ENSG00000175106</t>
  </si>
  <si>
    <t>ENSG00000259024</t>
  </si>
  <si>
    <t>10503_1</t>
  </si>
  <si>
    <t>ENSG00000196850</t>
  </si>
  <si>
    <t>10511_1</t>
  </si>
  <si>
    <t>ENSG00000135148</t>
  </si>
  <si>
    <t>10514_4</t>
  </si>
  <si>
    <t>ENSG00000135114</t>
  </si>
  <si>
    <t>10516_1</t>
  </si>
  <si>
    <t>ENSG00000166578</t>
  </si>
  <si>
    <t>10517_2</t>
  </si>
  <si>
    <t>ENSG00000151176</t>
  </si>
  <si>
    <t>10518_1</t>
  </si>
  <si>
    <t>ENSG00000111412</t>
  </si>
  <si>
    <t>1052_11</t>
  </si>
  <si>
    <t>ENSG00000134917</t>
  </si>
  <si>
    <t>ENST00000257359_Acinonyx_jubatus_zoonomia</t>
  </si>
  <si>
    <t>1052_15</t>
  </si>
  <si>
    <t>ENSG00000156140</t>
  </si>
  <si>
    <t>1052_17</t>
  </si>
  <si>
    <t>ENSG00000138316</t>
  </si>
  <si>
    <t>1052_4</t>
  </si>
  <si>
    <t>ENSG00000151388</t>
  </si>
  <si>
    <t>ENST00000352040_Acinonyx_jubatus_zoonomia</t>
  </si>
  <si>
    <t>1052_6</t>
  </si>
  <si>
    <t>ENSG00000145536</t>
  </si>
  <si>
    <t>10529_1</t>
  </si>
  <si>
    <t>ENSG00000089157</t>
  </si>
  <si>
    <t>10533_1</t>
  </si>
  <si>
    <t>ENSG00000167272</t>
  </si>
  <si>
    <t>10539_1</t>
  </si>
  <si>
    <t>ENSG00000158113</t>
  </si>
  <si>
    <t>10544_1</t>
  </si>
  <si>
    <t>ENSG00000111011</t>
  </si>
  <si>
    <t>1055_1</t>
  </si>
  <si>
    <t>ENSG00000143382</t>
  </si>
  <si>
    <t>ENST00000271643_Acinonyx_jubatus_zoonomia</t>
  </si>
  <si>
    <t>10565_1</t>
  </si>
  <si>
    <t>ENSG00000177084</t>
  </si>
  <si>
    <t>ENST00000320574_Acinonyx_jubatus_zoonomia</t>
  </si>
  <si>
    <t>10566_1</t>
  </si>
  <si>
    <t>ENSG00000090615</t>
  </si>
  <si>
    <t>ENST00000204726_Acinonyx_jubatus_zoonomia</t>
  </si>
  <si>
    <t>10567_1</t>
  </si>
  <si>
    <t>ENSG00000072609</t>
  </si>
  <si>
    <t>ENST00000266880_Acinonyx_jubatus_zoonomia</t>
  </si>
  <si>
    <t>1057_1</t>
  </si>
  <si>
    <t>ENSG00000185761</t>
  </si>
  <si>
    <t>ENST00000330475_Acinonyx_jubatus_zoonomia</t>
  </si>
  <si>
    <t>10573_1</t>
  </si>
  <si>
    <t>ENSG00000123999</t>
  </si>
  <si>
    <t>ENST00000243786_Acinonyx_jubatus_zoonomia</t>
  </si>
  <si>
    <t>10582_1</t>
  </si>
  <si>
    <t>ENSG00000163633</t>
  </si>
  <si>
    <t>ENSG00000285458</t>
  </si>
  <si>
    <t>10592_1</t>
  </si>
  <si>
    <t>ENSG00000138698</t>
  </si>
  <si>
    <t>10596_1</t>
  </si>
  <si>
    <t>ENSG00000248713</t>
  </si>
  <si>
    <t>ENST00000511828_Acinonyx_jubatus_zoonomia</t>
  </si>
  <si>
    <t>10604_1</t>
  </si>
  <si>
    <t>ENSG00000122873</t>
  </si>
  <si>
    <t>10610_1</t>
  </si>
  <si>
    <t>ENSG00000125821</t>
  </si>
  <si>
    <t>ENSG00000284776</t>
  </si>
  <si>
    <t>106_11</t>
  </si>
  <si>
    <t>ENSG00000134376</t>
  </si>
  <si>
    <t>106_12</t>
  </si>
  <si>
    <t>ENSG00000148204</t>
  </si>
  <si>
    <t>10615_1</t>
  </si>
  <si>
    <t>ENSG00000268163</t>
  </si>
  <si>
    <t>10617_1</t>
  </si>
  <si>
    <t>ENSG00000141441</t>
  </si>
  <si>
    <t>ENST00000269209_Acinonyx_jubatus_zoonomia</t>
  </si>
  <si>
    <t>10622_1</t>
  </si>
  <si>
    <t>ENSG00000183760</t>
  </si>
  <si>
    <t>ENST00000331256_Acinonyx_jubatus_zoonomia</t>
  </si>
  <si>
    <t>10625_1</t>
  </si>
  <si>
    <t>ENSG00000196235</t>
  </si>
  <si>
    <t>ENST00000359191_Acinonyx_jubatus_zoonomia</t>
  </si>
  <si>
    <t>10628_1</t>
  </si>
  <si>
    <t>ENSG00000176396</t>
  </si>
  <si>
    <t>ENSG00000176401</t>
  </si>
  <si>
    <t>10630_1</t>
  </si>
  <si>
    <t>ENSG00000213921</t>
  </si>
  <si>
    <t>10632_1</t>
  </si>
  <si>
    <t>ENSG00000160392</t>
  </si>
  <si>
    <t>10638_1</t>
  </si>
  <si>
    <t>ENSG00000137825</t>
  </si>
  <si>
    <t>10641_2</t>
  </si>
  <si>
    <t>ENSG00000077312</t>
  </si>
  <si>
    <t>10644_1</t>
  </si>
  <si>
    <t>ENSG00000142039</t>
  </si>
  <si>
    <t>10646_1</t>
  </si>
  <si>
    <t>ENSG00000108641</t>
  </si>
  <si>
    <t>10648_1</t>
  </si>
  <si>
    <t>ENSG00000105341</t>
  </si>
  <si>
    <t>ENST00000221943_Acinonyx_jubatus_zoonomia</t>
  </si>
  <si>
    <t>106_4</t>
  </si>
  <si>
    <t>ENSG00000204301</t>
  </si>
  <si>
    <t>ENST00000375023_Acinonyx_jubatus_zoonomia</t>
  </si>
  <si>
    <t>1065_1</t>
  </si>
  <si>
    <t>ENSG00000069206</t>
  </si>
  <si>
    <t>1065_5</t>
  </si>
  <si>
    <t>ENSG00000143537</t>
  </si>
  <si>
    <t>ENST00000271836_Acinonyx_jubatus_zoonomia</t>
  </si>
  <si>
    <t>1065_6</t>
  </si>
  <si>
    <t>ENSG00000149451</t>
  </si>
  <si>
    <t>1065_9</t>
  </si>
  <si>
    <t>ENSG00000073670</t>
  </si>
  <si>
    <t>10660_1</t>
  </si>
  <si>
    <t>ENSG00000105369</t>
  </si>
  <si>
    <t>ENST00000221972_Acinonyx_jubatus_zoonomia</t>
  </si>
  <si>
    <t>10661_1</t>
  </si>
  <si>
    <t>ENSG00000105404</t>
  </si>
  <si>
    <t>10668_1</t>
  </si>
  <si>
    <t>ENSG00000079435</t>
  </si>
  <si>
    <t>ENST00000244289_Acinonyx_jubatus_zoonomia</t>
  </si>
  <si>
    <t>10672_1</t>
  </si>
  <si>
    <t>ENSG00000176531</t>
  </si>
  <si>
    <t>ENST00000292140_Acinonyx_jubatus_zoonomia</t>
  </si>
  <si>
    <t>10672_2</t>
  </si>
  <si>
    <t>ENSG00000019144</t>
  </si>
  <si>
    <t>10672_3</t>
  </si>
  <si>
    <t>ENSG00000144824</t>
  </si>
  <si>
    <t>ENST00000393923_Acinonyx_jubatus_zoonomia</t>
  </si>
  <si>
    <t>10676_1</t>
  </si>
  <si>
    <t>ENSG00000167378</t>
  </si>
  <si>
    <t>10680_1</t>
  </si>
  <si>
    <t>ENSG00000170017</t>
  </si>
  <si>
    <t>10681_1</t>
  </si>
  <si>
    <t>ENSG00000187244</t>
  </si>
  <si>
    <t>10685_1</t>
  </si>
  <si>
    <t>ENSG00000124449</t>
  </si>
  <si>
    <t>ENST00000244314_Acinonyx_jubatus_zoonomia</t>
  </si>
  <si>
    <t>10685_2</t>
  </si>
  <si>
    <t>ENSG00000237693</t>
  </si>
  <si>
    <t>10691_1</t>
  </si>
  <si>
    <t>ENSG00000186567</t>
  </si>
  <si>
    <t>10692_1</t>
  </si>
  <si>
    <t>ENSG00000110395</t>
  </si>
  <si>
    <t>ENST00000637974_Acinonyx_jubatus_zoonomia</t>
  </si>
  <si>
    <t>10692_3</t>
  </si>
  <si>
    <t>ENSG00000142273</t>
  </si>
  <si>
    <t>ENST00000341505_Acinonyx_jubatus_zoonomia</t>
  </si>
  <si>
    <t>10703_1</t>
  </si>
  <si>
    <t>ENSG00000104859</t>
  </si>
  <si>
    <t>ENST00000221455_Acinonyx_jubatus_zoonomia</t>
  </si>
  <si>
    <t>10706_2</t>
  </si>
  <si>
    <t>ENSG00000131730</t>
  </si>
  <si>
    <t>ENST00000254035_Acinonyx_jubatus_zoonomia</t>
  </si>
  <si>
    <t>10706_3</t>
  </si>
  <si>
    <t>ENSG00000223572</t>
  </si>
  <si>
    <t>ENSG00000237289</t>
  </si>
  <si>
    <t>10706_6</t>
  </si>
  <si>
    <t>ENSG00000104879</t>
  </si>
  <si>
    <t>10707_1</t>
  </si>
  <si>
    <t>ENSG00000117877</t>
  </si>
  <si>
    <t>ENST00000309424_Acinonyx_jubatus_zoonomia</t>
  </si>
  <si>
    <t>10712_1</t>
  </si>
  <si>
    <t>ENSG00000105321</t>
  </si>
  <si>
    <t>ENST00000643617_Acinonyx_jubatus_zoonomia</t>
  </si>
  <si>
    <t>10716_1</t>
  </si>
  <si>
    <t>ENSG00000063169</t>
  </si>
  <si>
    <t>ENST00000396720_Acinonyx_jubatus_zoonomia</t>
  </si>
  <si>
    <t>10720_1</t>
  </si>
  <si>
    <t>ENSG00000185453</t>
  </si>
  <si>
    <t>ENST00000328759_Acinonyx_jubatus_zoonomia</t>
  </si>
  <si>
    <t>10725_1</t>
  </si>
  <si>
    <t>ENSG00000161558</t>
  </si>
  <si>
    <t>10728_2</t>
  </si>
  <si>
    <t>ENSG00000176920</t>
  </si>
  <si>
    <t>ENST00000391876_Acinonyx_jubatus_zoonomia</t>
  </si>
  <si>
    <t>10730_1</t>
  </si>
  <si>
    <t>ENSG00000182264</t>
  </si>
  <si>
    <t>10731_1</t>
  </si>
  <si>
    <t>ENSG00000060982</t>
  </si>
  <si>
    <t>10731_2</t>
  </si>
  <si>
    <t>ENSG00000105552</t>
  </si>
  <si>
    <t>10734_2</t>
  </si>
  <si>
    <t>ENSG00000111713</t>
  </si>
  <si>
    <t>ENST00000261195_Acinonyx_jubatus_zoonomia</t>
  </si>
  <si>
    <t>10741_1</t>
  </si>
  <si>
    <t>ENSG00000142546</t>
  </si>
  <si>
    <t>10742_1</t>
  </si>
  <si>
    <t>ENSG00000139218</t>
  </si>
  <si>
    <t>ENST00000369367_Acinonyx_jubatus_zoonomia</t>
  </si>
  <si>
    <t>10746_1</t>
  </si>
  <si>
    <t>ENSG00000104951</t>
  </si>
  <si>
    <t>10758_1</t>
  </si>
  <si>
    <t>ENSG00000175514</t>
  </si>
  <si>
    <t>ENST00000312457_Acinonyx_jubatus_zoonomia</t>
  </si>
  <si>
    <t>10761_1</t>
  </si>
  <si>
    <t>ENSG00000160318</t>
  </si>
  <si>
    <t>ENST00000291715_Acinonyx_jubatus_zoonomia</t>
  </si>
  <si>
    <t>10764_1</t>
  </si>
  <si>
    <t>ENSG00000182310</t>
  </si>
  <si>
    <t>10771_1</t>
  </si>
  <si>
    <t>ENSG00000115568</t>
  </si>
  <si>
    <t>ENSG00000173041</t>
  </si>
  <si>
    <t>ENSG00000197020</t>
  </si>
  <si>
    <t>10773_2</t>
  </si>
  <si>
    <t>ENSG00000106617</t>
  </si>
  <si>
    <t>10780_1</t>
  </si>
  <si>
    <t>ENSG00000144589</t>
  </si>
  <si>
    <t>10781_1</t>
  </si>
  <si>
    <t>ENSG00000010322</t>
  </si>
  <si>
    <t>1079_1</t>
  </si>
  <si>
    <t>ENSG00000116353</t>
  </si>
  <si>
    <t>10798_1</t>
  </si>
  <si>
    <t>ENSG00000163273</t>
  </si>
  <si>
    <t>10802_1</t>
  </si>
  <si>
    <t>ENSG00000115648</t>
  </si>
  <si>
    <t>10803_1</t>
  </si>
  <si>
    <t>ENSG00000093167</t>
  </si>
  <si>
    <t>ENSG00000124831</t>
  </si>
  <si>
    <t>10805_1</t>
  </si>
  <si>
    <t>ENSG00000132329</t>
  </si>
  <si>
    <t>ENST00000254661_Acinonyx_jubatus_zoonomia</t>
  </si>
  <si>
    <t>10807_1</t>
  </si>
  <si>
    <t>ENSG00000204104</t>
  </si>
  <si>
    <t>10812_1</t>
  </si>
  <si>
    <t>ENSG00000172478</t>
  </si>
  <si>
    <t>ENST00000388934_Acinonyx_jubatus_zoonomia</t>
  </si>
  <si>
    <t>10815_1</t>
  </si>
  <si>
    <t>ENSG00000176720</t>
  </si>
  <si>
    <t>ENST00000318407_Acinonyx_jubatus_zoonomia</t>
  </si>
  <si>
    <t>10816_1</t>
  </si>
  <si>
    <t>ENSG00000168393</t>
  </si>
  <si>
    <t>10824_1</t>
  </si>
  <si>
    <t>ENSG00000163705</t>
  </si>
  <si>
    <t>10825_1</t>
  </si>
  <si>
    <t>ENSG00000254999</t>
  </si>
  <si>
    <t>10832_1</t>
  </si>
  <si>
    <t>ENSG00000225526</t>
  </si>
  <si>
    <t>10835_1</t>
  </si>
  <si>
    <t>ENSG00000144713</t>
  </si>
  <si>
    <t>10836_1</t>
  </si>
  <si>
    <t>ENSG00000132182</t>
  </si>
  <si>
    <t>10852_1</t>
  </si>
  <si>
    <t>ENSG00000176055</t>
  </si>
  <si>
    <t>10857_1</t>
  </si>
  <si>
    <t>ENSG00000112983</t>
  </si>
  <si>
    <t>ENST00000254900_Acinonyx_jubatus_zoonomia</t>
  </si>
  <si>
    <t>10858_1</t>
  </si>
  <si>
    <t>ENSG00000121380</t>
  </si>
  <si>
    <t>10860_1</t>
  </si>
  <si>
    <t>ENSG00000165714</t>
  </si>
  <si>
    <t>10861_1</t>
  </si>
  <si>
    <t>ENSG00000111269</t>
  </si>
  <si>
    <t>10862_1</t>
  </si>
  <si>
    <t>ENSG00000178878</t>
  </si>
  <si>
    <t>10869_1</t>
  </si>
  <si>
    <t>ENSG00000143850</t>
  </si>
  <si>
    <t>1087_1</t>
  </si>
  <si>
    <t>ENSG00000054219</t>
  </si>
  <si>
    <t>ENST00000263636_Acinonyx_jubatus_zoonomia</t>
  </si>
  <si>
    <t>ENSG00000248672</t>
  </si>
  <si>
    <t>ENST00000504764_Acinonyx_jubatus_zoonomia</t>
  </si>
  <si>
    <t>10873_1</t>
  </si>
  <si>
    <t>ENSG00000121350</t>
  </si>
  <si>
    <t>10874_1</t>
  </si>
  <si>
    <t>ENSG00000111711</t>
  </si>
  <si>
    <t>10875_1</t>
  </si>
  <si>
    <t>ENSG00000174567</t>
  </si>
  <si>
    <t>10876_1</t>
  </si>
  <si>
    <t>ENSG00000134548</t>
  </si>
  <si>
    <t>108_7</t>
  </si>
  <si>
    <t>ENSG00000121904</t>
  </si>
  <si>
    <t>ENST00000373388_Acinonyx_jubatus_zoonomia</t>
  </si>
  <si>
    <t>ENSG00000183117</t>
  </si>
  <si>
    <t>10882_1</t>
  </si>
  <si>
    <t>ENSG00000099849</t>
  </si>
  <si>
    <t>ENST00000397583_Acinonyx_jubatus_zoonomia</t>
  </si>
  <si>
    <t>10884_1</t>
  </si>
  <si>
    <t>ENSG00000123096</t>
  </si>
  <si>
    <t>ENST00000535504_Acinonyx_jubatus_zoonomia</t>
  </si>
  <si>
    <t>10889_1</t>
  </si>
  <si>
    <t>ENSG00000165935</t>
  </si>
  <si>
    <t>10901_1</t>
  </si>
  <si>
    <t>ENSG00000177875</t>
  </si>
  <si>
    <t>10907_1</t>
  </si>
  <si>
    <t>ENSG00000114933</t>
  </si>
  <si>
    <t>ENST00000403263_Acinonyx_jubatus_zoonomia</t>
  </si>
  <si>
    <t>1091_2</t>
  </si>
  <si>
    <t>ENSG00000167536</t>
  </si>
  <si>
    <t>10915_1</t>
  </si>
  <si>
    <t>ENSG00000185958</t>
  </si>
  <si>
    <t>10917_1</t>
  </si>
  <si>
    <t>ENSG00000186666</t>
  </si>
  <si>
    <t>ENST00000333924_Acinonyx_jubatus_zoonomia</t>
  </si>
  <si>
    <t>109_1</t>
  </si>
  <si>
    <t>ENSG00000264343</t>
  </si>
  <si>
    <t>ENSG00000273136</t>
  </si>
  <si>
    <t>ENSG00000286019</t>
  </si>
  <si>
    <t>ENSG00000286106</t>
  </si>
  <si>
    <t>ENSG00000286219</t>
  </si>
  <si>
    <t>10920_1</t>
  </si>
  <si>
    <t>ENSG00000183283</t>
  </si>
  <si>
    <t>1092_1</t>
  </si>
  <si>
    <t>ENSG00000169084</t>
  </si>
  <si>
    <t>ENST00000334651_Acinonyx_jubatus_zoonomia</t>
  </si>
  <si>
    <t>10929_1</t>
  </si>
  <si>
    <t>ENSG00000137714</t>
  </si>
  <si>
    <t>10931_1</t>
  </si>
  <si>
    <t>ENSG00000150750</t>
  </si>
  <si>
    <t>10933_1</t>
  </si>
  <si>
    <t>ENSG00000110777</t>
  </si>
  <si>
    <t>10935_1</t>
  </si>
  <si>
    <t>ENSG00000137720</t>
  </si>
  <si>
    <t>10938_1</t>
  </si>
  <si>
    <t>ENSG00000126953</t>
  </si>
  <si>
    <t>ENST00000372902_Acinonyx_jubatus_zoonomia</t>
  </si>
  <si>
    <t>10941_1</t>
  </si>
  <si>
    <t>ENSG00000150787</t>
  </si>
  <si>
    <t>10946_1</t>
  </si>
  <si>
    <t>ENSG00000076043</t>
  </si>
  <si>
    <t>ENST00000265881_Acinonyx_jubatus_zoonomia</t>
  </si>
  <si>
    <t>10948_1</t>
  </si>
  <si>
    <t>ENSG00000137656</t>
  </si>
  <si>
    <t>10951_1</t>
  </si>
  <si>
    <t>ENSG00000110244</t>
  </si>
  <si>
    <t>ENST00000357780_Acinonyx_jubatus_zoonomia</t>
  </si>
  <si>
    <t>10965_1</t>
  </si>
  <si>
    <t>ENSG00000177098</t>
  </si>
  <si>
    <t>10995_1</t>
  </si>
  <si>
    <t>ENSG00000109944</t>
  </si>
  <si>
    <t>ENST00000227349_Acinonyx_jubatus_zoonomia</t>
  </si>
  <si>
    <t>10_9</t>
  </si>
  <si>
    <t>ENSG00000166851</t>
  </si>
  <si>
    <t>ENST00000300093_Acinonyx_jubatus_zoonomia</t>
  </si>
  <si>
    <t>1100_1</t>
  </si>
  <si>
    <t>ENSG00000129535</t>
  </si>
  <si>
    <t>11003_1</t>
  </si>
  <si>
    <t>ENSG00000064199</t>
  </si>
  <si>
    <t>11004_1</t>
  </si>
  <si>
    <t>ENSG00000154146</t>
  </si>
  <si>
    <t>ENST00000284292_Acinonyx_jubatus_zoonomia</t>
  </si>
  <si>
    <t>11010_1</t>
  </si>
  <si>
    <t>ENSG00000149548</t>
  </si>
  <si>
    <t>1101_1</t>
  </si>
  <si>
    <t>ENSG00000197063</t>
  </si>
  <si>
    <t>11013_1</t>
  </si>
  <si>
    <t>ENSG00000163527</t>
  </si>
  <si>
    <t>1102_1</t>
  </si>
  <si>
    <t>ENSG00000168589</t>
  </si>
  <si>
    <t>1102_2</t>
  </si>
  <si>
    <t>ENSG00000125971</t>
  </si>
  <si>
    <t>ENST00000357156_Acinonyx_jubatus_zoonomia</t>
  </si>
  <si>
    <t>11026_3</t>
  </si>
  <si>
    <t>ENSG00000112309</t>
  </si>
  <si>
    <t>ENST00000230053_Acinonyx_jubatus_zoonomia</t>
  </si>
  <si>
    <t>11030_1</t>
  </si>
  <si>
    <t>ENSG00000178473</t>
  </si>
  <si>
    <t>11032_1</t>
  </si>
  <si>
    <t>ENSG00000095739</t>
  </si>
  <si>
    <t>11037_1</t>
  </si>
  <si>
    <t>ENSG00000138385</t>
  </si>
  <si>
    <t>1104_2</t>
  </si>
  <si>
    <t>ENSG00000129873</t>
  </si>
  <si>
    <t>ENSG00000153046</t>
  </si>
  <si>
    <t>ENSG00000172288</t>
  </si>
  <si>
    <t>ENSG00000172352</t>
  </si>
  <si>
    <t>ENSG00000182415</t>
  </si>
  <si>
    <t>11043_1</t>
  </si>
  <si>
    <t>ENSG00000114745</t>
  </si>
  <si>
    <t>ENST00000319283_Acinonyx_jubatus_zoonomia</t>
  </si>
  <si>
    <t>11043_2</t>
  </si>
  <si>
    <t>ENSG00000115806</t>
  </si>
  <si>
    <t>11045_2</t>
  </si>
  <si>
    <t>ENSG00000061676</t>
  </si>
  <si>
    <t>ENST00000360982_Acinonyx_jubatus_zoonomia</t>
  </si>
  <si>
    <t>11046_1</t>
  </si>
  <si>
    <t>ENSG00000182568</t>
  </si>
  <si>
    <t>ENST00000338745_Acinonyx_jubatus_zoonomia</t>
  </si>
  <si>
    <t>11046_2</t>
  </si>
  <si>
    <t>ENSG00000119042</t>
  </si>
  <si>
    <t>ENST00000260926_Acinonyx_jubatus_zoonomia</t>
  </si>
  <si>
    <t>11047_1</t>
  </si>
  <si>
    <t>ENSG00000115993</t>
  </si>
  <si>
    <t>ENST00000332624_Acinonyx_jubatus_zoonomia</t>
  </si>
  <si>
    <t>11047_2</t>
  </si>
  <si>
    <t>ENSG00000182606</t>
  </si>
  <si>
    <t>11049_1</t>
  </si>
  <si>
    <t>ENSG00000155754</t>
  </si>
  <si>
    <t>ENST00000286195_Acinonyx_jubatus_zoonomia</t>
  </si>
  <si>
    <t>11056_1</t>
  </si>
  <si>
    <t>ENSG00000156482</t>
  </si>
  <si>
    <t>11058_1</t>
  </si>
  <si>
    <t>ENSG00000173653</t>
  </si>
  <si>
    <t>11071_1</t>
  </si>
  <si>
    <t>ENSG00000020922</t>
  </si>
  <si>
    <t>11077_1</t>
  </si>
  <si>
    <t>ENSG00000143845</t>
  </si>
  <si>
    <t>11089_1</t>
  </si>
  <si>
    <t>ENSG00000219435</t>
  </si>
  <si>
    <t>11096_1</t>
  </si>
  <si>
    <t>ENSG00000158023</t>
  </si>
  <si>
    <t>ENST00000288912_Acinonyx_jubatus_zoonomia</t>
  </si>
  <si>
    <t>11101_1</t>
  </si>
  <si>
    <t>ENSG00000204583</t>
  </si>
  <si>
    <t>ENST00000376608_Acinonyx_jubatus_zoonomia</t>
  </si>
  <si>
    <t>11103_1</t>
  </si>
  <si>
    <t>ENSG00000139496</t>
  </si>
  <si>
    <t>ENST00000381718_Acinonyx_jubatus_zoonomia</t>
  </si>
  <si>
    <t>11104_1</t>
  </si>
  <si>
    <t>ENSG00000163263</t>
  </si>
  <si>
    <t>ENST00000368525_Acinonyx_jubatus_zoonomia</t>
  </si>
  <si>
    <t>11108_1</t>
  </si>
  <si>
    <t>ENSG00000163344</t>
  </si>
  <si>
    <t>ENST00000368467_Acinonyx_jubatus_zoonomia</t>
  </si>
  <si>
    <t>11111_1</t>
  </si>
  <si>
    <t>ENSG00000171016</t>
  </si>
  <si>
    <t>ENST00000302000_Acinonyx_jubatus_zoonomia</t>
  </si>
  <si>
    <t>11114_1</t>
  </si>
  <si>
    <t>ENSG00000169241</t>
  </si>
  <si>
    <t>11115_1</t>
  </si>
  <si>
    <t>ENSG00000179085</t>
  </si>
  <si>
    <t>ENST00000368399_Acinonyx_jubatus_zoonomia</t>
  </si>
  <si>
    <t>11120_1</t>
  </si>
  <si>
    <t>ENSG00000177628</t>
  </si>
  <si>
    <t>11125_1</t>
  </si>
  <si>
    <t>ENSG00000173080</t>
  </si>
  <si>
    <t>ENST00000368318_Acinonyx_jubatus_zoonomia</t>
  </si>
  <si>
    <t>11126_1</t>
  </si>
  <si>
    <t>ENSG00000163479</t>
  </si>
  <si>
    <t>11131_1</t>
  </si>
  <si>
    <t>ENSG00000198715</t>
  </si>
  <si>
    <t>ENST00000612353_Acinonyx_jubatus_zoonomia</t>
  </si>
  <si>
    <t>11135_1</t>
  </si>
  <si>
    <t>ENSG00000132688</t>
  </si>
  <si>
    <t>ENST00000368223_Acinonyx_jubatus_zoonomia</t>
  </si>
  <si>
    <t>11141_1</t>
  </si>
  <si>
    <t>ENSG00000121410</t>
  </si>
  <si>
    <t>11141_2</t>
  </si>
  <si>
    <t>ENSG00000147255</t>
  </si>
  <si>
    <t>ENST00000361420_Acinonyx_jubatus_zoonomia</t>
  </si>
  <si>
    <t>1114_1</t>
  </si>
  <si>
    <t>ENSG00000140905</t>
  </si>
  <si>
    <t>ENSG00000260643</t>
  </si>
  <si>
    <t>ENSG00000284512</t>
  </si>
  <si>
    <t>11142_1</t>
  </si>
  <si>
    <t>ENSG00000104972</t>
  </si>
  <si>
    <t>ENSG00000104974</t>
  </si>
  <si>
    <t>ENSG00000105609</t>
  </si>
  <si>
    <t>ENST00000316219_Acinonyx_jubatus_zoonomia</t>
  </si>
  <si>
    <t>ENSG00000131042</t>
  </si>
  <si>
    <t>ENSG00000186818</t>
  </si>
  <si>
    <t>ENSG00000204577</t>
  </si>
  <si>
    <t>ENSG00000239961</t>
  </si>
  <si>
    <t>ENSG00000239998</t>
  </si>
  <si>
    <t>11143_1</t>
  </si>
  <si>
    <t>ENSG00000125498</t>
  </si>
  <si>
    <t>ENSG00000167633</t>
  </si>
  <si>
    <t>ENSG00000189013</t>
  </si>
  <si>
    <t>ENST00000396284_Acinonyx_jubatus_zoonomia</t>
  </si>
  <si>
    <t>ENSG00000240403</t>
  </si>
  <si>
    <t>ENSG00000242019</t>
  </si>
  <si>
    <t>ENSG00000243772</t>
  </si>
  <si>
    <t>11153_1</t>
  </si>
  <si>
    <t>ENSG00000158714</t>
  </si>
  <si>
    <t>ENST00000289707_Acinonyx_jubatus_zoonomia</t>
  </si>
  <si>
    <t>11_16</t>
  </si>
  <si>
    <t>ENSG00000141503</t>
  </si>
  <si>
    <t>ENSG00000198648</t>
  </si>
  <si>
    <t>ENST00000355999_Acinonyx_jubatus_zoonomia</t>
  </si>
  <si>
    <t>11173_1</t>
  </si>
  <si>
    <t>ENSG00000158864</t>
  </si>
  <si>
    <t>11175_1</t>
  </si>
  <si>
    <t>ENSG00000158874</t>
  </si>
  <si>
    <t>11176_1</t>
  </si>
  <si>
    <t>ENSG00000248485</t>
  </si>
  <si>
    <t>11_17</t>
  </si>
  <si>
    <t>ENSG00000172939</t>
  </si>
  <si>
    <t>1118_1</t>
  </si>
  <si>
    <t>ENSG00000008710</t>
  </si>
  <si>
    <t>11182_1</t>
  </si>
  <si>
    <t>ENSG00000198929</t>
  </si>
  <si>
    <t>11183_1</t>
  </si>
  <si>
    <t>ENSG00000239887</t>
  </si>
  <si>
    <t>In_file_11185_1</t>
  </si>
  <si>
    <t>ENSG00000254706</t>
  </si>
  <si>
    <t>ENST00000431696_Acinonyx_jubatus_zoonomia</t>
  </si>
  <si>
    <t>11186_1</t>
  </si>
  <si>
    <t>ENSG00000171722</t>
  </si>
  <si>
    <t>11190_1</t>
  </si>
  <si>
    <t>ENSG00000143228</t>
  </si>
  <si>
    <t>11192_1</t>
  </si>
  <si>
    <t>ENSG00000126882</t>
  </si>
  <si>
    <t>11192_2</t>
  </si>
  <si>
    <t>ENSG00000188859</t>
  </si>
  <si>
    <t>11196_1</t>
  </si>
  <si>
    <t>ENSG00000143158</t>
  </si>
  <si>
    <t>11198_1</t>
  </si>
  <si>
    <t>ENSG00000143196</t>
  </si>
  <si>
    <t>ENST00000367817_Acinonyx_jubatus_zoonomia</t>
  </si>
  <si>
    <t>11_19</t>
  </si>
  <si>
    <t>ENSG00000123572</t>
  </si>
  <si>
    <t>1120_1</t>
  </si>
  <si>
    <t>ENSG00000158683</t>
  </si>
  <si>
    <t>ENST00000289672_Acinonyx_jubatus_zoonomia</t>
  </si>
  <si>
    <t>11203_1</t>
  </si>
  <si>
    <t>ENSG00000148335</t>
  </si>
  <si>
    <t>ENST00000372480_Acinonyx_jubatus_zoonomia</t>
  </si>
  <si>
    <t>11206_1</t>
  </si>
  <si>
    <t>ENSG00000135845</t>
  </si>
  <si>
    <t>11214_1</t>
  </si>
  <si>
    <t>ENSG00000078725</t>
  </si>
  <si>
    <t>ENST00000265922_Acinonyx_jubatus_zoonomia</t>
  </si>
  <si>
    <t>11217_1</t>
  </si>
  <si>
    <t>ENSG00000166262</t>
  </si>
  <si>
    <t>ENST00000299338_Acinonyx_jubatus_zoonomia</t>
  </si>
  <si>
    <t>11_21</t>
  </si>
  <si>
    <t>ENSG00000154310</t>
  </si>
  <si>
    <t>112_1</t>
  </si>
  <si>
    <t>ENSG00000162804</t>
  </si>
  <si>
    <t>ENST00000310397_Acinonyx_jubatus_zoonomia</t>
  </si>
  <si>
    <t>11220_1</t>
  </si>
  <si>
    <t>ENSG00000128973</t>
  </si>
  <si>
    <t>ENST00000538696_Acinonyx_jubatus_zoonomia</t>
  </si>
  <si>
    <t>11221_1</t>
  </si>
  <si>
    <t>ENSG00000104177</t>
  </si>
  <si>
    <t>11222_1</t>
  </si>
  <si>
    <t>ENSG00000283071</t>
  </si>
  <si>
    <t>ENST00000634353_Acinonyx_jubatus_zoonomia</t>
  </si>
  <si>
    <t>11224_1</t>
  </si>
  <si>
    <t>ENSG00000104164</t>
  </si>
  <si>
    <t>11226_1</t>
  </si>
  <si>
    <t>ENSG00000100664</t>
  </si>
  <si>
    <t>11227_1</t>
  </si>
  <si>
    <t>ENSG00000171766</t>
  </si>
  <si>
    <t>11_22</t>
  </si>
  <si>
    <t>ENSG00000071054</t>
  </si>
  <si>
    <t>11231_1</t>
  </si>
  <si>
    <t>ENSG00000166183</t>
  </si>
  <si>
    <t>11233_1</t>
  </si>
  <si>
    <t>ENSG00000258986</t>
  </si>
  <si>
    <t>ENST00000415614_Acinonyx_jubatus_zoonomia</t>
  </si>
  <si>
    <t>11237_2</t>
  </si>
  <si>
    <t>ENSG00000099814</t>
  </si>
  <si>
    <t>ENST00000414716_Acinonyx_jubatus_zoonomia</t>
  </si>
  <si>
    <t>11_23</t>
  </si>
  <si>
    <t>ENSG00000077264</t>
  </si>
  <si>
    <t>11243_1</t>
  </si>
  <si>
    <t>ENSG00000198723</t>
  </si>
  <si>
    <t>11244_1</t>
  </si>
  <si>
    <t>ENSG00000198816</t>
  </si>
  <si>
    <t>ENST00000597229_Acinonyx_jubatus_zoonomia</t>
  </si>
  <si>
    <t>11245_3</t>
  </si>
  <si>
    <t>ENSG00000076826</t>
  </si>
  <si>
    <t>11251_1</t>
  </si>
  <si>
    <t>ENSG00000183019</t>
  </si>
  <si>
    <t>ENST00000333598_Acinonyx_jubatus_zoonomia</t>
  </si>
  <si>
    <t>11258_1</t>
  </si>
  <si>
    <t>ENSG00000133250</t>
  </si>
  <si>
    <t>ENST00000393927_Acinonyx_jubatus_zoonomia</t>
  </si>
  <si>
    <t>11260_1</t>
  </si>
  <si>
    <t>ENSG00000127445</t>
  </si>
  <si>
    <t>11261_1</t>
  </si>
  <si>
    <t>ENSG00000130813</t>
  </si>
  <si>
    <t>11262_1</t>
  </si>
  <si>
    <t>ENSG00000130811</t>
  </si>
  <si>
    <t>11264_1</t>
  </si>
  <si>
    <t>ENSG00000132026</t>
  </si>
  <si>
    <t>ENST00000322912_Acinonyx_jubatus_zoonomia</t>
  </si>
  <si>
    <t>11268_2</t>
  </si>
  <si>
    <t>ENSG00000148396</t>
  </si>
  <si>
    <t>ENST00000290037_Acinonyx_jubatus_zoonomia</t>
  </si>
  <si>
    <t>11_26</t>
  </si>
  <si>
    <t>ENSG00000137843</t>
  </si>
  <si>
    <t>ENST00000260404_Acinonyx_jubatus_zoonomia</t>
  </si>
  <si>
    <t>11273_1</t>
  </si>
  <si>
    <t>ENSG00000136816</t>
  </si>
  <si>
    <t>ENST00000427860_Acinonyx_jubatus_zoonomia</t>
  </si>
  <si>
    <t>ENSG00000136827</t>
  </si>
  <si>
    <t>11275_1</t>
  </si>
  <si>
    <t>ENSG00000162779</t>
  </si>
  <si>
    <t>11278_1</t>
  </si>
  <si>
    <t>ENSG00000143337</t>
  </si>
  <si>
    <t>ENST00000271583_Acinonyx_jubatus_zoonomia</t>
  </si>
  <si>
    <t>11278_2</t>
  </si>
  <si>
    <t>ENSG00000169905</t>
  </si>
  <si>
    <t>11279_1</t>
  </si>
  <si>
    <t>ENSG00000260220</t>
  </si>
  <si>
    <t>11285_1</t>
  </si>
  <si>
    <t>ENSG00000136950</t>
  </si>
  <si>
    <t>11285_2</t>
  </si>
  <si>
    <t>ENSG00000162704</t>
  </si>
  <si>
    <t>1129_13</t>
  </si>
  <si>
    <t>ENSG00000187091</t>
  </si>
  <si>
    <t>ENST00000334661_Acinonyx_jubatus_zoonomia</t>
  </si>
  <si>
    <t>1129_14</t>
  </si>
  <si>
    <t>ENSG00000161714</t>
  </si>
  <si>
    <t>1129_1</t>
  </si>
  <si>
    <t>ENSG00000124181</t>
  </si>
  <si>
    <t>1129_4</t>
  </si>
  <si>
    <t>ENSG00000149782</t>
  </si>
  <si>
    <t>ENST00000279230_Acinonyx_jubatus_zoonomia</t>
  </si>
  <si>
    <t>11295_3</t>
  </si>
  <si>
    <t>ENSG00000107147</t>
  </si>
  <si>
    <t>ENST00000371757_Acinonyx_jubatus_zoonomia</t>
  </si>
  <si>
    <t>11299_2</t>
  </si>
  <si>
    <t>ENSG00000116857</t>
  </si>
  <si>
    <t>11_2</t>
  </si>
  <si>
    <t>ENSG00000012983</t>
  </si>
  <si>
    <t>ENST00000013125_Acinonyx_jubatus_zoonomia</t>
  </si>
  <si>
    <t>11301_3</t>
  </si>
  <si>
    <t>ENSG00000129991</t>
  </si>
  <si>
    <t>11302_1</t>
  </si>
  <si>
    <t>ENSG00000198700</t>
  </si>
  <si>
    <t>11303_1</t>
  </si>
  <si>
    <t>ENSG00000198892</t>
  </si>
  <si>
    <t>11304_1</t>
  </si>
  <si>
    <t>ENSG00000183155</t>
  </si>
  <si>
    <t>11306_1</t>
  </si>
  <si>
    <t>ENSG00000182004</t>
  </si>
  <si>
    <t>11319_1</t>
  </si>
  <si>
    <t>ENSG00000186063</t>
  </si>
  <si>
    <t>11324_1</t>
  </si>
  <si>
    <t>ENSG00000143819</t>
  </si>
  <si>
    <t>11326_1</t>
  </si>
  <si>
    <t>ENSG00000203685</t>
  </si>
  <si>
    <t>11328_1</t>
  </si>
  <si>
    <t>ENSG00000143793</t>
  </si>
  <si>
    <t>11339_1</t>
  </si>
  <si>
    <t>ENSG00000121644</t>
  </si>
  <si>
    <t>ENST00000263831_Acinonyx_jubatus_zoonomia</t>
  </si>
  <si>
    <t>11346_1</t>
  </si>
  <si>
    <t>ENSG00000259823</t>
  </si>
  <si>
    <t>ENSG00000286015</t>
  </si>
  <si>
    <t>1135_1</t>
  </si>
  <si>
    <t>ENSG00000154016</t>
  </si>
  <si>
    <t>ENST00000573099_Acinonyx_jubatus_zoonomia</t>
  </si>
  <si>
    <t>ENSG00000189152</t>
  </si>
  <si>
    <t>ENST00000344415_Acinonyx_jubatus_zoonomia</t>
  </si>
  <si>
    <t>11354_1</t>
  </si>
  <si>
    <t>ENSG00000196711</t>
  </si>
  <si>
    <t>ENST00000523939_Acinonyx_jubatus_zoonomia</t>
  </si>
  <si>
    <t>11358_1</t>
  </si>
  <si>
    <t>ENSG00000171863</t>
  </si>
  <si>
    <t>11360_1</t>
  </si>
  <si>
    <t>ENSG00000134326</t>
  </si>
  <si>
    <t>11365_1</t>
  </si>
  <si>
    <t>ENSG00000115761</t>
  </si>
  <si>
    <t>11366_2</t>
  </si>
  <si>
    <t>ENSG00000155097</t>
  </si>
  <si>
    <t>ENST00000395862_Acinonyx_jubatus_zoonomia</t>
  </si>
  <si>
    <t>11372_1</t>
  </si>
  <si>
    <t>ENSG00000156521</t>
  </si>
  <si>
    <t>11376_2</t>
  </si>
  <si>
    <t>ENSG00000148834</t>
  </si>
  <si>
    <t>11378_1</t>
  </si>
  <si>
    <t>ENSG00000186188</t>
  </si>
  <si>
    <t>ENST00000604414_Acinonyx_jubatus_zoonomia</t>
  </si>
  <si>
    <t>1138_2</t>
  </si>
  <si>
    <t>ENSG00000141968</t>
  </si>
  <si>
    <t>ENST00000304076_Acinonyx_jubatus_zoonomia</t>
  </si>
  <si>
    <t>11383_1</t>
  </si>
  <si>
    <t>ENSG00000123349</t>
  </si>
  <si>
    <t>11384_1</t>
  </si>
  <si>
    <t>ENSG00000165655</t>
  </si>
  <si>
    <t>11385_1</t>
  </si>
  <si>
    <t>ENSG00000165644</t>
  </si>
  <si>
    <t>11389_1</t>
  </si>
  <si>
    <t>ENSG00000185933</t>
  </si>
  <si>
    <t>ENST00000329905_Acinonyx_jubatus_zoonomia</t>
  </si>
  <si>
    <t>11391_1</t>
  </si>
  <si>
    <t>ENSG00000198060</t>
  </si>
  <si>
    <t>11393_1</t>
  </si>
  <si>
    <t>ENSG00000174721</t>
  </si>
  <si>
    <t>ENST00000311575_Acinonyx_jubatus_zoonomia</t>
  </si>
  <si>
    <t>11400_1</t>
  </si>
  <si>
    <t>ENSG00000145390</t>
  </si>
  <si>
    <t>1140_1</t>
  </si>
  <si>
    <t>ENSG00000099377</t>
  </si>
  <si>
    <t>ENST00000297679_Acinonyx_jubatus_zoonomia</t>
  </si>
  <si>
    <t>11406_1</t>
  </si>
  <si>
    <t>ENSG00000100599</t>
  </si>
  <si>
    <t>11406_2</t>
  </si>
  <si>
    <t>ENSG00000132669</t>
  </si>
  <si>
    <t>ENST00000255006_Acinonyx_jubatus_zoonomia</t>
  </si>
  <si>
    <t>11407_1</t>
  </si>
  <si>
    <t>ENSG00000174791</t>
  </si>
  <si>
    <t>11410_1</t>
  </si>
  <si>
    <t>ENSG00000100605</t>
  </si>
  <si>
    <t>11412_1</t>
  </si>
  <si>
    <t>ENSG00000012963</t>
  </si>
  <si>
    <t>ENSG00000259066</t>
  </si>
  <si>
    <t>11412_2</t>
  </si>
  <si>
    <t>In_file_11412_1</t>
  </si>
  <si>
    <t>11416_1</t>
  </si>
  <si>
    <t>ENSG00000133958</t>
  </si>
  <si>
    <t>ENST00000393151_Acinonyx_jubatus_zoonomia</t>
  </si>
  <si>
    <t>1141_6</t>
  </si>
  <si>
    <t>ENSG00000170426</t>
  </si>
  <si>
    <t>ENST00000293502_Acinonyx_jubatus_zoonomia</t>
  </si>
  <si>
    <t>11417_1</t>
  </si>
  <si>
    <t>ENSG00000175785</t>
  </si>
  <si>
    <t>11424_1</t>
  </si>
  <si>
    <t>ENSG00000214827</t>
  </si>
  <si>
    <t>11429_1</t>
  </si>
  <si>
    <t>ENSG00000140057</t>
  </si>
  <si>
    <t>1143_1</t>
  </si>
  <si>
    <t>ENSG00000117594</t>
  </si>
  <si>
    <t>1143_2</t>
  </si>
  <si>
    <t>ENSG00000167733</t>
  </si>
  <si>
    <t>ENST00000616276_Acinonyx_jubatus_zoonomia</t>
  </si>
  <si>
    <t>11435_1</t>
  </si>
  <si>
    <t>ENSG00000125835</t>
  </si>
  <si>
    <t>ENST00000438552_Acinonyx_jubatus_zoonomia</t>
  </si>
  <si>
    <t>11439_1</t>
  </si>
  <si>
    <t>ENSG00000198690</t>
  </si>
  <si>
    <t>ENST00000362065_Acinonyx_jubatus_zoonomia</t>
  </si>
  <si>
    <t>11441_1</t>
  </si>
  <si>
    <t>ENSG00000169857</t>
  </si>
  <si>
    <t>ENST00000306730_Acinonyx_jubatus_zoonomia</t>
  </si>
  <si>
    <t>11445_1</t>
  </si>
  <si>
    <t>ENSG00000182117</t>
  </si>
  <si>
    <t>11447_1</t>
  </si>
  <si>
    <t>ENSG00000134146</t>
  </si>
  <si>
    <t>11451_1</t>
  </si>
  <si>
    <t>ENSG00000150667</t>
  </si>
  <si>
    <t>1145_1</t>
  </si>
  <si>
    <t>ENSG00000087076</t>
  </si>
  <si>
    <t>ENST00000263278_Acinonyx_jubatus_zoonomia</t>
  </si>
  <si>
    <t>11453_1</t>
  </si>
  <si>
    <t>ENSG00000104081</t>
  </si>
  <si>
    <t>11456_1</t>
  </si>
  <si>
    <t>ENSG00000140320</t>
  </si>
  <si>
    <t>ENST00000416165_Acinonyx_jubatus_zoonomia</t>
  </si>
  <si>
    <t>11463_1</t>
  </si>
  <si>
    <t>ENSG00000137880</t>
  </si>
  <si>
    <t>11466_1</t>
  </si>
  <si>
    <t>ENSG00000137804</t>
  </si>
  <si>
    <t>ENSG00000285920</t>
  </si>
  <si>
    <t>11472_1</t>
  </si>
  <si>
    <t>ENSG00000204052</t>
  </si>
  <si>
    <t>11473_1</t>
  </si>
  <si>
    <t>ENSG00000137207</t>
  </si>
  <si>
    <t>11485_1</t>
  </si>
  <si>
    <t>ENSG00000067167</t>
  </si>
  <si>
    <t>ENST00000262213_Acinonyx_jubatus_zoonomia</t>
  </si>
  <si>
    <t>11485_2</t>
  </si>
  <si>
    <t>ENSG00000174599</t>
  </si>
  <si>
    <t>11499_1</t>
  </si>
  <si>
    <t>ENSG00000203908</t>
  </si>
  <si>
    <t>ENST00000370367_Acinonyx_jubatus_zoonomia</t>
  </si>
  <si>
    <t>11501_1</t>
  </si>
  <si>
    <t>ENSG00000112159</t>
  </si>
  <si>
    <t>ENST00000369393_Acinonyx_jubatus_zoonomia</t>
  </si>
  <si>
    <t>11504_1</t>
  </si>
  <si>
    <t>ENSG00000152784</t>
  </si>
  <si>
    <t>11508_1</t>
  </si>
  <si>
    <t>ENSG00000141456</t>
  </si>
  <si>
    <t>11510_1</t>
  </si>
  <si>
    <t>ENSG00000186260</t>
  </si>
  <si>
    <t>ENST00000318282_Acinonyx_jubatus_zoonomia</t>
  </si>
  <si>
    <t>11512_1</t>
  </si>
  <si>
    <t>ENSG00000006744</t>
  </si>
  <si>
    <t>11517_1</t>
  </si>
  <si>
    <t>ENSG00000011295</t>
  </si>
  <si>
    <t>ENST00000261647_Acinonyx_jubatus_zoonomia</t>
  </si>
  <si>
    <t>11520_2</t>
  </si>
  <si>
    <t>ENSG00000181350</t>
  </si>
  <si>
    <t>ENST00000470794_Acinonyx_jubatus_zoonomia</t>
  </si>
  <si>
    <t>1152_2</t>
  </si>
  <si>
    <t>ENSG00000123119</t>
  </si>
  <si>
    <t>11523_1</t>
  </si>
  <si>
    <t>ENSG00000133030</t>
  </si>
  <si>
    <t>ENST00000395811_Acinonyx_jubatus_zoonomia</t>
  </si>
  <si>
    <t>11523_2</t>
  </si>
  <si>
    <t>ENSG00000100106</t>
  </si>
  <si>
    <t>In_file_11524_1</t>
  </si>
  <si>
    <t>11529_1</t>
  </si>
  <si>
    <t>ENSG00000141026</t>
  </si>
  <si>
    <t>11531_1</t>
  </si>
  <si>
    <t>ENSG00000133027</t>
  </si>
  <si>
    <t>ENST00000255389_Acinonyx_jubatus_zoonomia</t>
  </si>
  <si>
    <t>11534_1</t>
  </si>
  <si>
    <t>ENSG00000100207</t>
  </si>
  <si>
    <t>ENST00000335626_Acinonyx_jubatus_zoonomia</t>
  </si>
  <si>
    <t>11535_1</t>
  </si>
  <si>
    <t>ENSG00000198911</t>
  </si>
  <si>
    <t>ENST00000361204_Acinonyx_jubatus_zoonomia</t>
  </si>
  <si>
    <t>11535_2</t>
  </si>
  <si>
    <t>ENSG00000072310</t>
  </si>
  <si>
    <t>ENST00000395757_Acinonyx_jubatus_zoonomia</t>
  </si>
  <si>
    <t>11536_1</t>
  </si>
  <si>
    <t>ENSG00000171953</t>
  </si>
  <si>
    <t>11538_2</t>
  </si>
  <si>
    <t>ENSG00000100335</t>
  </si>
  <si>
    <t>ENST00000402881_Acinonyx_jubatus_zoonomia</t>
  </si>
  <si>
    <t>11539_2</t>
  </si>
  <si>
    <t>ENSG00000177302</t>
  </si>
  <si>
    <t>ENST00000321105_Acinonyx_jubatus_zoonomia</t>
  </si>
  <si>
    <t>11542_1</t>
  </si>
  <si>
    <t>ENSG00000169057</t>
  </si>
  <si>
    <t>1154_2</t>
  </si>
  <si>
    <t>ENSG00000103042</t>
  </si>
  <si>
    <t>ENST00000564100_Acinonyx_jubatus_zoonomia</t>
  </si>
  <si>
    <t>11543_1</t>
  </si>
  <si>
    <t>ENSG00000178804</t>
  </si>
  <si>
    <t>ENST00000324382_Acinonyx_jubatus_zoonomia</t>
  </si>
  <si>
    <t>11546_1</t>
  </si>
  <si>
    <t>ENSG00000069998</t>
  </si>
  <si>
    <t>ENST00000155674_Acinonyx_jubatus_zoonomia</t>
  </si>
  <si>
    <t>11550_1</t>
  </si>
  <si>
    <t>ENSG00000159335</t>
  </si>
  <si>
    <t>ENST00000309083_Acinonyx_jubatus_zoonomia</t>
  </si>
  <si>
    <t>11552_1</t>
  </si>
  <si>
    <t>ENSG00000131941</t>
  </si>
  <si>
    <t>ENST00000254260_Acinonyx_jubatus_zoonomia</t>
  </si>
  <si>
    <t>11555_1</t>
  </si>
  <si>
    <t>ENSG00000166398</t>
  </si>
  <si>
    <t>11562_1</t>
  </si>
  <si>
    <t>ENSG00000105697</t>
  </si>
  <si>
    <t>ENST00000222304_Acinonyx_jubatus_zoonomia</t>
  </si>
  <si>
    <t>11563_1</t>
  </si>
  <si>
    <t>ENSG00000126266</t>
  </si>
  <si>
    <t>11564_1</t>
  </si>
  <si>
    <t>ENSG00000189001</t>
  </si>
  <si>
    <t>11570_1</t>
  </si>
  <si>
    <t>ENSG00000205155</t>
  </si>
  <si>
    <t>11574_1</t>
  </si>
  <si>
    <t>ENSG00000205138</t>
  </si>
  <si>
    <t>1157_4</t>
  </si>
  <si>
    <t>ENSG00000017483</t>
  </si>
  <si>
    <t>11576_1</t>
  </si>
  <si>
    <t>ENSG00000105258</t>
  </si>
  <si>
    <t>11581_1</t>
  </si>
  <si>
    <t>ENSG00000132286</t>
  </si>
  <si>
    <t>11583_1</t>
  </si>
  <si>
    <t>ENSG00000166337</t>
  </si>
  <si>
    <t>11586_1</t>
  </si>
  <si>
    <t>ENSG00000166405</t>
  </si>
  <si>
    <t>11589_1</t>
  </si>
  <si>
    <t>ENSG00000023892</t>
  </si>
  <si>
    <t>11593_1</t>
  </si>
  <si>
    <t>ENSG00000066654</t>
  </si>
  <si>
    <t>ENST00000381337_Acinonyx_jubatus_zoonomia</t>
  </si>
  <si>
    <t>11_5</t>
  </si>
  <si>
    <t>ENSG00000104814</t>
  </si>
  <si>
    <t>ENST00000589130_Acinonyx_jubatus_zoonomia</t>
  </si>
  <si>
    <t>11600_1</t>
  </si>
  <si>
    <t>ENSG00000142676</t>
  </si>
  <si>
    <t>1160_1</t>
  </si>
  <si>
    <t>ENSG00000140943</t>
  </si>
  <si>
    <t>11606_1</t>
  </si>
  <si>
    <t>ENSG00000117616</t>
  </si>
  <si>
    <t>ENST00000243189_Acinonyx_jubatus_zoonomia</t>
  </si>
  <si>
    <t>11611_1</t>
  </si>
  <si>
    <t>ENSG00000127423</t>
  </si>
  <si>
    <t>1161_1</t>
  </si>
  <si>
    <t>ENSG00000100867</t>
  </si>
  <si>
    <t>ENST00000344777_Acinonyx_jubatus_zoonomia</t>
  </si>
  <si>
    <t>11612_1</t>
  </si>
  <si>
    <t>ENSG00000104435</t>
  </si>
  <si>
    <t>11612_3</t>
  </si>
  <si>
    <t>ENSG00000117632</t>
  </si>
  <si>
    <t>116_1</t>
  </si>
  <si>
    <t>ENSG00000178732</t>
  </si>
  <si>
    <t>ENST00000401815_Acinonyx_jubatus_zoonomia</t>
  </si>
  <si>
    <t>11628_1</t>
  </si>
  <si>
    <t>ENSG00000101216</t>
  </si>
  <si>
    <t>11629_1</t>
  </si>
  <si>
    <t>ENSG00000092853</t>
  </si>
  <si>
    <t>ENST00000251195_Acinonyx_jubatus_zoonomia</t>
  </si>
  <si>
    <t>11630_1</t>
  </si>
  <si>
    <t>ENSG00000066136</t>
  </si>
  <si>
    <t>ENST00000308733_Acinonyx_jubatus_zoonomia</t>
  </si>
  <si>
    <t>11631_1</t>
  </si>
  <si>
    <t>ENSG00000273045</t>
  </si>
  <si>
    <t>11632_1</t>
  </si>
  <si>
    <t>ENSG00000144182</t>
  </si>
  <si>
    <t>ENST00000393471_Acinonyx_jubatus_zoonomia</t>
  </si>
  <si>
    <t>116_3</t>
  </si>
  <si>
    <t>ENSG00000172061</t>
  </si>
  <si>
    <t>ENST00000428839_Acinonyx_jubatus_zoonomia</t>
  </si>
  <si>
    <t>11640_1</t>
  </si>
  <si>
    <t>ENSG00000131725</t>
  </si>
  <si>
    <t>ENST00000254029_Acinonyx_jubatus_zoonomia</t>
  </si>
  <si>
    <t>11648_2</t>
  </si>
  <si>
    <t>ENSG00000157625</t>
  </si>
  <si>
    <t>ENST00000378930_Acinonyx_jubatus_zoonomia</t>
  </si>
  <si>
    <t>11657_1</t>
  </si>
  <si>
    <t>ENSG00000172482</t>
  </si>
  <si>
    <t>ENST00000307503_Acinonyx_jubatus_zoonomia</t>
  </si>
  <si>
    <t>11658_1</t>
  </si>
  <si>
    <t>ENSG00000163528</t>
  </si>
  <si>
    <t>ENST00000396914_Acinonyx_jubatus_zoonomia</t>
  </si>
  <si>
    <t>11661_1</t>
  </si>
  <si>
    <t>ENSG00000131374</t>
  </si>
  <si>
    <t>ENST00000253692_Acinonyx_jubatus_zoonomia</t>
  </si>
  <si>
    <t>11667_1</t>
  </si>
  <si>
    <t>ENSG00000163512</t>
  </si>
  <si>
    <t>11671_1</t>
  </si>
  <si>
    <t>ENSG00000182973</t>
  </si>
  <si>
    <t>11676_1</t>
  </si>
  <si>
    <t>ENSG00000157036</t>
  </si>
  <si>
    <t>ENST00000287675_Acinonyx_jubatus_zoonomia</t>
  </si>
  <si>
    <t>11676_2</t>
  </si>
  <si>
    <t>ENSG00000167136</t>
  </si>
  <si>
    <t>11680_1</t>
  </si>
  <si>
    <t>ENSG00000283526</t>
  </si>
  <si>
    <t>ENST00000636672_Acinonyx_jubatus_zoonomia</t>
  </si>
  <si>
    <t>11681_1</t>
  </si>
  <si>
    <t>ENSG00000204310</t>
  </si>
  <si>
    <t>11682_1</t>
  </si>
  <si>
    <t>ENSG00000138942</t>
  </si>
  <si>
    <t>In_file_11683_1</t>
  </si>
  <si>
    <t>ENSG00000204308</t>
  </si>
  <si>
    <t>11684_1</t>
  </si>
  <si>
    <t>ENSG00000204305</t>
  </si>
  <si>
    <t>ENST00000375069_Acinonyx_jubatus_zoonomia</t>
  </si>
  <si>
    <t>11685_1</t>
  </si>
  <si>
    <t>ENSG00000204296</t>
  </si>
  <si>
    <t>ENST00000442822_Acinonyx_jubatus_zoonomia</t>
  </si>
  <si>
    <t>11690_1</t>
  </si>
  <si>
    <t>ENSG00000204209</t>
  </si>
  <si>
    <t>11695_1</t>
  </si>
  <si>
    <t>ENSG00000137288</t>
  </si>
  <si>
    <t>ENST00000374214_Acinonyx_jubatus_zoonomia</t>
  </si>
  <si>
    <t>11699_1</t>
  </si>
  <si>
    <t>ENSG00000096395</t>
  </si>
  <si>
    <t>11701_1</t>
  </si>
  <si>
    <t>ENSG00000197483</t>
  </si>
  <si>
    <t>ENST00000598519_Acinonyx_jubatus_zoonomia</t>
  </si>
  <si>
    <t>11711_1</t>
  </si>
  <si>
    <t>ENSG00000177025</t>
  </si>
  <si>
    <t>ENST00000314391_Acinonyx_jubatus_zoonomia</t>
  </si>
  <si>
    <t>1171_1</t>
  </si>
  <si>
    <t>ENSG00000185736</t>
  </si>
  <si>
    <t>In_file_1171_2</t>
  </si>
  <si>
    <t>ENSG00000197381</t>
  </si>
  <si>
    <t>1171_2</t>
  </si>
  <si>
    <t>ENSG00000160710</t>
  </si>
  <si>
    <t>In_file_1173_1</t>
  </si>
  <si>
    <t>11717_2</t>
  </si>
  <si>
    <t>ENSG00000005889</t>
  </si>
  <si>
    <t>ENSG00000067646</t>
  </si>
  <si>
    <t>11721_1</t>
  </si>
  <si>
    <t>ENSG00000171116</t>
  </si>
  <si>
    <t>ENST00000370416_Acinonyx_jubatus_zoonomia</t>
  </si>
  <si>
    <t>ENSG00000268738</t>
  </si>
  <si>
    <t>ENST00000598963_Acinonyx_jubatus_zoonomia</t>
  </si>
  <si>
    <t>1172_1</t>
  </si>
  <si>
    <t>ENSG00000056097</t>
  </si>
  <si>
    <t>ENST00000265069_Acinonyx_jubatus_zoonomia</t>
  </si>
  <si>
    <t>11722_1</t>
  </si>
  <si>
    <t>ENSG00000283463</t>
  </si>
  <si>
    <t>ENST00000457775_Acinonyx_jubatus_zoonomia</t>
  </si>
  <si>
    <t>ENSG00000283697</t>
  </si>
  <si>
    <t>ENST00000431993_Acinonyx_jubatus_zoonomia</t>
  </si>
  <si>
    <t>1172_4</t>
  </si>
  <si>
    <t>ENSG00000129351</t>
  </si>
  <si>
    <t>ENSG00000165209</t>
  </si>
  <si>
    <t>In_file_1172_3</t>
  </si>
  <si>
    <t>11729_1</t>
  </si>
  <si>
    <t>ENSG00000128185</t>
  </si>
  <si>
    <t>ENST00000248879_Acinonyx_jubatus_zoonomia</t>
  </si>
  <si>
    <t>ENSG00000183628</t>
  </si>
  <si>
    <t>ENST00000331444_Acinonyx_jubatus_zoonomia</t>
  </si>
  <si>
    <t>ENSG00000283809</t>
  </si>
  <si>
    <t>11730_2</t>
  </si>
  <si>
    <t>ENSG00000100033</t>
  </si>
  <si>
    <t>11734_1</t>
  </si>
  <si>
    <t>ENSG00000242259</t>
  </si>
  <si>
    <t>11735_1</t>
  </si>
  <si>
    <t>ENSG00000185608</t>
  </si>
  <si>
    <t>1175_14</t>
  </si>
  <si>
    <t>ENSG00000131398</t>
  </si>
  <si>
    <t>1175_16</t>
  </si>
  <si>
    <t>ENSG00000162975</t>
  </si>
  <si>
    <t>1175_17</t>
  </si>
  <si>
    <t>ENSG00000168263</t>
  </si>
  <si>
    <t>ENST00000382082_Acinonyx_jubatus_zoonomia</t>
  </si>
  <si>
    <t>1175_18</t>
  </si>
  <si>
    <t>ENSG00000164794</t>
  </si>
  <si>
    <t>1175_21</t>
  </si>
  <si>
    <t>ENSG00000156486</t>
  </si>
  <si>
    <t>1175_23</t>
  </si>
  <si>
    <t>ENSG00000168418</t>
  </si>
  <si>
    <t>1175_26</t>
  </si>
  <si>
    <t>ENSG00000182674</t>
  </si>
  <si>
    <t>1175_2</t>
  </si>
  <si>
    <t>ENSG00000184408</t>
  </si>
  <si>
    <t>ENST00000331113_Acinonyx_jubatus_zoonomia</t>
  </si>
  <si>
    <t>1175_3</t>
  </si>
  <si>
    <t>ENSG00000171385</t>
  </si>
  <si>
    <t>ENST00000302127_Acinonyx_jubatus_zoonomia</t>
  </si>
  <si>
    <t>1175_4</t>
  </si>
  <si>
    <t>ENSG00000104848</t>
  </si>
  <si>
    <t>ENST00000221444_Acinonyx_jubatus_zoonomia</t>
  </si>
  <si>
    <t>1175_7</t>
  </si>
  <si>
    <t>ENSG00000182255</t>
  </si>
  <si>
    <t>11765_1</t>
  </si>
  <si>
    <t>ENSG00000163634</t>
  </si>
  <si>
    <t>11768_1</t>
  </si>
  <si>
    <t>ENSG00000242120</t>
  </si>
  <si>
    <t>1177_1</t>
  </si>
  <si>
    <t>ENSG00000026559</t>
  </si>
  <si>
    <t>ENST00000371571_Acinonyx_jubatus_zoonomia</t>
  </si>
  <si>
    <t>11775_1</t>
  </si>
  <si>
    <t>ENSG00000080822</t>
  </si>
  <si>
    <t>11776_1</t>
  </si>
  <si>
    <t>ENSG00000080819</t>
  </si>
  <si>
    <t>11779_1</t>
  </si>
  <si>
    <t>ENSG00000206535</t>
  </si>
  <si>
    <t>11781_1</t>
  </si>
  <si>
    <t>ENSG00000114646</t>
  </si>
  <si>
    <t>11789_1</t>
  </si>
  <si>
    <t>ENSG00000121570</t>
  </si>
  <si>
    <t>11792_1</t>
  </si>
  <si>
    <t>ENSG00000144827</t>
  </si>
  <si>
    <t>ENST00000273359_Acinonyx_jubatus_zoonomia</t>
  </si>
  <si>
    <t>11793_1</t>
  </si>
  <si>
    <t>ENSG00000114529</t>
  </si>
  <si>
    <t>11798_1</t>
  </si>
  <si>
    <t>ENSG00000144848</t>
  </si>
  <si>
    <t>11799_1</t>
  </si>
  <si>
    <t>ENSG00000091986</t>
  </si>
  <si>
    <t>ENST00000206423_Acinonyx_jubatus_zoonomia</t>
  </si>
  <si>
    <t>11800_1</t>
  </si>
  <si>
    <t>ENSG00000163606</t>
  </si>
  <si>
    <t>ENSG00000206531</t>
  </si>
  <si>
    <t>1180_3</t>
  </si>
  <si>
    <t>ENSG00000117013</t>
  </si>
  <si>
    <t>ENST00000347132_Acinonyx_jubatus_zoonomia</t>
  </si>
  <si>
    <t>11808_1</t>
  </si>
  <si>
    <t>ENSG00000172020</t>
  </si>
  <si>
    <t>11829_1</t>
  </si>
  <si>
    <t>ENSG00000133895</t>
  </si>
  <si>
    <t>ENST00000312049_Acinonyx_jubatus_zoonomia</t>
  </si>
  <si>
    <t>11837_1</t>
  </si>
  <si>
    <t>ENSG00000149823</t>
  </si>
  <si>
    <t>ENST00000528588_Acinonyx_jubatus_zoonomia</t>
  </si>
  <si>
    <t>11838_1</t>
  </si>
  <si>
    <t>ENSG00000174276</t>
  </si>
  <si>
    <t>11839_1</t>
  </si>
  <si>
    <t>ENSG00000149806</t>
  </si>
  <si>
    <t>11841_1</t>
  </si>
  <si>
    <t>ENSG00000149792</t>
  </si>
  <si>
    <t>11842_1</t>
  </si>
  <si>
    <t>ENSG00000014138</t>
  </si>
  <si>
    <t>11847_1</t>
  </si>
  <si>
    <t>ENSG00000172500</t>
  </si>
  <si>
    <t>11852_1</t>
  </si>
  <si>
    <t>ENSG00000175376</t>
  </si>
  <si>
    <t>1185_2</t>
  </si>
  <si>
    <t>ENSG00000165240</t>
  </si>
  <si>
    <t>ENST00000341514_Acinonyx_jubatus_zoonomia</t>
  </si>
  <si>
    <t>11854_2</t>
  </si>
  <si>
    <t>ENSG00000174851</t>
  </si>
  <si>
    <t>11859_1</t>
  </si>
  <si>
    <t>ENSG00000172663</t>
  </si>
  <si>
    <t>11860_2</t>
  </si>
  <si>
    <t>ENSG00000110066</t>
  </si>
  <si>
    <t>11865_1</t>
  </si>
  <si>
    <t>ENSG00000168040</t>
  </si>
  <si>
    <t>11870_1</t>
  </si>
  <si>
    <t>ENSG00000186577</t>
  </si>
  <si>
    <t>11871_1</t>
  </si>
  <si>
    <t>ENSG00000196821</t>
  </si>
  <si>
    <t>11872_1</t>
  </si>
  <si>
    <t>ENSG00000124562</t>
  </si>
  <si>
    <t>11874_1</t>
  </si>
  <si>
    <t>ENSG00000198755</t>
  </si>
  <si>
    <t>11880_1</t>
  </si>
  <si>
    <t>ENSG00000124762</t>
  </si>
  <si>
    <t>1188_2</t>
  </si>
  <si>
    <t>ENSG00000164830</t>
  </si>
  <si>
    <t>11885_1</t>
  </si>
  <si>
    <t>ENSG00000112130</t>
  </si>
  <si>
    <t>11892_1</t>
  </si>
  <si>
    <t>ENSG00000100300</t>
  </si>
  <si>
    <t>ENST00000329563_Acinonyx_jubatus_zoonomia</t>
  </si>
  <si>
    <t>11893_1</t>
  </si>
  <si>
    <t>ENSG00000001167</t>
  </si>
  <si>
    <t>11894_1</t>
  </si>
  <si>
    <t>ENSG00000161911</t>
  </si>
  <si>
    <t>11_8</t>
  </si>
  <si>
    <t>ENSG00000149930</t>
  </si>
  <si>
    <t>11903_1</t>
  </si>
  <si>
    <t>ENSG00000188112</t>
  </si>
  <si>
    <t>11904_1</t>
  </si>
  <si>
    <t>ENSG00000214732</t>
  </si>
  <si>
    <t>ENST00000623004_Acinonyx_jubatus_zoonomia</t>
  </si>
  <si>
    <t>11912_1</t>
  </si>
  <si>
    <t>ENSG00000112658</t>
  </si>
  <si>
    <t>11913_1</t>
  </si>
  <si>
    <t>ENSG00000137221</t>
  </si>
  <si>
    <t>ENST00000259751_Acinonyx_jubatus_zoonomia</t>
  </si>
  <si>
    <t>11917_1</t>
  </si>
  <si>
    <t>ENSG00000160131</t>
  </si>
  <si>
    <t>11919_2</t>
  </si>
  <si>
    <t>ENSG00000213689</t>
  </si>
  <si>
    <t>ENST00000625293_Acinonyx_jubatus_zoonomia</t>
  </si>
  <si>
    <t>11920_1</t>
  </si>
  <si>
    <t>ENSG00000213397</t>
  </si>
  <si>
    <t>11921_1</t>
  </si>
  <si>
    <t>ENSG00000180879</t>
  </si>
  <si>
    <t>1192_1</t>
  </si>
  <si>
    <t>ENSG00000087448</t>
  </si>
  <si>
    <t>11923_1</t>
  </si>
  <si>
    <t>ENSG00000177854</t>
  </si>
  <si>
    <t>11924_1</t>
  </si>
  <si>
    <t>ENSG00000102119</t>
  </si>
  <si>
    <t>11925_1</t>
  </si>
  <si>
    <t>ENSG00000130826</t>
  </si>
  <si>
    <t>ENST00000369550_Acinonyx_jubatus_zoonomia</t>
  </si>
  <si>
    <t>11926_1</t>
  </si>
  <si>
    <t>ENSG00000165832</t>
  </si>
  <si>
    <t>11930_1</t>
  </si>
  <si>
    <t>ENSG00000124333</t>
  </si>
  <si>
    <t>ENST00000262640_Acinonyx_jubatus_zoonomia</t>
  </si>
  <si>
    <t>11936_1</t>
  </si>
  <si>
    <t>ENSG00000147316</t>
  </si>
  <si>
    <t>11948_1</t>
  </si>
  <si>
    <t>ENSG00000253958</t>
  </si>
  <si>
    <t>ENST00000519106_Acinonyx_jubatus_zoonomia</t>
  </si>
  <si>
    <t>11950_1</t>
  </si>
  <si>
    <t>ENSG00000175806</t>
  </si>
  <si>
    <t>1195_1</t>
  </si>
  <si>
    <t>ENSG00000129204</t>
  </si>
  <si>
    <t>11953_1</t>
  </si>
  <si>
    <t>ENSG00000205884</t>
  </si>
  <si>
    <t>ENST00000382209_Acinonyx_jubatus_zoonomia</t>
  </si>
  <si>
    <t>1195_5</t>
  </si>
  <si>
    <t>ENSG00000135655</t>
  </si>
  <si>
    <t>ENST00000280377_Acinonyx_jubatus_zoonomia</t>
  </si>
  <si>
    <t>11957_1</t>
  </si>
  <si>
    <t>ENSG00000232948</t>
  </si>
  <si>
    <t>ENSG00000233050</t>
  </si>
  <si>
    <t>11962_1</t>
  </si>
  <si>
    <t>ENSG00000164743</t>
  </si>
  <si>
    <t>11970_1</t>
  </si>
  <si>
    <t>ENSG00000147457</t>
  </si>
  <si>
    <t>1197_1</t>
  </si>
  <si>
    <t>ENSG00000124422</t>
  </si>
  <si>
    <t>ENST00000537526_Acinonyx_jubatus_zoonomia</t>
  </si>
  <si>
    <t>11972_1</t>
  </si>
  <si>
    <t>ENSG00000166024</t>
  </si>
  <si>
    <t>1197_3</t>
  </si>
  <si>
    <t>ENSG00000273820</t>
  </si>
  <si>
    <t>11979_1</t>
  </si>
  <si>
    <t>ENSG00000168081</t>
  </si>
  <si>
    <t>11980_1</t>
  </si>
  <si>
    <t>ENSG00000164684</t>
  </si>
  <si>
    <t>11986_1</t>
  </si>
  <si>
    <t>ENSG00000104691</t>
  </si>
  <si>
    <t>11990_1</t>
  </si>
  <si>
    <t>ENSG00000147471</t>
  </si>
  <si>
    <t>ENST00000328195_Acinonyx_jubatus_zoonomia</t>
  </si>
  <si>
    <t>11996_1</t>
  </si>
  <si>
    <t>ENSG00000155265</t>
  </si>
  <si>
    <t>11996_2</t>
  </si>
  <si>
    <t>ENSG00000147533</t>
  </si>
  <si>
    <t>1200_1</t>
  </si>
  <si>
    <t>ENSG00000106346</t>
  </si>
  <si>
    <t>ENST00000306177_Acinonyx_jubatus_zoonomia</t>
  </si>
  <si>
    <t>1200_2</t>
  </si>
  <si>
    <t>ENSG00000055483</t>
  </si>
  <si>
    <t>12005_1</t>
  </si>
  <si>
    <t>ENSG00000165164</t>
  </si>
  <si>
    <t>ENST00000378653_Acinonyx_jubatus_zoonomia</t>
  </si>
  <si>
    <t>12029_1</t>
  </si>
  <si>
    <t>ENSG00000130731</t>
  </si>
  <si>
    <t>ENST00000397665_Acinonyx_jubatus_zoonomia</t>
  </si>
  <si>
    <t>12030_1</t>
  </si>
  <si>
    <t>ENSG00000103227</t>
  </si>
  <si>
    <t>ENST00000262301_Acinonyx_jubatus_zoonomia</t>
  </si>
  <si>
    <t>1203_1</t>
  </si>
  <si>
    <t>ENSG00000152061</t>
  </si>
  <si>
    <t>ENST00000251507_Acinonyx_jubatus_zoonomia</t>
  </si>
  <si>
    <t>12035_1</t>
  </si>
  <si>
    <t>ENSG00000100316</t>
  </si>
  <si>
    <t>ENSG00000140986</t>
  </si>
  <si>
    <t>In_file_12035_2</t>
  </si>
  <si>
    <t>12037_1</t>
  </si>
  <si>
    <t>ENSG00000127554</t>
  </si>
  <si>
    <t>12041_1</t>
  </si>
  <si>
    <t>ENSG00000162065</t>
  </si>
  <si>
    <t>ENSG00000260272</t>
  </si>
  <si>
    <t>ENST00000564543_Acinonyx_jubatus_zoonomia</t>
  </si>
  <si>
    <t>1204_2</t>
  </si>
  <si>
    <t>ENSG00000099992</t>
  </si>
  <si>
    <t>12043_1</t>
  </si>
  <si>
    <t>ENSG00000167978</t>
  </si>
  <si>
    <t>ENST00000301740_Acinonyx_jubatus_zoonomia</t>
  </si>
  <si>
    <t>1204_4</t>
  </si>
  <si>
    <t>ENSG00000169221</t>
  </si>
  <si>
    <t>ENST00000409939_Acinonyx_jubatus_zoonomia</t>
  </si>
  <si>
    <t>12046_1</t>
  </si>
  <si>
    <t>ENSG00000262152</t>
  </si>
  <si>
    <t>ENST00000573315_Acinonyx_jubatus_zoonomia</t>
  </si>
  <si>
    <t>12049_1</t>
  </si>
  <si>
    <t>ENSG00000182108</t>
  </si>
  <si>
    <t>12051_1</t>
  </si>
  <si>
    <t>ENSG00000175643</t>
  </si>
  <si>
    <t>1205_1</t>
  </si>
  <si>
    <t>ENSG00000139835</t>
  </si>
  <si>
    <t>ENST00000620217_Acinonyx_jubatus_zoonomia</t>
  </si>
  <si>
    <t>12052_1</t>
  </si>
  <si>
    <t>ENSG00000188897</t>
  </si>
  <si>
    <t>ENST00000598234_Acinonyx_jubatus_zoonomia</t>
  </si>
  <si>
    <t>12054_1</t>
  </si>
  <si>
    <t>ENSG00000184602</t>
  </si>
  <si>
    <t>ENST00000329565_Acinonyx_jubatus_zoonomia</t>
  </si>
  <si>
    <t>12057_1</t>
  </si>
  <si>
    <t>ENSG00000103381</t>
  </si>
  <si>
    <t>ENST00000381774_Acinonyx_jubatus_zoonomia</t>
  </si>
  <si>
    <t>12060_1</t>
  </si>
  <si>
    <t>ENSG00000157045</t>
  </si>
  <si>
    <t>1206_2</t>
  </si>
  <si>
    <t>ENSG00000167202</t>
  </si>
  <si>
    <t>1206_3</t>
  </si>
  <si>
    <t>ENSG00000095383</t>
  </si>
  <si>
    <t>ENST00000375066_Acinonyx_jubatus_zoonomia</t>
  </si>
  <si>
    <t>12064_1</t>
  </si>
  <si>
    <t>ENSG00000046647</t>
  </si>
  <si>
    <t>12068_1</t>
  </si>
  <si>
    <t>ENSG00000147586</t>
  </si>
  <si>
    <t>1207_1</t>
  </si>
  <si>
    <t>ENSG00000133138</t>
  </si>
  <si>
    <t>ENST00000276175_Acinonyx_jubatus_zoonomia</t>
  </si>
  <si>
    <t>12073_1</t>
  </si>
  <si>
    <t>ENSG00000104442</t>
  </si>
  <si>
    <t>1207_4</t>
  </si>
  <si>
    <t>ENSG00000197226</t>
  </si>
  <si>
    <t>12075_1</t>
  </si>
  <si>
    <t>ENSG00000138686</t>
  </si>
  <si>
    <t>1208_3</t>
  </si>
  <si>
    <t>ENSG00000239521</t>
  </si>
  <si>
    <t>ENST00000436886_Acinonyx_jubatus_zoonomia</t>
  </si>
  <si>
    <t>12086_1</t>
  </si>
  <si>
    <t>ENSG00000143486</t>
  </si>
  <si>
    <t>12091_1</t>
  </si>
  <si>
    <t>ENSG00000162894</t>
  </si>
  <si>
    <t>12092_1</t>
  </si>
  <si>
    <t>ENSG00000182795</t>
  </si>
  <si>
    <t>ENST00000359470_Acinonyx_jubatus_zoonomia</t>
  </si>
  <si>
    <t>12100_1</t>
  </si>
  <si>
    <t>ENSG00000143570</t>
  </si>
  <si>
    <t>1210_2</t>
  </si>
  <si>
    <t>ENSG00000109189</t>
  </si>
  <si>
    <t>12104_1</t>
  </si>
  <si>
    <t>ENSG00000181027</t>
  </si>
  <si>
    <t>12107_1</t>
  </si>
  <si>
    <t>ENSG00000142541</t>
  </si>
  <si>
    <t>12110_1</t>
  </si>
  <si>
    <t>ENSG00000262874</t>
  </si>
  <si>
    <t>ENST00000574814_Acinonyx_jubatus_zoonomia</t>
  </si>
  <si>
    <t>1211_10</t>
  </si>
  <si>
    <t>ENSG00000178234</t>
  </si>
  <si>
    <t>1211_12</t>
  </si>
  <si>
    <t>ENSG00000100626</t>
  </si>
  <si>
    <t>1211_14</t>
  </si>
  <si>
    <t>ENSG00000139629</t>
  </si>
  <si>
    <t>ENST00000356317_Acinonyx_jubatus_zoonomia</t>
  </si>
  <si>
    <t>1211_3</t>
  </si>
  <si>
    <t>ENSG00000182870</t>
  </si>
  <si>
    <t>ENST00000328957_Acinonyx_jubatus_zoonomia</t>
  </si>
  <si>
    <t>1211_4</t>
  </si>
  <si>
    <t>ENSG00000185274</t>
  </si>
  <si>
    <t>12115_1</t>
  </si>
  <si>
    <t>ENSG00000088038</t>
  </si>
  <si>
    <t>12116_1</t>
  </si>
  <si>
    <t>ENSG00000105617</t>
  </si>
  <si>
    <t>12117_1</t>
  </si>
  <si>
    <t>ENSG00000170892</t>
  </si>
  <si>
    <t>ENST00000429671_Acinonyx_jubatus_zoonomia</t>
  </si>
  <si>
    <t>1211_7</t>
  </si>
  <si>
    <t>ENSG00000164574</t>
  </si>
  <si>
    <t>1211_8</t>
  </si>
  <si>
    <t>ENSG00000174473</t>
  </si>
  <si>
    <t>1211_9</t>
  </si>
  <si>
    <t>ENSG00000106648</t>
  </si>
  <si>
    <t>ENST00000392800_Acinonyx_jubatus_zoonomia</t>
  </si>
  <si>
    <t>12124_1</t>
  </si>
  <si>
    <t>ENSG00000130595</t>
  </si>
  <si>
    <t>ENST00000278317_Acinonyx_jubatus_zoonomia</t>
  </si>
  <si>
    <t>12124_2</t>
  </si>
  <si>
    <t>ENSG00000118194</t>
  </si>
  <si>
    <t>ENST00000658476_Acinonyx_jubatus_zoonomia</t>
  </si>
  <si>
    <t>12133_1</t>
  </si>
  <si>
    <t>ENSG00000253250</t>
  </si>
  <si>
    <t>12134_1</t>
  </si>
  <si>
    <t>ENSG00000205133</t>
  </si>
  <si>
    <t>12137_1</t>
  </si>
  <si>
    <t>ENSG00000164941</t>
  </si>
  <si>
    <t>12142_1</t>
  </si>
  <si>
    <t>ENSG00000174915</t>
  </si>
  <si>
    <t>12143_1</t>
  </si>
  <si>
    <t>ENSG00000147649</t>
  </si>
  <si>
    <t>12145_1</t>
  </si>
  <si>
    <t>ENSG00000177459</t>
  </si>
  <si>
    <t>12148_1</t>
  </si>
  <si>
    <t>ENSG00000143867</t>
  </si>
  <si>
    <t>12151_1</t>
  </si>
  <si>
    <t>ENSG00000164932</t>
  </si>
  <si>
    <t>ENST00000330295_Acinonyx_jubatus_zoonomia</t>
  </si>
  <si>
    <t>12161_1</t>
  </si>
  <si>
    <t>ENSG00000179152</t>
  </si>
  <si>
    <t>12164_1</t>
  </si>
  <si>
    <t>ENSG00000169964</t>
  </si>
  <si>
    <t>12168_1</t>
  </si>
  <si>
    <t>ENSG00000181585</t>
  </si>
  <si>
    <t>12171_1</t>
  </si>
  <si>
    <t>ENSG00000164047</t>
  </si>
  <si>
    <t>12176_1</t>
  </si>
  <si>
    <t>ENSG00000164053</t>
  </si>
  <si>
    <t>ENST00000320211_Acinonyx_jubatus_zoonomia</t>
  </si>
  <si>
    <t>12177_1</t>
  </si>
  <si>
    <t>ENSG00000164054</t>
  </si>
  <si>
    <t>12178_1</t>
  </si>
  <si>
    <t>ENSG00000145040</t>
  </si>
  <si>
    <t>12180_1</t>
  </si>
  <si>
    <t>ENSG00000213672</t>
  </si>
  <si>
    <t>ENST00000294129_Acinonyx_jubatus_zoonomia</t>
  </si>
  <si>
    <t>12186_1</t>
  </si>
  <si>
    <t>ENSG00000145022</t>
  </si>
  <si>
    <t>12187_1</t>
  </si>
  <si>
    <t>ENSG00000173402</t>
  </si>
  <si>
    <t>ENST00000308775_Acinonyx_jubatus_zoonomia</t>
  </si>
  <si>
    <t>12194_1</t>
  </si>
  <si>
    <t>ENSG00000114383</t>
  </si>
  <si>
    <t>1219_4</t>
  </si>
  <si>
    <t>ENSG00000121005</t>
  </si>
  <si>
    <t>ENST00000262207_Acinonyx_jubatus_zoonomia</t>
  </si>
  <si>
    <t>1219_5</t>
  </si>
  <si>
    <t>ENSG00000103196</t>
  </si>
  <si>
    <t>ENST00000262424_Acinonyx_jubatus_zoonomia</t>
  </si>
  <si>
    <t>12196_1</t>
  </si>
  <si>
    <t>ENSG00000114388</t>
  </si>
  <si>
    <t>12_1</t>
  </si>
  <si>
    <t>ENSG00000177169</t>
  </si>
  <si>
    <t>ENST00000321867_Acinonyx_jubatus_zoonomia</t>
  </si>
  <si>
    <t>12203_2</t>
  </si>
  <si>
    <t>ENSG00000214681</t>
  </si>
  <si>
    <t>12207_1</t>
  </si>
  <si>
    <t>ENSG00000114786</t>
  </si>
  <si>
    <t>ENSG00000243989</t>
  </si>
  <si>
    <t>12210_1</t>
  </si>
  <si>
    <t>ENSG00000099940</t>
  </si>
  <si>
    <t>12215_1</t>
  </si>
  <si>
    <t>ENSG00000099956</t>
  </si>
  <si>
    <t>12216_1</t>
  </si>
  <si>
    <t>ENSG00000099974</t>
  </si>
  <si>
    <t>ENSG00000099977</t>
  </si>
  <si>
    <t>ENSG00000285762</t>
  </si>
  <si>
    <t>12217_1</t>
  </si>
  <si>
    <t>ENSG00000240972</t>
  </si>
  <si>
    <t>ENST00000215754_Acinonyx_jubatus_zoonomia</t>
  </si>
  <si>
    <t>12219_1</t>
  </si>
  <si>
    <t>ENSG00000099991</t>
  </si>
  <si>
    <t>ENST00000263119_Acinonyx_jubatus_zoonomia</t>
  </si>
  <si>
    <t>12221_1</t>
  </si>
  <si>
    <t>ENSG00000206069</t>
  </si>
  <si>
    <t>12225_1</t>
  </si>
  <si>
    <t>ENSG00000169184</t>
  </si>
  <si>
    <t>12229_1</t>
  </si>
  <si>
    <t>ENSG00000100263</t>
  </si>
  <si>
    <t>ENST00000216085_Acinonyx_jubatus_zoonomia</t>
  </si>
  <si>
    <t>1223_6</t>
  </si>
  <si>
    <t>ENSG00000124812</t>
  </si>
  <si>
    <t>12241_1</t>
  </si>
  <si>
    <t>ENSG00000100216</t>
  </si>
  <si>
    <t>ENST00000216034_Acinonyx_jubatus_zoonomia</t>
  </si>
  <si>
    <t>12244_1</t>
  </si>
  <si>
    <t>ENSG00000285025</t>
  </si>
  <si>
    <t>12246_1</t>
  </si>
  <si>
    <t>ENSG00000187051</t>
  </si>
  <si>
    <t>12250_1</t>
  </si>
  <si>
    <t>ENSG00000100413</t>
  </si>
  <si>
    <t>1225_2</t>
  </si>
  <si>
    <t>ENSG00000163812</t>
  </si>
  <si>
    <t>12255_1</t>
  </si>
  <si>
    <t>ENSG00000159958</t>
  </si>
  <si>
    <t>ENST00000291232_Acinonyx_jubatus_zoonomia</t>
  </si>
  <si>
    <t>12259_1</t>
  </si>
  <si>
    <t>ENSG00000184983</t>
  </si>
  <si>
    <t>12277_1</t>
  </si>
  <si>
    <t>ENSG00000173557</t>
  </si>
  <si>
    <t>12278_1</t>
  </si>
  <si>
    <t>ENSG00000213699</t>
  </si>
  <si>
    <t>12281_1</t>
  </si>
  <si>
    <t>ENSG00000138028</t>
  </si>
  <si>
    <t>1228_1</t>
  </si>
  <si>
    <t>ENSG00000104219</t>
  </si>
  <si>
    <t>12287_1</t>
  </si>
  <si>
    <t>ENSG00000243449</t>
  </si>
  <si>
    <t>ENST00000409248_Acinonyx_jubatus_zoonomia</t>
  </si>
  <si>
    <t>12295_1</t>
  </si>
  <si>
    <t>ENSG00000185900</t>
  </si>
  <si>
    <t>12302_1</t>
  </si>
  <si>
    <t>ENSG00000010318</t>
  </si>
  <si>
    <t>ENST00000327906_Acinonyx_jubatus_zoonomia</t>
  </si>
  <si>
    <t>12303_1</t>
  </si>
  <si>
    <t>ENSG00000120658</t>
  </si>
  <si>
    <t>ENST00000261488_Acinonyx_jubatus_zoonomia</t>
  </si>
  <si>
    <t>12305_1</t>
  </si>
  <si>
    <t>ENSG00000174015</t>
  </si>
  <si>
    <t>ENST00000310521_Acinonyx_jubatus_zoonomia</t>
  </si>
  <si>
    <t>12308_1</t>
  </si>
  <si>
    <t>ENSG00000111196</t>
  </si>
  <si>
    <t>12308_2</t>
  </si>
  <si>
    <t>ENSG00000162385</t>
  </si>
  <si>
    <t>12310_1</t>
  </si>
  <si>
    <t>ENSG00000116212</t>
  </si>
  <si>
    <t>12316_1</t>
  </si>
  <si>
    <t>ENSG00000162398</t>
  </si>
  <si>
    <t>12318_1</t>
  </si>
  <si>
    <t>ENSG00000143001</t>
  </si>
  <si>
    <t>12322_1</t>
  </si>
  <si>
    <t>ENSG00000184305</t>
  </si>
  <si>
    <t>12325_1</t>
  </si>
  <si>
    <t>ENSG00000198856</t>
  </si>
  <si>
    <t>12327_1</t>
  </si>
  <si>
    <t>ENSG00000174749</t>
  </si>
  <si>
    <t>123_2</t>
  </si>
  <si>
    <t>ENSG00000151239</t>
  </si>
  <si>
    <t>12330_1</t>
  </si>
  <si>
    <t>ENSG00000073331</t>
  </si>
  <si>
    <t>ENST00000177648_Acinonyx_jubatus_zoonomia</t>
  </si>
  <si>
    <t>12331_2</t>
  </si>
  <si>
    <t>ENSG00000165879</t>
  </si>
  <si>
    <t>ENST00000371021_Acinonyx_jubatus_zoonomia</t>
  </si>
  <si>
    <t>1233_2</t>
  </si>
  <si>
    <t>ENSG00000204160</t>
  </si>
  <si>
    <t>1233_3</t>
  </si>
  <si>
    <t>ENSG00000188706</t>
  </si>
  <si>
    <t>1233_4</t>
  </si>
  <si>
    <t>ENSG00000099904</t>
  </si>
  <si>
    <t>ENST00000405930_Acinonyx_jubatus_zoonomia</t>
  </si>
  <si>
    <t>12345_1</t>
  </si>
  <si>
    <t>ENSG00000180155</t>
  </si>
  <si>
    <t>12348_1</t>
  </si>
  <si>
    <t>ENSG00000120160</t>
  </si>
  <si>
    <t>12353_1</t>
  </si>
  <si>
    <t>ENSG00000284730</t>
  </si>
  <si>
    <t>12358_1</t>
  </si>
  <si>
    <t>ENSG00000139637</t>
  </si>
  <si>
    <t>ENST00000267103_Acinonyx_jubatus_zoonomia</t>
  </si>
  <si>
    <t>12371_1</t>
  </si>
  <si>
    <t>ENSG00000135116</t>
  </si>
  <si>
    <t>12372_1</t>
  </si>
  <si>
    <t>ENSG00000022840</t>
  </si>
  <si>
    <t>12374_1</t>
  </si>
  <si>
    <t>ENSG00000138738</t>
  </si>
  <si>
    <t>12380_1</t>
  </si>
  <si>
    <t>ENSG00000109390</t>
  </si>
  <si>
    <t>ENST00000394223_Acinonyx_jubatus_zoonomia</t>
  </si>
  <si>
    <t>1238_3</t>
  </si>
  <si>
    <t>ENSG00000159714</t>
  </si>
  <si>
    <t>12388_1</t>
  </si>
  <si>
    <t>ENSG00000123200</t>
  </si>
  <si>
    <t>ENST00000242848_Acinonyx_jubatus_zoonomia</t>
  </si>
  <si>
    <t>12399_1</t>
  </si>
  <si>
    <t>ENSG00000175701</t>
  </si>
  <si>
    <t>12400_1</t>
  </si>
  <si>
    <t>ENSG00000153107</t>
  </si>
  <si>
    <t>ENST00000341068_Acinonyx_jubatus_zoonomia</t>
  </si>
  <si>
    <t>12412_1</t>
  </si>
  <si>
    <t>ENSG00000203786</t>
  </si>
  <si>
    <t>ENST00000606109_Acinonyx_jubatus_zoonomia</t>
  </si>
  <si>
    <t>12413_1</t>
  </si>
  <si>
    <t>ENSG00000196734</t>
  </si>
  <si>
    <t>ENST00000360090_Acinonyx_jubatus_zoonomia</t>
  </si>
  <si>
    <t>ENSG00000240386</t>
  </si>
  <si>
    <t>ENST00000334371_Acinonyx_jubatus_zoonomia</t>
  </si>
  <si>
    <t>12414_1</t>
  </si>
  <si>
    <t>ENSG00000197084</t>
  </si>
  <si>
    <t>ENST00000607093_Acinonyx_jubatus_zoonomia</t>
  </si>
  <si>
    <t>124_1</t>
  </si>
  <si>
    <t>ENSG00000137462</t>
  </si>
  <si>
    <t>1242_2</t>
  </si>
  <si>
    <t>ENSG00000153789</t>
  </si>
  <si>
    <t>ENST00000539556_Acinonyx_jubatus_zoonomia</t>
  </si>
  <si>
    <t>12428_1</t>
  </si>
  <si>
    <t>ENSG00000143553</t>
  </si>
  <si>
    <t>12429_1</t>
  </si>
  <si>
    <t>ENSG00000143624</t>
  </si>
  <si>
    <t>ENST00000318967_Acinonyx_jubatus_zoonomia</t>
  </si>
  <si>
    <t>12437_1</t>
  </si>
  <si>
    <t>ENSG00000198771</t>
  </si>
  <si>
    <t>ENST00000367854_Acinonyx_jubatus_zoonomia</t>
  </si>
  <si>
    <t>12439_1</t>
  </si>
  <si>
    <t>ENSG00000135835</t>
  </si>
  <si>
    <t>ENST00000367588_Acinonyx_jubatus_zoonomia</t>
  </si>
  <si>
    <t>12440_1</t>
  </si>
  <si>
    <t>ENSG00000188483</t>
  </si>
  <si>
    <t>12442_1</t>
  </si>
  <si>
    <t>ENSG00000172301</t>
  </si>
  <si>
    <t>124_4</t>
  </si>
  <si>
    <t>ENSG00000174130</t>
  </si>
  <si>
    <t>ENST00000381950_Acinonyx_jubatus_zoonomia</t>
  </si>
  <si>
    <t>12452_1</t>
  </si>
  <si>
    <t>ENSG00000176209</t>
  </si>
  <si>
    <t>12460_1</t>
  </si>
  <si>
    <t>ENSG00000099917</t>
  </si>
  <si>
    <t>ENST00000263205_Acinonyx_jubatus_zoonomia</t>
  </si>
  <si>
    <t>12462_1</t>
  </si>
  <si>
    <t>ENSG00000100218</t>
  </si>
  <si>
    <t>12464_1</t>
  </si>
  <si>
    <t>ENSG00000197077</t>
  </si>
  <si>
    <t>ENST00000358431_Acinonyx_jubatus_zoonomia</t>
  </si>
  <si>
    <t>12478_1</t>
  </si>
  <si>
    <t>ENSG00000100353</t>
  </si>
  <si>
    <t>12480_1</t>
  </si>
  <si>
    <t>ENSG00000100368</t>
  </si>
  <si>
    <t>ENST00000262825_Acinonyx_jubatus_zoonomia</t>
  </si>
  <si>
    <t>12481_1</t>
  </si>
  <si>
    <t>ENSG00000185264</t>
  </si>
  <si>
    <t>ENST00000381821_Acinonyx_jubatus_zoonomia</t>
  </si>
  <si>
    <t>12482_1</t>
  </si>
  <si>
    <t>ENSG00000128309</t>
  </si>
  <si>
    <t>ENST00000429360_Acinonyx_jubatus_zoonomia</t>
  </si>
  <si>
    <t>12485_1</t>
  </si>
  <si>
    <t>ENSG00000100129</t>
  </si>
  <si>
    <t>ENST00000412331_Acinonyx_jubatus_zoonomia</t>
  </si>
  <si>
    <t>12486_1</t>
  </si>
  <si>
    <t>ENSG00000128346</t>
  </si>
  <si>
    <t>ENST00000249079_Acinonyx_jubatus_zoonomia</t>
  </si>
  <si>
    <t>12492_2</t>
  </si>
  <si>
    <t>ENSG00000276644</t>
  </si>
  <si>
    <t>ENST00000611519_Acinonyx_jubatus_zoonomia</t>
  </si>
  <si>
    <t>12494_1</t>
  </si>
  <si>
    <t>ENSG00000136122</t>
  </si>
  <si>
    <t>ENST00000377815_Acinonyx_jubatus_zoonomia</t>
  </si>
  <si>
    <t>12511_1</t>
  </si>
  <si>
    <t>ENSG00000105677</t>
  </si>
  <si>
    <t>1251_1</t>
  </si>
  <si>
    <t>ENSG00000131055</t>
  </si>
  <si>
    <t>12512_1</t>
  </si>
  <si>
    <t>ENSG00000283758</t>
  </si>
  <si>
    <t>12513_1</t>
  </si>
  <si>
    <t>ENSG00000167595</t>
  </si>
  <si>
    <t>ENST00000396908_Acinonyx_jubatus_zoonomia</t>
  </si>
  <si>
    <t>12516_1</t>
  </si>
  <si>
    <t>ENSG00000099341</t>
  </si>
  <si>
    <t>12519_1</t>
  </si>
  <si>
    <t>ENSG00000288460</t>
  </si>
  <si>
    <t>ENST00000672824_Acinonyx_jubatus_zoonomia</t>
  </si>
  <si>
    <t>1252_2</t>
  </si>
  <si>
    <t>ENSG00000140968</t>
  </si>
  <si>
    <t>12527_1</t>
  </si>
  <si>
    <t>ENSG00000160445</t>
  </si>
  <si>
    <t>12527_2</t>
  </si>
  <si>
    <t>ENSG00000162378</t>
  </si>
  <si>
    <t>ENST00000294353_Acinonyx_jubatus_zoonomia</t>
  </si>
  <si>
    <t>12531_1</t>
  </si>
  <si>
    <t>ENSG00000101190</t>
  </si>
  <si>
    <t>12533_1</t>
  </si>
  <si>
    <t>ENSG00000198646</t>
  </si>
  <si>
    <t>ENST00000359003_Acinonyx_jubatus_zoonomia</t>
  </si>
  <si>
    <t>1254_1</t>
  </si>
  <si>
    <t>ENSG00000126456</t>
  </si>
  <si>
    <t>12542_1</t>
  </si>
  <si>
    <t>ENSG00000203896</t>
  </si>
  <si>
    <t>1255_1</t>
  </si>
  <si>
    <t>ENSG00000185507</t>
  </si>
  <si>
    <t>ENST00000348655_Acinonyx_jubatus_zoonomia</t>
  </si>
  <si>
    <t>12554_1</t>
  </si>
  <si>
    <t>ENSG00000148291</t>
  </si>
  <si>
    <t>12559_1</t>
  </si>
  <si>
    <t>ENSG00000196422</t>
  </si>
  <si>
    <t>ENST00000356818_Acinonyx_jubatus_zoonomia</t>
  </si>
  <si>
    <t>12562_1</t>
  </si>
  <si>
    <t>ENSG00000160345</t>
  </si>
  <si>
    <t>In_file_12561_1</t>
  </si>
  <si>
    <t>1256_2</t>
  </si>
  <si>
    <t>ENSG00000168310</t>
  </si>
  <si>
    <t>12569_1</t>
  </si>
  <si>
    <t>ENSG00000165643</t>
  </si>
  <si>
    <t>ENST00000425225_Acinonyx_jubatus_zoonomia</t>
  </si>
  <si>
    <t>12576_1</t>
  </si>
  <si>
    <t>ENSG00000267206</t>
  </si>
  <si>
    <t>ENST00000341206_Acinonyx_jubatus_zoonomia</t>
  </si>
  <si>
    <t>12580_1</t>
  </si>
  <si>
    <t>ENSG00000214402</t>
  </si>
  <si>
    <t>ENST00000408973_Acinonyx_jubatus_zoonomia</t>
  </si>
  <si>
    <t>12590_1</t>
  </si>
  <si>
    <t>ENSG00000159069</t>
  </si>
  <si>
    <t>1259_10</t>
  </si>
  <si>
    <t>ENSG00000125798</t>
  </si>
  <si>
    <t>ENST00000419308_Acinonyx_jubatus_zoonomia</t>
  </si>
  <si>
    <t>1259_11</t>
  </si>
  <si>
    <t>ENSG00000170608</t>
  </si>
  <si>
    <t>ENST00000302177_Acinonyx_jubatus_zoonomia</t>
  </si>
  <si>
    <t>12594_1</t>
  </si>
  <si>
    <t>ENSG00000186193</t>
  </si>
  <si>
    <t>12597_1</t>
  </si>
  <si>
    <t>ENSG00000176101</t>
  </si>
  <si>
    <t>ENST00000322310_Acinonyx_jubatus_zoonomia</t>
  </si>
  <si>
    <t>12598_1</t>
  </si>
  <si>
    <t>ENSG00000187713</t>
  </si>
  <si>
    <t>1259_8</t>
  </si>
  <si>
    <t>ENSG00000171956</t>
  </si>
  <si>
    <t>12606_2</t>
  </si>
  <si>
    <t>ENSG00000116701</t>
  </si>
  <si>
    <t>ENST00000367535_Acinonyx_jubatus_zoonomia</t>
  </si>
  <si>
    <t>12609_1</t>
  </si>
  <si>
    <t>ENSG00000185627</t>
  </si>
  <si>
    <t>12614_1</t>
  </si>
  <si>
    <t>ENSG00000161328</t>
  </si>
  <si>
    <t>12617_1</t>
  </si>
  <si>
    <t>ENSG00000177225</t>
  </si>
  <si>
    <t>12623_1</t>
  </si>
  <si>
    <t>ENSG00000283787</t>
  </si>
  <si>
    <t>ENST00000640310_Acinonyx_jubatus_zoonomia</t>
  </si>
  <si>
    <t>12624_1</t>
  </si>
  <si>
    <t>ENSG00000214026</t>
  </si>
  <si>
    <t>12633_1</t>
  </si>
  <si>
    <t>ENSG00000126756</t>
  </si>
  <si>
    <t>12635_2</t>
  </si>
  <si>
    <t>ENSG00000106299</t>
  </si>
  <si>
    <t>12651_1</t>
  </si>
  <si>
    <t>ENSG00000157693</t>
  </si>
  <si>
    <t>ENST00000288502_Acinonyx_jubatus_zoonomia</t>
  </si>
  <si>
    <t>12656_1</t>
  </si>
  <si>
    <t>ENSG00000119446</t>
  </si>
  <si>
    <t>12661_1</t>
  </si>
  <si>
    <t>ENSG00000119487</t>
  </si>
  <si>
    <t>12662_1</t>
  </si>
  <si>
    <t>ENSG00000197958</t>
  </si>
  <si>
    <t>12664_1</t>
  </si>
  <si>
    <t>ENSG00000160401</t>
  </si>
  <si>
    <t>12672_1</t>
  </si>
  <si>
    <t>ENSG00000119392</t>
  </si>
  <si>
    <t>ENST00000309971_Acinonyx_jubatus_zoonomia</t>
  </si>
  <si>
    <t>12674_1</t>
  </si>
  <si>
    <t>ENSG00000095319</t>
  </si>
  <si>
    <t>ENSG00000251184</t>
  </si>
  <si>
    <t>12675_1</t>
  </si>
  <si>
    <t>ENSG00000167130</t>
  </si>
  <si>
    <t>12676_1</t>
  </si>
  <si>
    <t>ENSG00000119383</t>
  </si>
  <si>
    <t>12681_1</t>
  </si>
  <si>
    <t>ENSG00000136819</t>
  </si>
  <si>
    <t>12686_1</t>
  </si>
  <si>
    <t>ENSG00000126883</t>
  </si>
  <si>
    <t>ENST00000359428_Acinonyx_jubatus_zoonomia</t>
  </si>
  <si>
    <t>12690_1</t>
  </si>
  <si>
    <t>ENSG00000165699</t>
  </si>
  <si>
    <t>ENST00000298552_Acinonyx_jubatus_zoonomia</t>
  </si>
  <si>
    <t>12691_1</t>
  </si>
  <si>
    <t>ENSG00000148308</t>
  </si>
  <si>
    <t>12695_2</t>
  </si>
  <si>
    <t>ENSG00000178233</t>
  </si>
  <si>
    <t>ENST00000438774_Acinonyx_jubatus_zoonomia</t>
  </si>
  <si>
    <t>12697_1</t>
  </si>
  <si>
    <t>ENSG00000168216</t>
  </si>
  <si>
    <t>ENST00000649011_Acinonyx_jubatus_zoonomia</t>
  </si>
  <si>
    <t>12699_1</t>
  </si>
  <si>
    <t>ENSG00000047249</t>
  </si>
  <si>
    <t>ENST00000355221_Acinonyx_jubatus_zoonomia</t>
  </si>
  <si>
    <t>12700_1</t>
  </si>
  <si>
    <t>ENSG00000137547</t>
  </si>
  <si>
    <t>12701_1</t>
  </si>
  <si>
    <t>ENSG00000167904</t>
  </si>
  <si>
    <t>12706_1</t>
  </si>
  <si>
    <t>ENSG00000147576</t>
  </si>
  <si>
    <t>ENSG00000285655</t>
  </si>
  <si>
    <t>1271_1</t>
  </si>
  <si>
    <t>ENSG00000164379</t>
  </si>
  <si>
    <t>ENST00000296839_Acinonyx_jubatus_zoonomia</t>
  </si>
  <si>
    <t>12718_1</t>
  </si>
  <si>
    <t>ENSG00000262484</t>
  </si>
  <si>
    <t>ENST00000571838_Acinonyx_jubatus_zoonomia</t>
  </si>
  <si>
    <t>12719_1</t>
  </si>
  <si>
    <t>ENSG00000179751</t>
  </si>
  <si>
    <t>127_1</t>
  </si>
  <si>
    <t>ENSG00000100399</t>
  </si>
  <si>
    <t>ENST00000216241_Acinonyx_jubatus_zoonomia</t>
  </si>
  <si>
    <t>1272_1</t>
  </si>
  <si>
    <t>ENSG00000164916</t>
  </si>
  <si>
    <t>ENST00000328914_Acinonyx_jubatus_zoonomia</t>
  </si>
  <si>
    <t>12723_1</t>
  </si>
  <si>
    <t>ENSG00000215421</t>
  </si>
  <si>
    <t>ENST00000299687_Acinonyx_jubatus_zoonomia</t>
  </si>
  <si>
    <t>12730_1</t>
  </si>
  <si>
    <t>ENSG00000160688</t>
  </si>
  <si>
    <t>ENST00000292180_Acinonyx_jubatus_zoonomia</t>
  </si>
  <si>
    <t>1273_2</t>
  </si>
  <si>
    <t>ENSG00000065970</t>
  </si>
  <si>
    <t>1274_1</t>
  </si>
  <si>
    <t>ENSG00000160973</t>
  </si>
  <si>
    <t>In_file_1275_1</t>
  </si>
  <si>
    <t>12751_1</t>
  </si>
  <si>
    <t>ENSG00000149313</t>
  </si>
  <si>
    <t>ENST00000278618_Acinonyx_jubatus_zoonomia</t>
  </si>
  <si>
    <t>12754_1</t>
  </si>
  <si>
    <t>ENSG00000204370</t>
  </si>
  <si>
    <t>12764_1</t>
  </si>
  <si>
    <t>ENSG00000150316</t>
  </si>
  <si>
    <t>12769_1</t>
  </si>
  <si>
    <t>ENSG00000126950</t>
  </si>
  <si>
    <t>12780_1</t>
  </si>
  <si>
    <t>ENSG00000103353</t>
  </si>
  <si>
    <t>ENST00000395878_Acinonyx_jubatus_zoonomia</t>
  </si>
  <si>
    <t>1278_2</t>
  </si>
  <si>
    <t>ENSG00000128573</t>
  </si>
  <si>
    <t>ENST00000350908_Acinonyx_jubatus_zoonomia</t>
  </si>
  <si>
    <t>12783_1</t>
  </si>
  <si>
    <t>ENSG00000169627</t>
  </si>
  <si>
    <t>ENST00000305321_Acinonyx_jubatus_zoonomia</t>
  </si>
  <si>
    <t>ENSG00000183336</t>
  </si>
  <si>
    <t>ENST00000330978_Acinonyx_jubatus_zoonomia</t>
  </si>
  <si>
    <t>1278_3</t>
  </si>
  <si>
    <t>ENSG00000114861</t>
  </si>
  <si>
    <t>ENSG00000285708</t>
  </si>
  <si>
    <t>1279_2</t>
  </si>
  <si>
    <t>ENSG00000139445</t>
  </si>
  <si>
    <t>ENST00000299162_Acinonyx_jubatus_zoonomia</t>
  </si>
  <si>
    <t>12793_1</t>
  </si>
  <si>
    <t>ENSG00000182600</t>
  </si>
  <si>
    <t>12799_1</t>
  </si>
  <si>
    <t>ENSG00000196118</t>
  </si>
  <si>
    <t>ENST00000541260_Acinonyx_jubatus_zoonomia</t>
  </si>
  <si>
    <t>12800_1</t>
  </si>
  <si>
    <t>ENSG00000134443</t>
  </si>
  <si>
    <t>ENST00000256857_Acinonyx_jubatus_zoonomia</t>
  </si>
  <si>
    <t>12804_1</t>
  </si>
  <si>
    <t>ENSG00000176225</t>
  </si>
  <si>
    <t>ENST00000640769_Acinonyx_jubatus_zoonomia</t>
  </si>
  <si>
    <t>12805_1</t>
  </si>
  <si>
    <t>ENSG00000184292</t>
  </si>
  <si>
    <t>12810_1</t>
  </si>
  <si>
    <t>ENSG00000149474</t>
  </si>
  <si>
    <t>12812_1</t>
  </si>
  <si>
    <t>ENSG00000132664</t>
  </si>
  <si>
    <t>12814_1</t>
  </si>
  <si>
    <t>ENSG00000232388</t>
  </si>
  <si>
    <t>1281_5</t>
  </si>
  <si>
    <t>ENSG00000204060</t>
  </si>
  <si>
    <t>ENST00000641094_Acinonyx_jubatus_zoonomia</t>
  </si>
  <si>
    <t>128_1</t>
  </si>
  <si>
    <t>ENSG00000188937</t>
  </si>
  <si>
    <t>ENST00000342595_Acinonyx_jubatus_zoonomia</t>
  </si>
  <si>
    <t>12820_1</t>
  </si>
  <si>
    <t>ENSG00000215545</t>
  </si>
  <si>
    <t>ENST00000400549_Acinonyx_jubatus_zoonomia</t>
  </si>
  <si>
    <t>12842_1</t>
  </si>
  <si>
    <t>ENSG00000185222</t>
  </si>
  <si>
    <t>12844_3</t>
  </si>
  <si>
    <t>ENSG00000133142</t>
  </si>
  <si>
    <t>ENSG00000184905</t>
  </si>
  <si>
    <t>12847_1</t>
  </si>
  <si>
    <t>ENSG00000123575</t>
  </si>
  <si>
    <t>1285_1</t>
  </si>
  <si>
    <t>ENSG00000103248</t>
  </si>
  <si>
    <t>12853_1</t>
  </si>
  <si>
    <t>ENSG00000176076</t>
  </si>
  <si>
    <t>12855_1</t>
  </si>
  <si>
    <t>ENSG00000243978</t>
  </si>
  <si>
    <t>ENST00000465301_Acinonyx_jubatus_zoonomia</t>
  </si>
  <si>
    <t>12856_1</t>
  </si>
  <si>
    <t>ENSG00000260802</t>
  </si>
  <si>
    <t>12868_1</t>
  </si>
  <si>
    <t>ENSG00000125676</t>
  </si>
  <si>
    <t>ENST00000245838_Acinonyx_jubatus_zoonomia</t>
  </si>
  <si>
    <t>12870_1</t>
  </si>
  <si>
    <t>ENSG00000171388</t>
  </si>
  <si>
    <t>ENST00000429967_Acinonyx_jubatus_zoonomia</t>
  </si>
  <si>
    <t>1287_1</t>
  </si>
  <si>
    <t>ENSG00000103264</t>
  </si>
  <si>
    <t>ENSG00000131152</t>
  </si>
  <si>
    <t>ENST00000568879_Acinonyx_jubatus_zoonomia</t>
  </si>
  <si>
    <t>12877_1</t>
  </si>
  <si>
    <t>ENSG00000102241</t>
  </si>
  <si>
    <t>ENST00000218364_Acinonyx_jubatus_zoonomia</t>
  </si>
  <si>
    <t>12880_1</t>
  </si>
  <si>
    <t>ENSG00000189252</t>
  </si>
  <si>
    <t>ENSG00000268988</t>
  </si>
  <si>
    <t>1288_1</t>
  </si>
  <si>
    <t>ENSG00000140948</t>
  </si>
  <si>
    <t>12885_1</t>
  </si>
  <si>
    <t>ENSG00000013619</t>
  </si>
  <si>
    <t>ENST00000432680_Acinonyx_jubatus_zoonomia</t>
  </si>
  <si>
    <t>12888_1</t>
  </si>
  <si>
    <t>ENSG00000173349</t>
  </si>
  <si>
    <t>12920_1</t>
  </si>
  <si>
    <t>ENSG00000151779</t>
  </si>
  <si>
    <t>ENST00000281513_Acinonyx_jubatus_zoonomia</t>
  </si>
  <si>
    <t>129_3</t>
  </si>
  <si>
    <t>ENSG00000143278</t>
  </si>
  <si>
    <t>12943_1</t>
  </si>
  <si>
    <t>ENSG00000121486</t>
  </si>
  <si>
    <t>ENST00000367506_Acinonyx_jubatus_zoonomia</t>
  </si>
  <si>
    <t>12946_1</t>
  </si>
  <si>
    <t>ENSG00000099821</t>
  </si>
  <si>
    <t>In_file_12945_1</t>
  </si>
  <si>
    <t>12947_1</t>
  </si>
  <si>
    <t>ENSG00000099812</t>
  </si>
  <si>
    <t>ENST00000215582_Acinonyx_jubatus_zoonomia</t>
  </si>
  <si>
    <t>12950_1</t>
  </si>
  <si>
    <t>ENSG00000182087</t>
  </si>
  <si>
    <t>1295_1</t>
  </si>
  <si>
    <t>ENSG00000104731</t>
  </si>
  <si>
    <t>ENST00000270583_Acinonyx_jubatus_zoonomia</t>
  </si>
  <si>
    <t>12952_1</t>
  </si>
  <si>
    <t>ENSG00000099625</t>
  </si>
  <si>
    <t>ENST00000650044_Acinonyx_jubatus_zoonomia</t>
  </si>
  <si>
    <t>12956_1</t>
  </si>
  <si>
    <t>ENSG00000125912</t>
  </si>
  <si>
    <t>12959_1</t>
  </si>
  <si>
    <t>ENSG00000284638</t>
  </si>
  <si>
    <t>ENST00000641816_Acinonyx_jubatus_zoonomia</t>
  </si>
  <si>
    <t>12960_1</t>
  </si>
  <si>
    <t>ENSG00000129932</t>
  </si>
  <si>
    <t>ENST00000427575_Acinonyx_jubatus_zoonomia</t>
  </si>
  <si>
    <t>12961_1</t>
  </si>
  <si>
    <t>ENSG00000161091</t>
  </si>
  <si>
    <t>ENST00000592652_Acinonyx_jubatus_zoonomia</t>
  </si>
  <si>
    <t>12967_1</t>
  </si>
  <si>
    <t>ENSG00000142494</t>
  </si>
  <si>
    <t>ENSG00000180638</t>
  </si>
  <si>
    <t>ENST00000325411_Acinonyx_jubatus_zoonomia</t>
  </si>
  <si>
    <t>12968_1</t>
  </si>
  <si>
    <t>ENSG00000108599</t>
  </si>
  <si>
    <t>12971_1</t>
  </si>
  <si>
    <t>ENSG00000186143</t>
  </si>
  <si>
    <t>ENST00000432962_Acinonyx_jubatus_zoonomia</t>
  </si>
  <si>
    <t>1297_2</t>
  </si>
  <si>
    <t>ENSG00000151012</t>
  </si>
  <si>
    <t>12975_1</t>
  </si>
  <si>
    <t>ENSG00000257704</t>
  </si>
  <si>
    <t>1297_8</t>
  </si>
  <si>
    <t>ENSG00000164893</t>
  </si>
  <si>
    <t>ENST00000297524_Acinonyx_jubatus_zoonomia</t>
  </si>
  <si>
    <t>12986_1</t>
  </si>
  <si>
    <t>ENSG00000198839</t>
  </si>
  <si>
    <t>ENST00000361822_Acinonyx_jubatus_zoonomia</t>
  </si>
  <si>
    <t>12989_1</t>
  </si>
  <si>
    <t>ENSG00000164603</t>
  </si>
  <si>
    <t>12991_1</t>
  </si>
  <si>
    <t>ENSG00000179921</t>
  </si>
  <si>
    <t>ENST00000479077_Acinonyx_jubatus_zoonomia</t>
  </si>
  <si>
    <t>13000_1</t>
  </si>
  <si>
    <t>ENSG00000100373</t>
  </si>
  <si>
    <t>ENST00000216211_Acinonyx_jubatus_zoonomia</t>
  </si>
  <si>
    <t>130_1</t>
  </si>
  <si>
    <t>ENSG00000123838</t>
  </si>
  <si>
    <t>13039_1</t>
  </si>
  <si>
    <t>ENSG00000125901</t>
  </si>
  <si>
    <t>ENST00000380325_Acinonyx_jubatus_zoonomia</t>
  </si>
  <si>
    <t>13044_1</t>
  </si>
  <si>
    <t>ENSG00000197157</t>
  </si>
  <si>
    <t>ENST00000354725_Acinonyx_jubatus_zoonomia</t>
  </si>
  <si>
    <t>13048_1</t>
  </si>
  <si>
    <t>ENSG00000091732</t>
  </si>
  <si>
    <t>13049_1</t>
  </si>
  <si>
    <t>ENSG00000146842</t>
  </si>
  <si>
    <t>1305_2</t>
  </si>
  <si>
    <t>ENSG00000171596</t>
  </si>
  <si>
    <t>1305_3</t>
  </si>
  <si>
    <t>ENSG00000102539</t>
  </si>
  <si>
    <t>ENST00000218721_Acinonyx_jubatus_zoonomia</t>
  </si>
  <si>
    <t>13055_1</t>
  </si>
  <si>
    <t>ENSG00000128567</t>
  </si>
  <si>
    <t>13057_1</t>
  </si>
  <si>
    <t>ENSG00000205060</t>
  </si>
  <si>
    <t>13059_1</t>
  </si>
  <si>
    <t>ENSG00000122783</t>
  </si>
  <si>
    <t>13061_1</t>
  </si>
  <si>
    <t>ENSG00000146859</t>
  </si>
  <si>
    <t>ENST00000275767_Acinonyx_jubatus_zoonomia</t>
  </si>
  <si>
    <t>1306_1</t>
  </si>
  <si>
    <t>ENSG00000101188</t>
  </si>
  <si>
    <t>ENSG00000169006</t>
  </si>
  <si>
    <t>ENST00000306928_Acinonyx_jubatus_zoonomia</t>
  </si>
  <si>
    <t>1306_2</t>
  </si>
  <si>
    <t>13067_1</t>
  </si>
  <si>
    <t>ENSG00000116747</t>
  </si>
  <si>
    <t>ENST00000367444_Acinonyx_jubatus_zoonomia</t>
  </si>
  <si>
    <t>13071_1</t>
  </si>
  <si>
    <t>ENSG00000187186</t>
  </si>
  <si>
    <t>13075_1</t>
  </si>
  <si>
    <t>ENSG00000159921</t>
  </si>
  <si>
    <t>13084_1</t>
  </si>
  <si>
    <t>ENSG00000130255</t>
  </si>
  <si>
    <t>ENST00000347512_Acinonyx_jubatus_zoonomia</t>
  </si>
  <si>
    <t>13089_1</t>
  </si>
  <si>
    <t>ENSG00000156381</t>
  </si>
  <si>
    <t>13097_1</t>
  </si>
  <si>
    <t>ENSG00000226490</t>
  </si>
  <si>
    <t>ENST00000427937_Acinonyx_jubatus_zoonomia</t>
  </si>
  <si>
    <t>13107_1</t>
  </si>
  <si>
    <t>ENSG00000174917</t>
  </si>
  <si>
    <t>13108_1</t>
  </si>
  <si>
    <t>ENSG00000212123</t>
  </si>
  <si>
    <t>13110_1</t>
  </si>
  <si>
    <t>ENSG00000174886</t>
  </si>
  <si>
    <t>ENST00000418389_Acinonyx_jubatus_zoonomia</t>
  </si>
  <si>
    <t>1311_10</t>
  </si>
  <si>
    <t>ENSG00000128285</t>
  </si>
  <si>
    <t>13113_1</t>
  </si>
  <si>
    <t>ENSG00000125652</t>
  </si>
  <si>
    <t>13114_1</t>
  </si>
  <si>
    <t>ENSG00000125651</t>
  </si>
  <si>
    <t>1311_4</t>
  </si>
  <si>
    <t>ENSG00000125522</t>
  </si>
  <si>
    <t>ENSG00000183729</t>
  </si>
  <si>
    <t>13115_1</t>
  </si>
  <si>
    <t>ENSG00000125657</t>
  </si>
  <si>
    <t>ENST00000245817_Acinonyx_jubatus_zoonomia</t>
  </si>
  <si>
    <t>13117_1</t>
  </si>
  <si>
    <t>ENSG00000125726</t>
  </si>
  <si>
    <t>ENST00000423145_Acinonyx_jubatus_zoonomia</t>
  </si>
  <si>
    <t>1311_8</t>
  </si>
  <si>
    <t>ENSG00000278195</t>
  </si>
  <si>
    <t>ENST00000610913_Acinonyx_jubatus_zoonomia</t>
  </si>
  <si>
    <t>1312_2</t>
  </si>
  <si>
    <t>ENSG00000182687</t>
  </si>
  <si>
    <t>ENST00000329003_Acinonyx_jubatus_zoonomia</t>
  </si>
  <si>
    <t>13128_1</t>
  </si>
  <si>
    <t>ENSG00000107719</t>
  </si>
  <si>
    <t>ENST00000263563_Acinonyx_jubatus_zoonomia</t>
  </si>
  <si>
    <t>131_2</t>
  </si>
  <si>
    <t>ENSG00000174175</t>
  </si>
  <si>
    <t>ENST00000263686_Acinonyx_jubatus_zoonomia</t>
  </si>
  <si>
    <t>13130_1</t>
  </si>
  <si>
    <t>ENSG00000166224</t>
  </si>
  <si>
    <t>1313_6</t>
  </si>
  <si>
    <t>ENSG00000129048</t>
  </si>
  <si>
    <t>1313_8</t>
  </si>
  <si>
    <t>ENSG00000186810</t>
  </si>
  <si>
    <t>ENST00000373693_Acinonyx_jubatus_zoonomia</t>
  </si>
  <si>
    <t>1313_9</t>
  </si>
  <si>
    <t>ENSG00000163464</t>
  </si>
  <si>
    <t>ENSG00000180871</t>
  </si>
  <si>
    <t>13141_1</t>
  </si>
  <si>
    <t>ENSG00000052749</t>
  </si>
  <si>
    <t>13149_1</t>
  </si>
  <si>
    <t>ENSG00000107521</t>
  </si>
  <si>
    <t>13_14</t>
  </si>
  <si>
    <t>ENSG00000165304</t>
  </si>
  <si>
    <t>ENST00000298048_Acinonyx_jubatus_zoonomia</t>
  </si>
  <si>
    <t>13150_1</t>
  </si>
  <si>
    <t>ENSG00000119929</t>
  </si>
  <si>
    <t>13151_1</t>
  </si>
  <si>
    <t>ENSG00000196072</t>
  </si>
  <si>
    <t>1315_1</t>
  </si>
  <si>
    <t>ENSG00000148734</t>
  </si>
  <si>
    <t>13153_1</t>
  </si>
  <si>
    <t>ENSG00000055950</t>
  </si>
  <si>
    <t>ENST00000523148_Acinonyx_jubatus_zoonomia</t>
  </si>
  <si>
    <t>13156_1</t>
  </si>
  <si>
    <t>ENSG00000107829</t>
  </si>
  <si>
    <t>13_15</t>
  </si>
  <si>
    <t>ENSG00000075413</t>
  </si>
  <si>
    <t>ENST00000216288_Acinonyx_jubatus_zoonomia</t>
  </si>
  <si>
    <t>13171_1</t>
  </si>
  <si>
    <t>ENSG00000133619</t>
  </si>
  <si>
    <t>ENST00000496259_Acinonyx_jubatus_zoonomia</t>
  </si>
  <si>
    <t>1317_1</t>
  </si>
  <si>
    <t>ENSG00000163394</t>
  </si>
  <si>
    <t>ENST00000295589_Acinonyx_jubatus_zoonomia</t>
  </si>
  <si>
    <t>13_17</t>
  </si>
  <si>
    <t>ENSG00000072518</t>
  </si>
  <si>
    <t>ENST00000350490_Acinonyx_jubatus_zoonomia</t>
  </si>
  <si>
    <t>1318_3</t>
  </si>
  <si>
    <t>ENSG00000075073</t>
  </si>
  <si>
    <t>ENST00000373306_Acinonyx_jubatus_zoonomia</t>
  </si>
  <si>
    <t>13192_1</t>
  </si>
  <si>
    <t>ENSG00000101850</t>
  </si>
  <si>
    <t>13_1</t>
  </si>
  <si>
    <t>ENSG00000160584</t>
  </si>
  <si>
    <t>ENST00000375300_Acinonyx_jubatus_zoonomia</t>
  </si>
  <si>
    <t>ENSG00000174672</t>
  </si>
  <si>
    <t>ENST00000308219_Acinonyx_jubatus_zoonomia</t>
  </si>
  <si>
    <t>13200_1</t>
  </si>
  <si>
    <t>ENSG00000259330</t>
  </si>
  <si>
    <t>13_20</t>
  </si>
  <si>
    <t>ENSG00000142178</t>
  </si>
  <si>
    <t>ENST00000270162_Acinonyx_jubatus_zoonomia</t>
  </si>
  <si>
    <t>ENSG00000275993</t>
  </si>
  <si>
    <t>ENST00000613488_Acinonyx_jubatus_zoonomia</t>
  </si>
  <si>
    <t>1321_1</t>
  </si>
  <si>
    <t>ENSG00000101292</t>
  </si>
  <si>
    <t>13224_1</t>
  </si>
  <si>
    <t>ENSG00000165650</t>
  </si>
  <si>
    <t>ENST00000334464_Acinonyx_jubatus_zoonomia</t>
  </si>
  <si>
    <t>13230_1</t>
  </si>
  <si>
    <t>ENSG00000284631</t>
  </si>
  <si>
    <t>ENST00000641801_Acinonyx_jubatus_zoonomia</t>
  </si>
  <si>
    <t>ENSG00000284704</t>
  </si>
  <si>
    <t>ENSG00000284725</t>
  </si>
  <si>
    <t>ENST00000641918_Acinonyx_jubatus_zoonomia</t>
  </si>
  <si>
    <t>13236_1</t>
  </si>
  <si>
    <t>ENSG00000130528</t>
  </si>
  <si>
    <t>ENST00000252825_Acinonyx_jubatus_zoonomia</t>
  </si>
  <si>
    <t>13237_1</t>
  </si>
  <si>
    <t>ENSG00000142544</t>
  </si>
  <si>
    <t>13249_1</t>
  </si>
  <si>
    <t>ENSG00000205352</t>
  </si>
  <si>
    <t>ENST00000547368_Acinonyx_jubatus_zoonomia</t>
  </si>
  <si>
    <t>13251_1</t>
  </si>
  <si>
    <t>ENSG00000149231</t>
  </si>
  <si>
    <t>13263_1</t>
  </si>
  <si>
    <t>ENSG00000095713</t>
  </si>
  <si>
    <t>ENST00000370597_Acinonyx_jubatus_zoonomia</t>
  </si>
  <si>
    <t>1326_5</t>
  </si>
  <si>
    <t>ENSG00000174600</t>
  </si>
  <si>
    <t>ENST00000312143_Acinonyx_jubatus_zoonomia</t>
  </si>
  <si>
    <t>1327_2</t>
  </si>
  <si>
    <t>ENSG00000170128</t>
  </si>
  <si>
    <t>1329_3</t>
  </si>
  <si>
    <t>ENSG00000119714</t>
  </si>
  <si>
    <t>1329_4</t>
  </si>
  <si>
    <t>ENSG00000183484</t>
  </si>
  <si>
    <t>13_2</t>
  </si>
  <si>
    <t>ENSG00000139908</t>
  </si>
  <si>
    <t>1333_6</t>
  </si>
  <si>
    <t>ENSG00000169860</t>
  </si>
  <si>
    <t>1335_4</t>
  </si>
  <si>
    <t>ENSG00000182162</t>
  </si>
  <si>
    <t>1336_4</t>
  </si>
  <si>
    <t>ENSG00000120436</t>
  </si>
  <si>
    <t>ENST00000366834_Acinonyx_jubatus_zoonomia</t>
  </si>
  <si>
    <t>1339_4</t>
  </si>
  <si>
    <t>ENSG00000139679</t>
  </si>
  <si>
    <t>1340_1</t>
  </si>
  <si>
    <t>ENSG00000130810</t>
  </si>
  <si>
    <t>ENST00000253107_Acinonyx_jubatus_zoonomia</t>
  </si>
  <si>
    <t>ENSG00000243207</t>
  </si>
  <si>
    <t>ENST00000393796_Acinonyx_jubatus_zoonomia</t>
  </si>
  <si>
    <t>1345_2</t>
  </si>
  <si>
    <t>ENSG00000134830</t>
  </si>
  <si>
    <t>ENST00000595464_Acinonyx_jubatus_zoonomia</t>
  </si>
  <si>
    <t>1346_1</t>
  </si>
  <si>
    <t>ENSG00000171860</t>
  </si>
  <si>
    <t>ENST00000307637_Acinonyx_jubatus_zoonomia</t>
  </si>
  <si>
    <t>1349_1</t>
  </si>
  <si>
    <t>ENSG00000182631</t>
  </si>
  <si>
    <t>ENST00000330120_Acinonyx_jubatus_zoonomia</t>
  </si>
  <si>
    <t>1350_1</t>
  </si>
  <si>
    <t>ENSG00000184451</t>
  </si>
  <si>
    <t>1358_1</t>
  </si>
  <si>
    <t>ENSG00000128617</t>
  </si>
  <si>
    <t>ENST00000249389_Acinonyx_jubatus_zoonomia</t>
  </si>
  <si>
    <t>1359_1</t>
  </si>
  <si>
    <t>ENSG00000054277</t>
  </si>
  <si>
    <t>ENST00000366554_Acinonyx_jubatus_zoonomia</t>
  </si>
  <si>
    <t>ENSG00000203668</t>
  </si>
  <si>
    <t>ENST00000638160_Acinonyx_jubatus_zoonomia</t>
  </si>
  <si>
    <t>1362_1</t>
  </si>
  <si>
    <t>ENSG00000100024</t>
  </si>
  <si>
    <t>ENST00000326010_Acinonyx_jubatus_zoonomia</t>
  </si>
  <si>
    <t>1366_5</t>
  </si>
  <si>
    <t>ENSG00000146383</t>
  </si>
  <si>
    <t>ENST00000275198_Acinonyx_jubatus_zoonomia</t>
  </si>
  <si>
    <t>ENSG00000146385</t>
  </si>
  <si>
    <t>In_file_1366_6</t>
  </si>
  <si>
    <t>1367_14</t>
  </si>
  <si>
    <t>ENSG00000113749</t>
  </si>
  <si>
    <t>ENST00000636584_Acinonyx_jubatus_zoonomia</t>
  </si>
  <si>
    <t>1367_15</t>
  </si>
  <si>
    <t>ENSG00000158748</t>
  </si>
  <si>
    <t>1367_18</t>
  </si>
  <si>
    <t>ENSG00000188778</t>
  </si>
  <si>
    <t>ENST00000345060_Acinonyx_jubatus_zoonomia</t>
  </si>
  <si>
    <t>ENSG00000285880</t>
  </si>
  <si>
    <t>ENST00000647937_Acinonyx_jubatus_zoonomia</t>
  </si>
  <si>
    <t>1368_1</t>
  </si>
  <si>
    <t>ENSG00000133019</t>
  </si>
  <si>
    <t>1370_2</t>
  </si>
  <si>
    <t>ENSG00000149295</t>
  </si>
  <si>
    <t>1373_1</t>
  </si>
  <si>
    <t>ENSG00000101180</t>
  </si>
  <si>
    <t>ENST00000317393_Acinonyx_jubatus_zoonomia</t>
  </si>
  <si>
    <t>138_1</t>
  </si>
  <si>
    <t>ENSG00000174938</t>
  </si>
  <si>
    <t>138_2</t>
  </si>
  <si>
    <t>ENSG00000063015</t>
  </si>
  <si>
    <t>ENST00000360295_Acinonyx_jubatus_zoonomia</t>
  </si>
  <si>
    <t>1390_3</t>
  </si>
  <si>
    <t>ENSG00000185669</t>
  </si>
  <si>
    <t>ENST00000332281_Acinonyx_jubatus_zoonomia</t>
  </si>
  <si>
    <t>139_3</t>
  </si>
  <si>
    <t>ENSG00000168487</t>
  </si>
  <si>
    <t>ENST00000306385_Acinonyx_jubatus_zoonomia</t>
  </si>
  <si>
    <t>1396_1</t>
  </si>
  <si>
    <t>ENSG00000158717</t>
  </si>
  <si>
    <t>ENST00000562544_Acinonyx_jubatus_zoonomia</t>
  </si>
  <si>
    <t>1397_1</t>
  </si>
  <si>
    <t>ENSG00000124226</t>
  </si>
  <si>
    <t>139_7</t>
  </si>
  <si>
    <t>ENSG00000106333</t>
  </si>
  <si>
    <t>ENST00000223061_Acinonyx_jubatus_zoonomia</t>
  </si>
  <si>
    <t>139_8</t>
  </si>
  <si>
    <t>ENSG00000163710</t>
  </si>
  <si>
    <t>1401_1</t>
  </si>
  <si>
    <t>ENSG00000103335</t>
  </si>
  <si>
    <t>ENST00000301015_Acinonyx_jubatus_zoonomia</t>
  </si>
  <si>
    <t>ENSG00000154864</t>
  </si>
  <si>
    <t>ENST00000302079_Acinonyx_jubatus_zoonomia</t>
  </si>
  <si>
    <t>1402_1</t>
  </si>
  <si>
    <t>1405_2</t>
  </si>
  <si>
    <t>ENSG00000141337</t>
  </si>
  <si>
    <t>ENST00000448504_Acinonyx_jubatus_zoonomia</t>
  </si>
  <si>
    <t>1408_2</t>
  </si>
  <si>
    <t>ENSG00000183876</t>
  </si>
  <si>
    <t>1408_3</t>
  </si>
  <si>
    <t>ENSG00000113273</t>
  </si>
  <si>
    <t>141_1</t>
  </si>
  <si>
    <t>ENSG00000138161</t>
  </si>
  <si>
    <t>ENST00000392790_Acinonyx_jubatus_zoonomia</t>
  </si>
  <si>
    <t>1415_2</t>
  </si>
  <si>
    <t>ENSG00000079102</t>
  </si>
  <si>
    <t>1416_1</t>
  </si>
  <si>
    <t>ENSG00000177030</t>
  </si>
  <si>
    <t>ENST00000382409_Acinonyx_jubatus_zoonomia</t>
  </si>
  <si>
    <t>142_1</t>
  </si>
  <si>
    <t>ENSG00000129038</t>
  </si>
  <si>
    <t>ENSG00000134013</t>
  </si>
  <si>
    <t>ENST00000389131_Acinonyx_jubatus_zoonomia</t>
  </si>
  <si>
    <t>1422_1</t>
  </si>
  <si>
    <t>ENSG00000167107</t>
  </si>
  <si>
    <t>142_2</t>
  </si>
  <si>
    <t>ENSG00000113083</t>
  </si>
  <si>
    <t>1423_4</t>
  </si>
  <si>
    <t>ENSG00000068366</t>
  </si>
  <si>
    <t>ENST00000340800_Acinonyx_jubatus_zoonomia</t>
  </si>
  <si>
    <t>1424_1</t>
  </si>
  <si>
    <t>ENSG00000103740</t>
  </si>
  <si>
    <t>ENST00000258873_Acinonyx_jubatus_zoonomia</t>
  </si>
  <si>
    <t>1425_1</t>
  </si>
  <si>
    <t>ENSG00000130304</t>
  </si>
  <si>
    <t>1429_1</t>
  </si>
  <si>
    <t>ENSG00000138376</t>
  </si>
  <si>
    <t>1432_1</t>
  </si>
  <si>
    <t>ENSG00000160949</t>
  </si>
  <si>
    <t>ENST00000409379_Acinonyx_jubatus_zoonomia</t>
  </si>
  <si>
    <t>1435_3</t>
  </si>
  <si>
    <t>ENSG00000165887</t>
  </si>
  <si>
    <t>ENST00000298808_Acinonyx_jubatus_zoonomia</t>
  </si>
  <si>
    <t>1440_4</t>
  </si>
  <si>
    <t>ENSG00000130703</t>
  </si>
  <si>
    <t>1440_7</t>
  </si>
  <si>
    <t>ENSG00000006025</t>
  </si>
  <si>
    <t>In_file_1440_1</t>
  </si>
  <si>
    <t>ENSG00000110048</t>
  </si>
  <si>
    <t>144_1</t>
  </si>
  <si>
    <t>ENSG00000179954</t>
  </si>
  <si>
    <t>1442_1</t>
  </si>
  <si>
    <t>ENSG00000161664</t>
  </si>
  <si>
    <t>1442_2</t>
  </si>
  <si>
    <t>ENSG00000146926</t>
  </si>
  <si>
    <t>1445_12</t>
  </si>
  <si>
    <t>ENSG00000127980</t>
  </si>
  <si>
    <t>ENST00000248633_Acinonyx_jubatus_zoonomia</t>
  </si>
  <si>
    <t>1445_3</t>
  </si>
  <si>
    <t>ENSG00000124587</t>
  </si>
  <si>
    <t>1445_9</t>
  </si>
  <si>
    <t>ENSG00000197912</t>
  </si>
  <si>
    <t>ENST00000646303_Acinonyx_jubatus_zoonomia</t>
  </si>
  <si>
    <t>1447_3</t>
  </si>
  <si>
    <t>ENSG00000102781</t>
  </si>
  <si>
    <t>ENST00000380615_Acinonyx_jubatus_zoonomia</t>
  </si>
  <si>
    <t>1448_1</t>
  </si>
  <si>
    <t>ENSG00000261308</t>
  </si>
  <si>
    <t>ENST00000564840_Acinonyx_jubatus_zoonomia</t>
  </si>
  <si>
    <t>1449_1</t>
  </si>
  <si>
    <t>ENSG00000073969</t>
  </si>
  <si>
    <t>ENST00000398238_Acinonyx_jubatus_zoonomia</t>
  </si>
  <si>
    <t>1453_2</t>
  </si>
  <si>
    <t>ENSG00000144550</t>
  </si>
  <si>
    <t>1453_4</t>
  </si>
  <si>
    <t>ENSG00000100884</t>
  </si>
  <si>
    <t>ENSG00000178773</t>
  </si>
  <si>
    <t>1456_10</t>
  </si>
  <si>
    <t>ENSG00000196228</t>
  </si>
  <si>
    <t>ENST00000329106_Acinonyx_jubatus_zoonomia</t>
  </si>
  <si>
    <t>1456_3</t>
  </si>
  <si>
    <t>ENSG00000196502</t>
  </si>
  <si>
    <t>ENSG00000197165</t>
  </si>
  <si>
    <t>ENSG00000213648</t>
  </si>
  <si>
    <t>ENSG00000261052</t>
  </si>
  <si>
    <t>1460_1</t>
  </si>
  <si>
    <t>ENSG00000015413</t>
  </si>
  <si>
    <t>ENST00000261615_Acinonyx_jubatus_zoonomia</t>
  </si>
  <si>
    <t>1460_2</t>
  </si>
  <si>
    <t>ENSG00000141096</t>
  </si>
  <si>
    <t>1462_1</t>
  </si>
  <si>
    <t>ENSG00000263201</t>
  </si>
  <si>
    <t>146_2</t>
  </si>
  <si>
    <t>ENSG00000122861</t>
  </si>
  <si>
    <t>ENST00000372764_Acinonyx_jubatus_zoonomia</t>
  </si>
  <si>
    <t>1464_2</t>
  </si>
  <si>
    <t>ENSG00000255112</t>
  </si>
  <si>
    <t>146_4</t>
  </si>
  <si>
    <t>ENSG00000109758</t>
  </si>
  <si>
    <t>ENST00000382774_Acinonyx_jubatus_zoonomia</t>
  </si>
  <si>
    <t>1466_1</t>
  </si>
  <si>
    <t>ENSG00000158792</t>
  </si>
  <si>
    <t>1467_1</t>
  </si>
  <si>
    <t>ENSG00000158480</t>
  </si>
  <si>
    <t>ENST00000289431_Acinonyx_jubatus_zoonomia</t>
  </si>
  <si>
    <t>1468_1</t>
  </si>
  <si>
    <t>ENSG00000075399</t>
  </si>
  <si>
    <t>1471_1</t>
  </si>
  <si>
    <t>ENSG00000187741</t>
  </si>
  <si>
    <t>ENST00000389301_Acinonyx_jubatus_zoonomia</t>
  </si>
  <si>
    <t>1472_1</t>
  </si>
  <si>
    <t>ENSG00000204991</t>
  </si>
  <si>
    <t>147_23</t>
  </si>
  <si>
    <t>ENSG00000187045</t>
  </si>
  <si>
    <t>147_26</t>
  </si>
  <si>
    <t>ENSG00000178297</t>
  </si>
  <si>
    <t>147_29</t>
  </si>
  <si>
    <t>ENSG00000198092</t>
  </si>
  <si>
    <t>1474_1</t>
  </si>
  <si>
    <t>ENSG00000141002</t>
  </si>
  <si>
    <t>1476_11</t>
  </si>
  <si>
    <t>ENSG00000101162</t>
  </si>
  <si>
    <t>ENST00000217133_Acinonyx_jubatus_zoonomia</t>
  </si>
  <si>
    <t>1476_18</t>
  </si>
  <si>
    <t>ENSG00000123416</t>
  </si>
  <si>
    <t>In_file_1476_15</t>
  </si>
  <si>
    <t>ENSG00000127824</t>
  </si>
  <si>
    <t>ENST00000248437_Acinonyx_jubatus_zoonomia</t>
  </si>
  <si>
    <t>1476_1</t>
  </si>
  <si>
    <t>ENSG00000037042</t>
  </si>
  <si>
    <t>ENSG00000131462</t>
  </si>
  <si>
    <t>1476_4</t>
  </si>
  <si>
    <t>ENSG00000104833</t>
  </si>
  <si>
    <t>ENSG00000137267</t>
  </si>
  <si>
    <t>In_file_1476_5</t>
  </si>
  <si>
    <t>ENSG00000137285</t>
  </si>
  <si>
    <t>In_file_1476_6</t>
  </si>
  <si>
    <t>ENSG00000173213</t>
  </si>
  <si>
    <t>ENSG00000188229</t>
  </si>
  <si>
    <t>ENSG00000261456</t>
  </si>
  <si>
    <t>1476_5</t>
  </si>
  <si>
    <t>1476_9</t>
  </si>
  <si>
    <t>ENSG00000198211</t>
  </si>
  <si>
    <t>ENST00000556922_Acinonyx_jubatus_zoonomia</t>
  </si>
  <si>
    <t>ENSG00000258947</t>
  </si>
  <si>
    <t>In_file_1477_1</t>
  </si>
  <si>
    <t>1482_3</t>
  </si>
  <si>
    <t>ENSG00000146360</t>
  </si>
  <si>
    <t>1483_2</t>
  </si>
  <si>
    <t>ENSG00000170989</t>
  </si>
  <si>
    <t>1483_3</t>
  </si>
  <si>
    <t>ENSG00000213694</t>
  </si>
  <si>
    <t>1484_2</t>
  </si>
  <si>
    <t>ENSG00000188822</t>
  </si>
  <si>
    <t>ENST00000374472_Acinonyx_jubatus_zoonomia</t>
  </si>
  <si>
    <t>1485_1</t>
  </si>
  <si>
    <t>ENSG00000147262</t>
  </si>
  <si>
    <t>ENST00000276218_Acinonyx_jubatus_zoonomia</t>
  </si>
  <si>
    <t>1490_2</t>
  </si>
  <si>
    <t>ENSG00000102445</t>
  </si>
  <si>
    <t>1493_11</t>
  </si>
  <si>
    <t>ENSG00000126785</t>
  </si>
  <si>
    <t>1493_15</t>
  </si>
  <si>
    <t>ENSG00000177105</t>
  </si>
  <si>
    <t>1493_2</t>
  </si>
  <si>
    <t>ENSG00000172602</t>
  </si>
  <si>
    <t>1493_4</t>
  </si>
  <si>
    <t>ENSG00000139725</t>
  </si>
  <si>
    <t>1493_6</t>
  </si>
  <si>
    <t>ENSG00000143878</t>
  </si>
  <si>
    <t>ENST00000272233_Acinonyx_jubatus_zoonomia</t>
  </si>
  <si>
    <t>1493_9</t>
  </si>
  <si>
    <t>ENSG00000070831</t>
  </si>
  <si>
    <t>1494_1</t>
  </si>
  <si>
    <t>ENSG00000128340</t>
  </si>
  <si>
    <t>ENST00000249071_Acinonyx_jubatus_zoonomia</t>
  </si>
  <si>
    <t>ENSG00000169750</t>
  </si>
  <si>
    <t>In_file_1493_16</t>
  </si>
  <si>
    <t>In_file_1493_15</t>
  </si>
  <si>
    <t>149_6</t>
  </si>
  <si>
    <t>ENSG00000126218</t>
  </si>
  <si>
    <t>1499_10</t>
  </si>
  <si>
    <t>ENSG00000143622</t>
  </si>
  <si>
    <t>1499_16</t>
  </si>
  <si>
    <t>ENSG00000127314</t>
  </si>
  <si>
    <t>1499_1</t>
  </si>
  <si>
    <t>ENSG00000006451</t>
  </si>
  <si>
    <t>1499_3</t>
  </si>
  <si>
    <t>ENSG00000133703</t>
  </si>
  <si>
    <t>1499_4</t>
  </si>
  <si>
    <t>ENSG00000213281</t>
  </si>
  <si>
    <t>1499_6</t>
  </si>
  <si>
    <t>ENSG00000158186</t>
  </si>
  <si>
    <t>1499_7</t>
  </si>
  <si>
    <t>ENSG00000133818</t>
  </si>
  <si>
    <t>1499_9</t>
  </si>
  <si>
    <t>ENSG00000152214</t>
  </si>
  <si>
    <t>1503_1</t>
  </si>
  <si>
    <t>ENSG00000176490</t>
  </si>
  <si>
    <t>1504_1</t>
  </si>
  <si>
    <t>ENSG00000100302</t>
  </si>
  <si>
    <t>ENST00000216127_Acinonyx_jubatus_zoonomia</t>
  </si>
  <si>
    <t>1505_1</t>
  </si>
  <si>
    <t>ENSG00000134533</t>
  </si>
  <si>
    <t>1507_1</t>
  </si>
  <si>
    <t>ENSG00000103710</t>
  </si>
  <si>
    <t>1508_2</t>
  </si>
  <si>
    <t>ENSG00000167550</t>
  </si>
  <si>
    <t>1509_1</t>
  </si>
  <si>
    <t>ENSG00000187682</t>
  </si>
  <si>
    <t>ENST00000338270_Acinonyx_jubatus_zoonomia</t>
  </si>
  <si>
    <t>1510_13</t>
  </si>
  <si>
    <t>ENSG00000174903</t>
  </si>
  <si>
    <t>1510_16</t>
  </si>
  <si>
    <t>ENSG00000137502</t>
  </si>
  <si>
    <t>1510_21</t>
  </si>
  <si>
    <t>ENSG00000132698</t>
  </si>
  <si>
    <t>1510_22</t>
  </si>
  <si>
    <t>ENSG00000099246</t>
  </si>
  <si>
    <t>1510_27</t>
  </si>
  <si>
    <t>ENSG00000129472</t>
  </si>
  <si>
    <t>1510_2</t>
  </si>
  <si>
    <t>ENSG00000105649</t>
  </si>
  <si>
    <t>1510_4</t>
  </si>
  <si>
    <t>ENSG00000169213</t>
  </si>
  <si>
    <t>1510_8</t>
  </si>
  <si>
    <t>ENSG00000139998</t>
  </si>
  <si>
    <t>1513_6</t>
  </si>
  <si>
    <t>ENSG00000108774</t>
  </si>
  <si>
    <t>1513_7</t>
  </si>
  <si>
    <t>ENSG00000080371</t>
  </si>
  <si>
    <t>1513_9</t>
  </si>
  <si>
    <t>ENSG00000175582</t>
  </si>
  <si>
    <t>ENST00000310653_Acinonyx_jubatus_zoonomia</t>
  </si>
  <si>
    <t>ENSG00000222014</t>
  </si>
  <si>
    <t>ENST00000410061_Acinonyx_jubatus_zoonomia</t>
  </si>
  <si>
    <t>ENSG00000233087</t>
  </si>
  <si>
    <t>ENST00000623617_Acinonyx_jubatus_zoonomia</t>
  </si>
  <si>
    <t>15_1</t>
  </si>
  <si>
    <t>ENSG00000110931</t>
  </si>
  <si>
    <t>1523_1</t>
  </si>
  <si>
    <t>ENSG00000102128</t>
  </si>
  <si>
    <t>In_file_1523_3</t>
  </si>
  <si>
    <t>ENSG00000141542</t>
  </si>
  <si>
    <t>ENST00000571995_Acinonyx_jubatus_zoonomia</t>
  </si>
  <si>
    <t>ENSG00000172476</t>
  </si>
  <si>
    <t>1531_1</t>
  </si>
  <si>
    <t>ENSG00000118508</t>
  </si>
  <si>
    <t>1534_2</t>
  </si>
  <si>
    <t>ENSG00000123595</t>
  </si>
  <si>
    <t>1534_3</t>
  </si>
  <si>
    <t>ENSG00000276600</t>
  </si>
  <si>
    <t>1535_1</t>
  </si>
  <si>
    <t>ENSG00000138069</t>
  </si>
  <si>
    <t>1537_1</t>
  </si>
  <si>
    <t>ENSG00000112210</t>
  </si>
  <si>
    <t>1539_10</t>
  </si>
  <si>
    <t>ENSG00000123165</t>
  </si>
  <si>
    <t>ENST00000371124_Acinonyx_jubatus_zoonomia</t>
  </si>
  <si>
    <t>ENSG00000169717</t>
  </si>
  <si>
    <t>ENST00000378404_Acinonyx_jubatus_zoonomia</t>
  </si>
  <si>
    <t>1539_14</t>
  </si>
  <si>
    <t>ENSG00000115073</t>
  </si>
  <si>
    <t>1539_15</t>
  </si>
  <si>
    <t>ENSG00000138107</t>
  </si>
  <si>
    <t>1539_17</t>
  </si>
  <si>
    <t>ENSG00000163017</t>
  </si>
  <si>
    <t>1539_19</t>
  </si>
  <si>
    <t>ENSG00000107796</t>
  </si>
  <si>
    <t>1539_1</t>
  </si>
  <si>
    <t>ENSG00000077080</t>
  </si>
  <si>
    <t>ENST00000160382_Acinonyx_jubatus_zoonomia</t>
  </si>
  <si>
    <t>1539_4</t>
  </si>
  <si>
    <t>ENSG00000106526</t>
  </si>
  <si>
    <t>ENSG00000133627</t>
  </si>
  <si>
    <t>ENST00000256001_Acinonyx_jubatus_zoonomia</t>
  </si>
  <si>
    <t>1539_6</t>
  </si>
  <si>
    <t>ENSG00000181786</t>
  </si>
  <si>
    <t>1541_1</t>
  </si>
  <si>
    <t>ENSG00000117148</t>
  </si>
  <si>
    <t>154_1</t>
  </si>
  <si>
    <t>ENSG00000141086</t>
  </si>
  <si>
    <t>1543_1</t>
  </si>
  <si>
    <t>ENSG00000075089</t>
  </si>
  <si>
    <t>154_3</t>
  </si>
  <si>
    <t>ENSG00000168925</t>
  </si>
  <si>
    <t>ENSG00000168928</t>
  </si>
  <si>
    <t>1544_2</t>
  </si>
  <si>
    <t>ENSG00000163046</t>
  </si>
  <si>
    <t>ENSG00000166351</t>
  </si>
  <si>
    <t>In_file_1546_1</t>
  </si>
  <si>
    <t>ENSG00000172014</t>
  </si>
  <si>
    <t>In_file_1545_1</t>
  </si>
  <si>
    <t>ENSG00000180071</t>
  </si>
  <si>
    <t>ENSG00000183148</t>
  </si>
  <si>
    <t>ENSG00000183206</t>
  </si>
  <si>
    <t>ENSG00000187537</t>
  </si>
  <si>
    <t>ENSG00000198062</t>
  </si>
  <si>
    <t>ENSG00000222036</t>
  </si>
  <si>
    <t>ENSG00000230031</t>
  </si>
  <si>
    <t>ENSG00000230453</t>
  </si>
  <si>
    <t>ENSG00000233917</t>
  </si>
  <si>
    <t>ENSG00000260691</t>
  </si>
  <si>
    <t>ENSG00000276203</t>
  </si>
  <si>
    <t>ENSG00000278522</t>
  </si>
  <si>
    <t>1545_1</t>
  </si>
  <si>
    <t>ENSG00000107890</t>
  </si>
  <si>
    <t>ENST00000376087_Acinonyx_jubatus_zoonomia</t>
  </si>
  <si>
    <t>ENSG00000135976</t>
  </si>
  <si>
    <t>ENSG00000148513</t>
  </si>
  <si>
    <t>ENSG00000170160</t>
  </si>
  <si>
    <t>ENSG00000174501</t>
  </si>
  <si>
    <t>ENSG00000180777</t>
  </si>
  <si>
    <t>ENST00000665241_Acinonyx_jubatus_zoonomia</t>
  </si>
  <si>
    <t>ENSG00000181626</t>
  </si>
  <si>
    <t>ENSG00000196912</t>
  </si>
  <si>
    <t>1546_1</t>
  </si>
  <si>
    <t>ENSG00000188219</t>
  </si>
  <si>
    <t>ENSG00000196604</t>
  </si>
  <si>
    <t>ENSG00000196834</t>
  </si>
  <si>
    <t>ENSG00000222038</t>
  </si>
  <si>
    <t>154_9</t>
  </si>
  <si>
    <t>ENSG00000142615</t>
  </si>
  <si>
    <t>ENST00000359621_Acinonyx_jubatus_zoonomia</t>
  </si>
  <si>
    <t>ENSG00000162438</t>
  </si>
  <si>
    <t>ENST00000375949_Acinonyx_jubatus_zoonomia</t>
  </si>
  <si>
    <t>ENSG00000215704</t>
  </si>
  <si>
    <t>ENST00000375910_Acinonyx_jubatus_zoonomia</t>
  </si>
  <si>
    <t>1550_1</t>
  </si>
  <si>
    <t>ENSG00000131966</t>
  </si>
  <si>
    <t>1553_10</t>
  </si>
  <si>
    <t>ENSG00000197150</t>
  </si>
  <si>
    <t>1553_11</t>
  </si>
  <si>
    <t>ENSG00000150967</t>
  </si>
  <si>
    <t>ENST00000344275_Acinonyx_jubatus_zoonomia</t>
  </si>
  <si>
    <t>1553_4</t>
  </si>
  <si>
    <t>ENSG00000005471</t>
  </si>
  <si>
    <t>In_file_1553_5</t>
  </si>
  <si>
    <t>ENSG00000073734</t>
  </si>
  <si>
    <t>In_file_1553_8</t>
  </si>
  <si>
    <t>1553_9</t>
  </si>
  <si>
    <t>ENSG00000135776</t>
  </si>
  <si>
    <t>ENST00000344517_Acinonyx_jubatus_zoonomia</t>
  </si>
  <si>
    <t>155_4</t>
  </si>
  <si>
    <t>ENSG00000173531</t>
  </si>
  <si>
    <t>ENST00000449682_Acinonyx_jubatus_zoonomia</t>
  </si>
  <si>
    <t>1557_11</t>
  </si>
  <si>
    <t>ENSG00000167972</t>
  </si>
  <si>
    <t>In_file_1557_13</t>
  </si>
  <si>
    <t>1557_3</t>
  </si>
  <si>
    <t>ENSG00000141338</t>
  </si>
  <si>
    <t>156_1</t>
  </si>
  <si>
    <t>ENSG00000010438</t>
  </si>
  <si>
    <t>ENST00000361005_Acinonyx_jubatus_zoonomia</t>
  </si>
  <si>
    <t>ENSG00000204983</t>
  </si>
  <si>
    <t>ENST00000311737_Acinonyx_jubatus_zoonomia</t>
  </si>
  <si>
    <t>ENSG00000275896</t>
  </si>
  <si>
    <t>ENST00000632998_Acinonyx_jubatus_zoonomia</t>
  </si>
  <si>
    <t>1565_1</t>
  </si>
  <si>
    <t>ENSG00000135801</t>
  </si>
  <si>
    <t>1565_2</t>
  </si>
  <si>
    <t>ENSG00000148835</t>
  </si>
  <si>
    <t>1566_7</t>
  </si>
  <si>
    <t>ENSG00000007168</t>
  </si>
  <si>
    <t>1567_3</t>
  </si>
  <si>
    <t>ENSG00000109670</t>
  </si>
  <si>
    <t>ENST00000281708_Acinonyx_jubatus_zoonomia</t>
  </si>
  <si>
    <t>1569_1</t>
  </si>
  <si>
    <t>ENSG00000136875</t>
  </si>
  <si>
    <t>157_1</t>
  </si>
  <si>
    <t>ENSG00000129451</t>
  </si>
  <si>
    <t>1574_1</t>
  </si>
  <si>
    <t>ENSG00000140854</t>
  </si>
  <si>
    <t>ENST00000379661_Acinonyx_jubatus_zoonomia</t>
  </si>
  <si>
    <t>1575_1</t>
  </si>
  <si>
    <t>ENSG00000177565</t>
  </si>
  <si>
    <t>1575_2</t>
  </si>
  <si>
    <t>ENSG00000092377</t>
  </si>
  <si>
    <t>ENST00000346432_Acinonyx_jubatus_zoonomia</t>
  </si>
  <si>
    <t>ENSG00000101849</t>
  </si>
  <si>
    <t>ENST00000647060_Acinonyx_jubatus_zoonomia</t>
  </si>
  <si>
    <t>157_5</t>
  </si>
  <si>
    <t>ENSG00000129437</t>
  </si>
  <si>
    <t>ENST00000391802_Acinonyx_jubatus_zoonomia</t>
  </si>
  <si>
    <t>1576_1</t>
  </si>
  <si>
    <t>ENSG00000183751</t>
  </si>
  <si>
    <t>1577_3</t>
  </si>
  <si>
    <t>ENSG00000078369</t>
  </si>
  <si>
    <t>1577_4</t>
  </si>
  <si>
    <t>ENSG00000172354</t>
  </si>
  <si>
    <t>1577_6</t>
  </si>
  <si>
    <t>ENSG00000069966</t>
  </si>
  <si>
    <t>157_8</t>
  </si>
  <si>
    <t>ENSG00000167755</t>
  </si>
  <si>
    <t>1581_1</t>
  </si>
  <si>
    <t>ENSG00000144451</t>
  </si>
  <si>
    <t>1587_1</t>
  </si>
  <si>
    <t>ENSG00000110107</t>
  </si>
  <si>
    <t>1589_1</t>
  </si>
  <si>
    <t>ENSG00000187260</t>
  </si>
  <si>
    <t>ENST00000469830_Acinonyx_jubatus_zoonomia</t>
  </si>
  <si>
    <t>1594_1</t>
  </si>
  <si>
    <t>ENSG00000144021</t>
  </si>
  <si>
    <t>1595_3</t>
  </si>
  <si>
    <t>ENSG00000165288</t>
  </si>
  <si>
    <t>ENST00000373275_Acinonyx_jubatus_zoonomia</t>
  </si>
  <si>
    <t>1600_1</t>
  </si>
  <si>
    <t>ENSG00000160221</t>
  </si>
  <si>
    <t>ENST00000646873_Acinonyx_jubatus_zoonomia</t>
  </si>
  <si>
    <t>ENSG00000276612</t>
  </si>
  <si>
    <t>ENSG00000280071</t>
  </si>
  <si>
    <t>ENST00000624810_Acinonyx_jubatus_zoonomia</t>
  </si>
  <si>
    <t>1609_15</t>
  </si>
  <si>
    <t>ENSG00000163536</t>
  </si>
  <si>
    <t>1609_16</t>
  </si>
  <si>
    <t>ENSG00000114204</t>
  </si>
  <si>
    <t>ENST00000616363_Acinonyx_jubatus_zoonomia</t>
  </si>
  <si>
    <t>1609_19</t>
  </si>
  <si>
    <t>ENSG00000166396</t>
  </si>
  <si>
    <t>1609_5</t>
  </si>
  <si>
    <t>ENSG00000100665</t>
  </si>
  <si>
    <t>ENST00000298841_Acinonyx_jubatus_zoonomia</t>
  </si>
  <si>
    <t>1616_6</t>
  </si>
  <si>
    <t>ENSG00000203697</t>
  </si>
  <si>
    <t>ENST00000366872_Acinonyx_jubatus_zoonomia</t>
  </si>
  <si>
    <t>1618_1</t>
  </si>
  <si>
    <t>ENSG00000142330</t>
  </si>
  <si>
    <t>ENST00000270364_Acinonyx_jubatus_zoonomia</t>
  </si>
  <si>
    <t>1624_1</t>
  </si>
  <si>
    <t>ENSG00000103326</t>
  </si>
  <si>
    <t>ENST00000637507_Acinonyx_jubatus_zoonomia</t>
  </si>
  <si>
    <t>1628_2</t>
  </si>
  <si>
    <t>ENSG00000162517</t>
  </si>
  <si>
    <t>1636_1</t>
  </si>
  <si>
    <t>ENSG00000176973</t>
  </si>
  <si>
    <t>1637_1</t>
  </si>
  <si>
    <t>ENSG00000143633</t>
  </si>
  <si>
    <t>ENST00000366649_Acinonyx_jubatus_zoonomia</t>
  </si>
  <si>
    <t>1642_2</t>
  </si>
  <si>
    <t>ENSG00000129521</t>
  </si>
  <si>
    <t>1646_5</t>
  </si>
  <si>
    <t>ENSG00000136895</t>
  </si>
  <si>
    <t>ENST00000435213_Acinonyx_jubatus_zoonomia</t>
  </si>
  <si>
    <t>164_8</t>
  </si>
  <si>
    <t>ENSG00000127241</t>
  </si>
  <si>
    <t>ENST00000337774_Acinonyx_jubatus_zoonomia</t>
  </si>
  <si>
    <t>1651_2</t>
  </si>
  <si>
    <t>ENSG00000100731</t>
  </si>
  <si>
    <t>1651_3</t>
  </si>
  <si>
    <t>ENSG00000197136</t>
  </si>
  <si>
    <t>ENST00000355703_Acinonyx_jubatus_zoonomia</t>
  </si>
  <si>
    <t>1656_1</t>
  </si>
  <si>
    <t>ENSG00000173457</t>
  </si>
  <si>
    <t>1656_2</t>
  </si>
  <si>
    <t>ENSG00000198729</t>
  </si>
  <si>
    <t>ENST00000361131_Acinonyx_jubatus_zoonomia</t>
  </si>
  <si>
    <t>1661_1</t>
  </si>
  <si>
    <t>ENSG00000100433</t>
  </si>
  <si>
    <t>1661_5</t>
  </si>
  <si>
    <t>ENSG00000124780</t>
  </si>
  <si>
    <t>1664_1</t>
  </si>
  <si>
    <t>ENSG00000183780</t>
  </si>
  <si>
    <t>1668_1</t>
  </si>
  <si>
    <t>ENSG00000119669</t>
  </si>
  <si>
    <t>In_file_1668_2</t>
  </si>
  <si>
    <t>ENSG00000168264</t>
  </si>
  <si>
    <t>ENST00000366609_Acinonyx_jubatus_zoonomia</t>
  </si>
  <si>
    <t>1673_4</t>
  </si>
  <si>
    <t>ENSG00000151276</t>
  </si>
  <si>
    <t>ENST00000402939_Acinonyx_jubatus_zoonomia</t>
  </si>
  <si>
    <t>1674_1</t>
  </si>
  <si>
    <t>ENSG00000133401</t>
  </si>
  <si>
    <t>In_file_1674_2</t>
  </si>
  <si>
    <t>ENSG00000172349</t>
  </si>
  <si>
    <t>1675_3</t>
  </si>
  <si>
    <t>ENSG00000118257</t>
  </si>
  <si>
    <t>1676_4</t>
  </si>
  <si>
    <t>ENSG00000089472</t>
  </si>
  <si>
    <t>ENST00000519389_Acinonyx_jubatus_zoonomia</t>
  </si>
  <si>
    <t>1676_6</t>
  </si>
  <si>
    <t>ENSG00000198734</t>
  </si>
  <si>
    <t>In_file_1676_1</t>
  </si>
  <si>
    <t>1679_2</t>
  </si>
  <si>
    <t>ENSG00000171208</t>
  </si>
  <si>
    <t>1680_2</t>
  </si>
  <si>
    <t>ENSG00000121898</t>
  </si>
  <si>
    <t>1680_3</t>
  </si>
  <si>
    <t>ENSG00000106624</t>
  </si>
  <si>
    <t>ENST00000223357_Acinonyx_jubatus_zoonomia</t>
  </si>
  <si>
    <t>1680_6</t>
  </si>
  <si>
    <t>ENSG00000109625</t>
  </si>
  <si>
    <t>ENST00000315782_Acinonyx_jubatus_zoonomia</t>
  </si>
  <si>
    <t>168_1</t>
  </si>
  <si>
    <t>ENSG00000129455</t>
  </si>
  <si>
    <t>1686_1</t>
  </si>
  <si>
    <t>ENSG00000177943</t>
  </si>
  <si>
    <t>ENST00000317446_Acinonyx_jubatus_zoonomia</t>
  </si>
  <si>
    <t>1689_2</t>
  </si>
  <si>
    <t>ENSG00000160255</t>
  </si>
  <si>
    <t>ENST00000302347_Acinonyx_jubatus_zoonomia</t>
  </si>
  <si>
    <t>1689_8</t>
  </si>
  <si>
    <t>ENSG00000139626</t>
  </si>
  <si>
    <t>169_1</t>
  </si>
  <si>
    <t>ENSG00000167759</t>
  </si>
  <si>
    <t>1698_2</t>
  </si>
  <si>
    <t>ENSG00000128591</t>
  </si>
  <si>
    <t>ENST00000325888_Acinonyx_jubatus_zoonomia</t>
  </si>
  <si>
    <t>1698_3</t>
  </si>
  <si>
    <t>ENSG00000196924</t>
  </si>
  <si>
    <t>1699_10</t>
  </si>
  <si>
    <t>ENSG00000160460</t>
  </si>
  <si>
    <t>In_file_1699_1</t>
  </si>
  <si>
    <t>1699_8</t>
  </si>
  <si>
    <t>ENSG00000173898</t>
  </si>
  <si>
    <t>In_file_1699_6</t>
  </si>
  <si>
    <t>1700_2</t>
  </si>
  <si>
    <t>ENSG00000178209</t>
  </si>
  <si>
    <t>In_file_1700_3</t>
  </si>
  <si>
    <t>1700_3</t>
  </si>
  <si>
    <t>ENSG00000261150</t>
  </si>
  <si>
    <t>ENST00000615648_Acinonyx_jubatus_zoonomia</t>
  </si>
  <si>
    <t>1701_3</t>
  </si>
  <si>
    <t>ENSG00000134769</t>
  </si>
  <si>
    <t>1701_4</t>
  </si>
  <si>
    <t>ENSG00000102385</t>
  </si>
  <si>
    <t>ENST00000395209_Acinonyx_jubatus_zoonomia</t>
  </si>
  <si>
    <t>1701_5</t>
  </si>
  <si>
    <t>ENSG00000152818</t>
  </si>
  <si>
    <t>1702_2</t>
  </si>
  <si>
    <t>ENSG00000131018</t>
  </si>
  <si>
    <t>ENST00000367255_Acinonyx_jubatus_zoonomia</t>
  </si>
  <si>
    <t>1704_1</t>
  </si>
  <si>
    <t>ENSG00000176438</t>
  </si>
  <si>
    <t>ENST00000334258_Acinonyx_jubatus_zoonomia</t>
  </si>
  <si>
    <t>1707_1</t>
  </si>
  <si>
    <t>ENSG00000167880</t>
  </si>
  <si>
    <t>ENST00000301607_Acinonyx_jubatus_zoonomia</t>
  </si>
  <si>
    <t>1708_1</t>
  </si>
  <si>
    <t>ENSG00000214860</t>
  </si>
  <si>
    <t>ENST00000399134_Acinonyx_jubatus_zoonomia</t>
  </si>
  <si>
    <t>1710_3</t>
  </si>
  <si>
    <t>ENSG00000167968</t>
  </si>
  <si>
    <t>ENST00000320700_Acinonyx_jubatus_zoonomia</t>
  </si>
  <si>
    <t>1717_3</t>
  </si>
  <si>
    <t>ENSG00000132958</t>
  </si>
  <si>
    <t>ENSG00000274391</t>
  </si>
  <si>
    <t>1720_1</t>
  </si>
  <si>
    <t>ENSG00000104660</t>
  </si>
  <si>
    <t>172_1</t>
  </si>
  <si>
    <t>ENSG00000258223</t>
  </si>
  <si>
    <t>1723_6</t>
  </si>
  <si>
    <t>ENSG00000079308</t>
  </si>
  <si>
    <t>In_file_1723_1</t>
  </si>
  <si>
    <t>1725_3</t>
  </si>
  <si>
    <t>ENSG00000147140</t>
  </si>
  <si>
    <t>ENST00000276079_Acinonyx_jubatus_zoonomia</t>
  </si>
  <si>
    <t>1727_11</t>
  </si>
  <si>
    <t>ENSG00000121634</t>
  </si>
  <si>
    <t>ENSG00000121743</t>
  </si>
  <si>
    <t>1727_13</t>
  </si>
  <si>
    <t>ENSG00000159248</t>
  </si>
  <si>
    <t>1727_3</t>
  </si>
  <si>
    <t>ENSG00000165474</t>
  </si>
  <si>
    <t>In_file_1727_2</t>
  </si>
  <si>
    <t>ENSG00000169562</t>
  </si>
  <si>
    <t>ENST00000361726_Acinonyx_jubatus_zoonomia</t>
  </si>
  <si>
    <t>1728_1</t>
  </si>
  <si>
    <t>ENSG00000183153</t>
  </si>
  <si>
    <t>ENST00000578689_Acinonyx_jubatus_zoonomia</t>
  </si>
  <si>
    <t>1730_1</t>
  </si>
  <si>
    <t>ENSG00000177291</t>
  </si>
  <si>
    <t>1736_1</t>
  </si>
  <si>
    <t>ENSG00000113790</t>
  </si>
  <si>
    <t>ENST00000231887_Acinonyx_jubatus_zoonomia</t>
  </si>
  <si>
    <t>1740_2</t>
  </si>
  <si>
    <t>ENSG00000204764</t>
  </si>
  <si>
    <t>1743_1</t>
  </si>
  <si>
    <t>ENSG00000173141</t>
  </si>
  <si>
    <t>ENST00000309594_Acinonyx_jubatus_zoonomia</t>
  </si>
  <si>
    <t>1744_1</t>
  </si>
  <si>
    <t>ENSG00000174165</t>
  </si>
  <si>
    <t>ENST00000526986_Acinonyx_jubatus_zoonomia</t>
  </si>
  <si>
    <t>1746_1</t>
  </si>
  <si>
    <t>ENSG00000107745</t>
  </si>
  <si>
    <t>1747_3</t>
  </si>
  <si>
    <t>ENSG00000196468</t>
  </si>
  <si>
    <t>1749_1</t>
  </si>
  <si>
    <t>ENSG00000070193</t>
  </si>
  <si>
    <t>1751_1</t>
  </si>
  <si>
    <t>ENSG00000186895</t>
  </si>
  <si>
    <t>ENST00000334134_Acinonyx_jubatus_zoonomia</t>
  </si>
  <si>
    <t>1753_1</t>
  </si>
  <si>
    <t>ENSG00000161958</t>
  </si>
  <si>
    <t>1753_2</t>
  </si>
  <si>
    <t>ENSG00000102466</t>
  </si>
  <si>
    <t>1753_3</t>
  </si>
  <si>
    <t>ENSG00000114279</t>
  </si>
  <si>
    <t>ENST00000430714_Acinonyx_jubatus_zoonomia</t>
  </si>
  <si>
    <t>1763_1</t>
  </si>
  <si>
    <t>ENSG00000151835</t>
  </si>
  <si>
    <t>1768_1</t>
  </si>
  <si>
    <t>ENSG00000165985</t>
  </si>
  <si>
    <t>ENST00000298943_Acinonyx_jubatus_zoonomia</t>
  </si>
  <si>
    <t>1773_2</t>
  </si>
  <si>
    <t>ENSG00000143799</t>
  </si>
  <si>
    <t>1775_1</t>
  </si>
  <si>
    <t>ENSG00000095627</t>
  </si>
  <si>
    <t>ENST00000251864_Acinonyx_jubatus_zoonomia</t>
  </si>
  <si>
    <t>1779_1</t>
  </si>
  <si>
    <t>ENSG00000184675</t>
  </si>
  <si>
    <t>ENST00000374869_Acinonyx_jubatus_zoonomia</t>
  </si>
  <si>
    <t>1781_2</t>
  </si>
  <si>
    <t>ENSG00000100330</t>
  </si>
  <si>
    <t>ENST00000333027_Acinonyx_jubatus_zoonomia</t>
  </si>
  <si>
    <t>1781_4</t>
  </si>
  <si>
    <t>ENSG00000063601</t>
  </si>
  <si>
    <t>1781_6</t>
  </si>
  <si>
    <t>ENSG00000139505</t>
  </si>
  <si>
    <t>178_1</t>
  </si>
  <si>
    <t>ENSG00000125551</t>
  </si>
  <si>
    <t>ENST00000359481_Acinonyx_jubatus_zoonomia</t>
  </si>
  <si>
    <t>ENSG00000183281</t>
  </si>
  <si>
    <t>ENST00000355705_Acinonyx_jubatus_zoonomia</t>
  </si>
  <si>
    <t>1784_1</t>
  </si>
  <si>
    <t>ENSG00000100241</t>
  </si>
  <si>
    <t>ENST00000348911_Acinonyx_jubatus_zoonomia</t>
  </si>
  <si>
    <t>ENSG00000133812</t>
  </si>
  <si>
    <t>In_file_1784_3</t>
  </si>
  <si>
    <t>1785_2</t>
  </si>
  <si>
    <t>ENSG00000150712</t>
  </si>
  <si>
    <t>ENST00000264934_Acinonyx_jubatus_zoonomia</t>
  </si>
  <si>
    <t>1792_1</t>
  </si>
  <si>
    <t>ENSG00000112290</t>
  </si>
  <si>
    <t>1796_1</t>
  </si>
  <si>
    <t>ENSG00000115464</t>
  </si>
  <si>
    <t>1805_1</t>
  </si>
  <si>
    <t>ENSG00000088320</t>
  </si>
  <si>
    <t>1807_1</t>
  </si>
  <si>
    <t>ENSG00000172367</t>
  </si>
  <si>
    <t>ENST00000322712_Acinonyx_jubatus_zoonomia</t>
  </si>
  <si>
    <t>1811_2</t>
  </si>
  <si>
    <t>ENSG00000180613</t>
  </si>
  <si>
    <t>1813_1</t>
  </si>
  <si>
    <t>ENSG00000105996</t>
  </si>
  <si>
    <t>1816_2</t>
  </si>
  <si>
    <t>ENSG00000105997</t>
  </si>
  <si>
    <t>In_file_1817_5</t>
  </si>
  <si>
    <t>1817_1</t>
  </si>
  <si>
    <t>ENSG00000106004</t>
  </si>
  <si>
    <t>1817_7</t>
  </si>
  <si>
    <t>ENSG00000170166</t>
  </si>
  <si>
    <t>1819_1</t>
  </si>
  <si>
    <t>ENSG00000180818</t>
  </si>
  <si>
    <t>ENST00000303460_Acinonyx_jubatus_zoonomia</t>
  </si>
  <si>
    <t>ENSG00000253293</t>
  </si>
  <si>
    <t>ENSG00000257184</t>
  </si>
  <si>
    <t>In_file_1835_1</t>
  </si>
  <si>
    <t>1819_2</t>
  </si>
  <si>
    <t>ENSG00000128710</t>
  </si>
  <si>
    <t>1820_2</t>
  </si>
  <si>
    <t>ENSG00000175879</t>
  </si>
  <si>
    <t>1823_3</t>
  </si>
  <si>
    <t>ENSG00000197757</t>
  </si>
  <si>
    <t>183_11</t>
  </si>
  <si>
    <t>ENSG00000157193</t>
  </si>
  <si>
    <t>1831_1</t>
  </si>
  <si>
    <t>ENSG00000139515</t>
  </si>
  <si>
    <t>183_1</t>
  </si>
  <si>
    <t>ENSG00000137642</t>
  </si>
  <si>
    <t>ENST00000260197_Acinonyx_jubatus_zoonomia</t>
  </si>
  <si>
    <t>1832_2</t>
  </si>
  <si>
    <t>ENSG00000105991</t>
  </si>
  <si>
    <t>183_2</t>
  </si>
  <si>
    <t>ENSG00000138798</t>
  </si>
  <si>
    <t>ENST00000265171_Acinonyx_jubatus_zoonomia</t>
  </si>
  <si>
    <t>1834_1</t>
  </si>
  <si>
    <t>ENSG00000106511</t>
  </si>
  <si>
    <t>1835_3</t>
  </si>
  <si>
    <t>ENSG00000170689</t>
  </si>
  <si>
    <t>In_file_1835_2</t>
  </si>
  <si>
    <t>1835_4</t>
  </si>
  <si>
    <t>ENSG00000078399</t>
  </si>
  <si>
    <t>1835_5</t>
  </si>
  <si>
    <t>ENSG00000180806</t>
  </si>
  <si>
    <t>1835_6</t>
  </si>
  <si>
    <t>ENSG00000128709</t>
  </si>
  <si>
    <t>183_7</t>
  </si>
  <si>
    <t>ENSG00000123384</t>
  </si>
  <si>
    <t>ENST00000243077_Acinonyx_jubatus_zoonomia</t>
  </si>
  <si>
    <t>1841_2</t>
  </si>
  <si>
    <t>ENSG00000168505</t>
  </si>
  <si>
    <t>184_1</t>
  </si>
  <si>
    <t>ENSG00000116962</t>
  </si>
  <si>
    <t>In_file_184_3</t>
  </si>
  <si>
    <t>1842_1</t>
  </si>
  <si>
    <t>ENSG00000188909</t>
  </si>
  <si>
    <t>1845_2</t>
  </si>
  <si>
    <t>ENSG00000106038</t>
  </si>
  <si>
    <t>ENST00000496902_Acinonyx_jubatus_zoonomia</t>
  </si>
  <si>
    <t>1856_1</t>
  </si>
  <si>
    <t>ENSG00000113722</t>
  </si>
  <si>
    <t>ENST00000231656_Acinonyx_jubatus_zoonomia</t>
  </si>
  <si>
    <t>1856_2</t>
  </si>
  <si>
    <t>ENSG00000165556</t>
  </si>
  <si>
    <t>ENST00000381020_Acinonyx_jubatus_zoonomia</t>
  </si>
  <si>
    <t>1859_1</t>
  </si>
  <si>
    <t>ENSG00000136630</t>
  </si>
  <si>
    <t>ENST00000366903_Acinonyx_jubatus_zoonomia</t>
  </si>
  <si>
    <t>186_4</t>
  </si>
  <si>
    <t>ENSG00000184985</t>
  </si>
  <si>
    <t>ENST00000507866_Acinonyx_jubatus_zoonomia</t>
  </si>
  <si>
    <t>1867_1</t>
  </si>
  <si>
    <t>ENSG00000132938</t>
  </si>
  <si>
    <t>In_file_1866_2</t>
  </si>
  <si>
    <t>1873_1</t>
  </si>
  <si>
    <t>ENSG00000213316</t>
  </si>
  <si>
    <t>ENST00000292596_Acinonyx_jubatus_zoonomia</t>
  </si>
  <si>
    <t>1881_2</t>
  </si>
  <si>
    <t>ENSG00000162951</t>
  </si>
  <si>
    <t>1883_2</t>
  </si>
  <si>
    <t>ENSG00000174348</t>
  </si>
  <si>
    <t>ENST00000395871_Acinonyx_jubatus_zoonomia</t>
  </si>
  <si>
    <t>188_5</t>
  </si>
  <si>
    <t>ENSG00000143297</t>
  </si>
  <si>
    <t>In_file_188_2</t>
  </si>
  <si>
    <t>ENSG00000163518</t>
  </si>
  <si>
    <t>ENST00000271532_Acinonyx_jubatus_zoonomia</t>
  </si>
  <si>
    <t>1887_1</t>
  </si>
  <si>
    <t>ENSG00000182223</t>
  </si>
  <si>
    <t>189_2</t>
  </si>
  <si>
    <t>ENSG00000181036</t>
  </si>
  <si>
    <t>1894_1</t>
  </si>
  <si>
    <t>ENSG00000049541</t>
  </si>
  <si>
    <t>1895_1</t>
  </si>
  <si>
    <t>ENSG00000181541</t>
  </si>
  <si>
    <t>1897_1</t>
  </si>
  <si>
    <t>ENSG00000164430</t>
  </si>
  <si>
    <t>ENST00000370318_Acinonyx_jubatus_zoonomia</t>
  </si>
  <si>
    <t>1899_1</t>
  </si>
  <si>
    <t>ENSG00000242715</t>
  </si>
  <si>
    <t>1901_3</t>
  </si>
  <si>
    <t>ENSG00000147082</t>
  </si>
  <si>
    <t>1901_5</t>
  </si>
  <si>
    <t>ENSG00000134057</t>
  </si>
  <si>
    <t>190_1</t>
  </si>
  <si>
    <t>ENSG00000162746</t>
  </si>
  <si>
    <t>1903_1</t>
  </si>
  <si>
    <t>ENSG00000105173</t>
  </si>
  <si>
    <t>ENST00000262643_Acinonyx_jubatus_zoonomia</t>
  </si>
  <si>
    <t>1908_1</t>
  </si>
  <si>
    <t>ENSG00000105219</t>
  </si>
  <si>
    <t>ENST00000599263_Acinonyx_jubatus_zoonomia</t>
  </si>
  <si>
    <t>1910_1</t>
  </si>
  <si>
    <t>ENSG00000133111</t>
  </si>
  <si>
    <t>1911_1</t>
  </si>
  <si>
    <t>ENSG00000175387</t>
  </si>
  <si>
    <t>1911_6</t>
  </si>
  <si>
    <t>ENSG00000141646</t>
  </si>
  <si>
    <t>1912_1</t>
  </si>
  <si>
    <t>ENSG00000101665</t>
  </si>
  <si>
    <t>1913_1</t>
  </si>
  <si>
    <t>ENSG00000120697</t>
  </si>
  <si>
    <t>1920_1</t>
  </si>
  <si>
    <t>ENSG00000072315</t>
  </si>
  <si>
    <t>ENST00000262839_Acinonyx_jubatus_zoonomia</t>
  </si>
  <si>
    <t>1920_3</t>
  </si>
  <si>
    <t>ENSG00000144935</t>
  </si>
  <si>
    <t>ENST00000273482_Acinonyx_jubatus_zoonomia</t>
  </si>
  <si>
    <t>1923_4</t>
  </si>
  <si>
    <t>ENSG00000092439</t>
  </si>
  <si>
    <t>ENST00000560955_Acinonyx_jubatus_zoonomia</t>
  </si>
  <si>
    <t>1923_5</t>
  </si>
  <si>
    <t>ENSG00000134160</t>
  </si>
  <si>
    <t>ENST00000542188_Acinonyx_jubatus_zoonomia</t>
  </si>
  <si>
    <t>1923_6</t>
  </si>
  <si>
    <t>ENSG00000083067</t>
  </si>
  <si>
    <t>In_file_1923_2</t>
  </si>
  <si>
    <t>1923_8</t>
  </si>
  <si>
    <t>ENSG00000144481</t>
  </si>
  <si>
    <t>ENST00000324695_Acinonyx_jubatus_zoonomia</t>
  </si>
  <si>
    <t>1931_2</t>
  </si>
  <si>
    <t>ENSG00000164946</t>
  </si>
  <si>
    <t>ENST00000380880_Acinonyx_jubatus_zoonomia</t>
  </si>
  <si>
    <t>1934_1</t>
  </si>
  <si>
    <t>ENSG00000125851</t>
  </si>
  <si>
    <t>1934_3</t>
  </si>
  <si>
    <t>ENSG00000140564</t>
  </si>
  <si>
    <t>1934_4</t>
  </si>
  <si>
    <t>ENSG00000115257</t>
  </si>
  <si>
    <t>ENST00000300954_Acinonyx_jubatus_zoonomia</t>
  </si>
  <si>
    <t>1938_1</t>
  </si>
  <si>
    <t>ENSG00000164199</t>
  </si>
  <si>
    <t>ENST00000405460_Acinonyx_jubatus_zoonomia</t>
  </si>
  <si>
    <t>1939_2</t>
  </si>
  <si>
    <t>ENSG00000148175</t>
  </si>
  <si>
    <t>1949_1</t>
  </si>
  <si>
    <t>ENSG00000111145</t>
  </si>
  <si>
    <t>1949_3</t>
  </si>
  <si>
    <t>ENSG00000126767</t>
  </si>
  <si>
    <t>1952_1</t>
  </si>
  <si>
    <t>ENSG00000175832</t>
  </si>
  <si>
    <t>ENSG00000244405</t>
  </si>
  <si>
    <t>In_file_1952_3</t>
  </si>
  <si>
    <t>1952_2</t>
  </si>
  <si>
    <t>ENSG00000006468</t>
  </si>
  <si>
    <t>1952_3</t>
  </si>
  <si>
    <t>1953_1</t>
  </si>
  <si>
    <t>ENSG00000124664</t>
  </si>
  <si>
    <t>ENST00000374037_Acinonyx_jubatus_zoonomia</t>
  </si>
  <si>
    <t>1954_1</t>
  </si>
  <si>
    <t>ENSG00000134954</t>
  </si>
  <si>
    <t>ENST00000392668_Acinonyx_jubatus_zoonomia</t>
  </si>
  <si>
    <t>1956_1</t>
  </si>
  <si>
    <t>ENSG00000010030</t>
  </si>
  <si>
    <t>1956_2</t>
  </si>
  <si>
    <t>ENSG00000139083</t>
  </si>
  <si>
    <t>ENST00000396373_Acinonyx_jubatus_zoonomia</t>
  </si>
  <si>
    <t>1958_4</t>
  </si>
  <si>
    <t>ENSG00000253831</t>
  </si>
  <si>
    <t>ENST00000454449_Acinonyx_jubatus_zoonomia</t>
  </si>
  <si>
    <t>1959_4</t>
  </si>
  <si>
    <t>ENSG00000151702</t>
  </si>
  <si>
    <t>1962_1</t>
  </si>
  <si>
    <t>ENSG00000130584</t>
  </si>
  <si>
    <t>ENST00000245663_Acinonyx_jubatus_zoonomia</t>
  </si>
  <si>
    <t>1968_1</t>
  </si>
  <si>
    <t>ENSG00000102760</t>
  </si>
  <si>
    <t>ENST00000379359_Acinonyx_jubatus_zoonomia</t>
  </si>
  <si>
    <t>1970_4</t>
  </si>
  <si>
    <t>ENSG00000153933</t>
  </si>
  <si>
    <t>ENST00000284061_Acinonyx_jubatus_zoonomia</t>
  </si>
  <si>
    <t>1970_5</t>
  </si>
  <si>
    <t>ENSG00000149091</t>
  </si>
  <si>
    <t>1970_8</t>
  </si>
  <si>
    <t>ENSG00000077044</t>
  </si>
  <si>
    <t>ENST00000264057_Acinonyx_jubatus_zoonomia</t>
  </si>
  <si>
    <t>197_10</t>
  </si>
  <si>
    <t>ENSG00000117983</t>
  </si>
  <si>
    <t>ENST00000529681_Acinonyx_jubatus_zoonomia</t>
  </si>
  <si>
    <t>ENSG00000215182</t>
  </si>
  <si>
    <t>ENST00000621226_Acinonyx_jubatus_zoonomia</t>
  </si>
  <si>
    <t>1971_1</t>
  </si>
  <si>
    <t>ENSG00000145214</t>
  </si>
  <si>
    <t>ENST00000510286_Acinonyx_jubatus_zoonomia</t>
  </si>
  <si>
    <t>197_13</t>
  </si>
  <si>
    <t>ENSG00000146839</t>
  </si>
  <si>
    <t>ENST00000546292_Acinonyx_jubatus_zoonomia</t>
  </si>
  <si>
    <t>1976_1</t>
  </si>
  <si>
    <t>ENSG00000120659</t>
  </si>
  <si>
    <t>1981_1</t>
  </si>
  <si>
    <t>ENSG00000151773</t>
  </si>
  <si>
    <t>1984_1</t>
  </si>
  <si>
    <t>ENSG00000102804</t>
  </si>
  <si>
    <t>1986_1</t>
  </si>
  <si>
    <t>ENSG00000196428</t>
  </si>
  <si>
    <t>1991_1</t>
  </si>
  <si>
    <t>ENSG00000188997</t>
  </si>
  <si>
    <t>1992_1</t>
  </si>
  <si>
    <t>ENSG00000168301</t>
  </si>
  <si>
    <t>199_2</t>
  </si>
  <si>
    <t>ENSG00000135253</t>
  </si>
  <si>
    <t>ENST00000610776_Acinonyx_jubatus_zoonomia</t>
  </si>
  <si>
    <t>1995_2</t>
  </si>
  <si>
    <t>ENSG00000183783</t>
  </si>
  <si>
    <t>In_file_1996_1</t>
  </si>
  <si>
    <t>1997_1</t>
  </si>
  <si>
    <t>ENSG00000109079</t>
  </si>
  <si>
    <t>ENST00000226225_Acinonyx_jubatus_zoonomia</t>
  </si>
  <si>
    <t>1997_2</t>
  </si>
  <si>
    <t>ENSG00000110906</t>
  </si>
  <si>
    <t>ENST00000228495_Acinonyx_jubatus_zoonomia</t>
  </si>
  <si>
    <t>1997_3</t>
  </si>
  <si>
    <t>ENSG00000174943</t>
  </si>
  <si>
    <t>1998_1</t>
  </si>
  <si>
    <t>ENSG00000160410</t>
  </si>
  <si>
    <t>2000_1</t>
  </si>
  <si>
    <t>ENSG00000180901</t>
  </si>
  <si>
    <t>2000_2</t>
  </si>
  <si>
    <t>ENSG00000100379</t>
  </si>
  <si>
    <t>2004_1</t>
  </si>
  <si>
    <t>ENSG00000075415</t>
  </si>
  <si>
    <t>2006_2</t>
  </si>
  <si>
    <t>ENSG00000181788</t>
  </si>
  <si>
    <t>2012_2</t>
  </si>
  <si>
    <t>ENSG00000204950</t>
  </si>
  <si>
    <t>2013_1</t>
  </si>
  <si>
    <t>ENSG00000077454</t>
  </si>
  <si>
    <t>2013_4</t>
  </si>
  <si>
    <t>ENSG00000130224</t>
  </si>
  <si>
    <t>ENST00000317135_Acinonyx_jubatus_zoonomia</t>
  </si>
  <si>
    <t>2016_1</t>
  </si>
  <si>
    <t>ENSG00000136143</t>
  </si>
  <si>
    <t>2016_2</t>
  </si>
  <si>
    <t>ENSG00000172340</t>
  </si>
  <si>
    <t>ENST00000493112_Acinonyx_jubatus_zoonomia</t>
  </si>
  <si>
    <t>2019_1</t>
  </si>
  <si>
    <t>ENSG00000136156</t>
  </si>
  <si>
    <t>2029_2</t>
  </si>
  <si>
    <t>ENSG00000102547</t>
  </si>
  <si>
    <t>2031_1</t>
  </si>
  <si>
    <t>ENSG00000143379</t>
  </si>
  <si>
    <t>ENST00000271640_Acinonyx_jubatus_zoonomia</t>
  </si>
  <si>
    <t>2031_2</t>
  </si>
  <si>
    <t>ENSG00000136169</t>
  </si>
  <si>
    <t>2033_1</t>
  </si>
  <si>
    <t>ENSG00000181090</t>
  </si>
  <si>
    <t>2033_2</t>
  </si>
  <si>
    <t>ENSG00000204371</t>
  </si>
  <si>
    <t>2034_1</t>
  </si>
  <si>
    <t>ENSG00000101945</t>
  </si>
  <si>
    <t>2034_2</t>
  </si>
  <si>
    <t>ENSG00000152455</t>
  </si>
  <si>
    <t>2039_2</t>
  </si>
  <si>
    <t>ENSG00000118058</t>
  </si>
  <si>
    <t>ENST00000389506_Acinonyx_jubatus_zoonomia</t>
  </si>
  <si>
    <t>2040_1</t>
  </si>
  <si>
    <t>ENSG00000139718</t>
  </si>
  <si>
    <t>2041_1</t>
  </si>
  <si>
    <t>ENSG00000055609</t>
  </si>
  <si>
    <t>ENST00000262189_Acinonyx_jubatus_zoonomia</t>
  </si>
  <si>
    <t>2041_2</t>
  </si>
  <si>
    <t>ENSG00000167548</t>
  </si>
  <si>
    <t>ENST00000301067_Acinonyx_jubatus_zoonomia</t>
  </si>
  <si>
    <t>204_1</t>
  </si>
  <si>
    <t>ENSG00000198788</t>
  </si>
  <si>
    <t>2044_1</t>
  </si>
  <si>
    <t>ENSG00000099949</t>
  </si>
  <si>
    <t>ENST00000646124_Acinonyx_jubatus_zoonomia</t>
  </si>
  <si>
    <t>2045_10</t>
  </si>
  <si>
    <t>ENSG00000165997</t>
  </si>
  <si>
    <t>2045_13</t>
  </si>
  <si>
    <t>ENSG00000138175</t>
  </si>
  <si>
    <t>2045_1</t>
  </si>
  <si>
    <t>ENSG00000134287</t>
  </si>
  <si>
    <t>ENSG00000272822</t>
  </si>
  <si>
    <t>In_file_2045_2</t>
  </si>
  <si>
    <t>2045_4</t>
  </si>
  <si>
    <t>ENSG00000143761</t>
  </si>
  <si>
    <t>2045_7</t>
  </si>
  <si>
    <t>ENSG00000165527</t>
  </si>
  <si>
    <t>2046_3</t>
  </si>
  <si>
    <t>ENSG00000122644</t>
  </si>
  <si>
    <t>2048_1</t>
  </si>
  <si>
    <t>ENSG00000185829</t>
  </si>
  <si>
    <t>ENSG00000228696</t>
  </si>
  <si>
    <t>2051_1</t>
  </si>
  <si>
    <t>ENSG00000143862</t>
  </si>
  <si>
    <t>2054_1</t>
  </si>
  <si>
    <t>ENSG00000079332</t>
  </si>
  <si>
    <t>2054_2</t>
  </si>
  <si>
    <t>ENSG00000152700</t>
  </si>
  <si>
    <t>2056_1</t>
  </si>
  <si>
    <t>ENSG00000174225</t>
  </si>
  <si>
    <t>ENST00000450049_Acinonyx_jubatus_zoonomia</t>
  </si>
  <si>
    <t>2061_1</t>
  </si>
  <si>
    <t>ENSG00000286268</t>
  </si>
  <si>
    <t>ENST00000651615_Acinonyx_jubatus_zoonomia</t>
  </si>
  <si>
    <t>2061_2</t>
  </si>
  <si>
    <t>ENSG00000147155</t>
  </si>
  <si>
    <t>2062_1</t>
  </si>
  <si>
    <t>ENSG00000068354</t>
  </si>
  <si>
    <t>2062_2</t>
  </si>
  <si>
    <t>ENSG00000104946</t>
  </si>
  <si>
    <t>2063_1</t>
  </si>
  <si>
    <t>ENSG00000167291</t>
  </si>
  <si>
    <t>ENST00000310924_Acinonyx_jubatus_zoonomia</t>
  </si>
  <si>
    <t>2064_3</t>
  </si>
  <si>
    <t>ENSG00000186432</t>
  </si>
  <si>
    <t>ENST00000334256_Acinonyx_jubatus_zoonomia</t>
  </si>
  <si>
    <t>2064_4</t>
  </si>
  <si>
    <t>ENSG00000102753</t>
  </si>
  <si>
    <t>2066_1</t>
  </si>
  <si>
    <t>ENSG00000123178</t>
  </si>
  <si>
    <t>2068_1</t>
  </si>
  <si>
    <t>ENSG00000213186</t>
  </si>
  <si>
    <t>2069_2</t>
  </si>
  <si>
    <t>ENSG00000146755</t>
  </si>
  <si>
    <t>ENST00000333149_Acinonyx_jubatus_zoonomia</t>
  </si>
  <si>
    <t>ENSG00000155428</t>
  </si>
  <si>
    <t>ENSG00000178809</t>
  </si>
  <si>
    <t>2070_10</t>
  </si>
  <si>
    <t>ENSG00000204599</t>
  </si>
  <si>
    <t>In_file_2070_12</t>
  </si>
  <si>
    <t>2070_17</t>
  </si>
  <si>
    <t>ENSG00000162931</t>
  </si>
  <si>
    <t>2070_18</t>
  </si>
  <si>
    <t>ENSG00000103313</t>
  </si>
  <si>
    <t>ENST00000219596_Acinonyx_jubatus_zoonomia</t>
  </si>
  <si>
    <t>2070_19</t>
  </si>
  <si>
    <t>ENSG00000146054</t>
  </si>
  <si>
    <t>2072_3</t>
  </si>
  <si>
    <t>ENSG00000234127</t>
  </si>
  <si>
    <t>In_file_2072_1</t>
  </si>
  <si>
    <t>2074_1</t>
  </si>
  <si>
    <t>ENSG00000164010</t>
  </si>
  <si>
    <t>ENST00000372514_Acinonyx_jubatus_zoonomia</t>
  </si>
  <si>
    <t>2077_1</t>
  </si>
  <si>
    <t>ENSG00000124900</t>
  </si>
  <si>
    <t>ENST00000449290_Acinonyx_jubatus_zoonomia</t>
  </si>
  <si>
    <t>ENSG00000168930</t>
  </si>
  <si>
    <t>ENST00000329758_Acinonyx_jubatus_zoonomia</t>
  </si>
  <si>
    <t>ENSG00000182053</t>
  </si>
  <si>
    <t>ENST00000332682_Acinonyx_jubatus_zoonomia</t>
  </si>
  <si>
    <t>ENSG00000204449</t>
  </si>
  <si>
    <t>ENST00000448984_Acinonyx_jubatus_zoonomia</t>
  </si>
  <si>
    <t>ENSG00000214414</t>
  </si>
  <si>
    <t>ENSG00000220948</t>
  </si>
  <si>
    <t>ENST00000534741_Acinonyx_jubatus_zoonomia</t>
  </si>
  <si>
    <t>ENSG00000223417</t>
  </si>
  <si>
    <t>In_file_2077_4</t>
  </si>
  <si>
    <t>ENSG00000233802</t>
  </si>
  <si>
    <t>2077_4</t>
  </si>
  <si>
    <t>ENSG00000144010</t>
  </si>
  <si>
    <t>ENST00000432468_Acinonyx_jubatus_zoonomia</t>
  </si>
  <si>
    <t>ENSG00000144015</t>
  </si>
  <si>
    <t>ENST00000272395_Acinonyx_jubatus_zoonomia</t>
  </si>
  <si>
    <t>ENSG00000150244</t>
  </si>
  <si>
    <t>2080_1</t>
  </si>
  <si>
    <t>ENSG00000112763</t>
  </si>
  <si>
    <t>ENSG00000124508</t>
  </si>
  <si>
    <t>2080_4</t>
  </si>
  <si>
    <t>ENSG00000113303</t>
  </si>
  <si>
    <t>ENSG00000165810</t>
  </si>
  <si>
    <t>ENST00000327705_Acinonyx_jubatus_zoonomia</t>
  </si>
  <si>
    <t>ENSG00000168903</t>
  </si>
  <si>
    <t>2092_1</t>
  </si>
  <si>
    <t>ENSG00000177238</t>
  </si>
  <si>
    <t>2093_1</t>
  </si>
  <si>
    <t>ENSG00000109654</t>
  </si>
  <si>
    <t>ENST00000338700_Acinonyx_jubatus_zoonomia</t>
  </si>
  <si>
    <t>2096_1</t>
  </si>
  <si>
    <t>ENSG00000132481</t>
  </si>
  <si>
    <t>2099_1</t>
  </si>
  <si>
    <t>ENSG00000171931</t>
  </si>
  <si>
    <t>ENSG00000241322</t>
  </si>
  <si>
    <t>ENSG00000251537</t>
  </si>
  <si>
    <t>2100_1</t>
  </si>
  <si>
    <t>In_file_2099_1</t>
  </si>
  <si>
    <t>210_2</t>
  </si>
  <si>
    <t>ENSG00000188157</t>
  </si>
  <si>
    <t>ENST00000379370_Acinonyx_jubatus_zoonomia</t>
  </si>
  <si>
    <t>2104_1</t>
  </si>
  <si>
    <t>ENSG00000150510</t>
  </si>
  <si>
    <t>2105_1</t>
  </si>
  <si>
    <t>ENSG00000165359</t>
  </si>
  <si>
    <t>ENST00000370752_Acinonyx_jubatus_zoonomia</t>
  </si>
  <si>
    <t>2108_1</t>
  </si>
  <si>
    <t>ENSG00000181433</t>
  </si>
  <si>
    <t>In_file_2106_1</t>
  </si>
  <si>
    <t>ENSG00000228836</t>
  </si>
  <si>
    <t>ENSG00000268940</t>
  </si>
  <si>
    <t>ENSG00000269096</t>
  </si>
  <si>
    <t>ENSG00000269586</t>
  </si>
  <si>
    <t>ENSG00000270946</t>
  </si>
  <si>
    <t>ENSG00000271449</t>
  </si>
  <si>
    <t>ENSG00000273696</t>
  </si>
  <si>
    <t>ENSG00000278085</t>
  </si>
  <si>
    <t>ENSG00000278289</t>
  </si>
  <si>
    <t>2110_1</t>
  </si>
  <si>
    <t>ENSG00000085449</t>
  </si>
  <si>
    <t>211_1</t>
  </si>
  <si>
    <t>ENSG00000110076</t>
  </si>
  <si>
    <t>In_file_211_4</t>
  </si>
  <si>
    <t>21_14</t>
  </si>
  <si>
    <t>ENSG00000152495</t>
  </si>
  <si>
    <t>ENST00000282356_Acinonyx_jubatus_zoonomia</t>
  </si>
  <si>
    <t>2115_1</t>
  </si>
  <si>
    <t>ENSG00000136114</t>
  </si>
  <si>
    <t>21_15</t>
  </si>
  <si>
    <t>ENSG00000130413</t>
  </si>
  <si>
    <t>2116_1</t>
  </si>
  <si>
    <t>ENSG00000136100</t>
  </si>
  <si>
    <t>2117_1</t>
  </si>
  <si>
    <t>ENSG00000136108</t>
  </si>
  <si>
    <t>21_18</t>
  </si>
  <si>
    <t>ENSG00000072195</t>
  </si>
  <si>
    <t>ENST00000312358_Acinonyx_jubatus_zoonomia</t>
  </si>
  <si>
    <t>2120_1</t>
  </si>
  <si>
    <t>ENSG00000136110</t>
  </si>
  <si>
    <t>21_20</t>
  </si>
  <si>
    <t>ENSG00000035664</t>
  </si>
  <si>
    <t>2122_2</t>
  </si>
  <si>
    <t>ENSG00000138650</t>
  </si>
  <si>
    <t>2122_3</t>
  </si>
  <si>
    <t>ENSG00000118946</t>
  </si>
  <si>
    <t>ENST00000377918_Acinonyx_jubatus_zoonomia</t>
  </si>
  <si>
    <t>2123_11</t>
  </si>
  <si>
    <t>ENSG00000081853</t>
  </si>
  <si>
    <t>2123_13</t>
  </si>
  <si>
    <t>ENSG00000253537</t>
  </si>
  <si>
    <t>2123_14</t>
  </si>
  <si>
    <t>ENSG00000253159</t>
  </si>
  <si>
    <t>In_file_2123_5</t>
  </si>
  <si>
    <t>ENSG00000262576</t>
  </si>
  <si>
    <t>2123_20</t>
  </si>
  <si>
    <t>ENSG00000253910</t>
  </si>
  <si>
    <t>ENSG00000254122</t>
  </si>
  <si>
    <t>ENST00000398594_Acinonyx_jubatus_zoonomia</t>
  </si>
  <si>
    <t>ENSG00000262209</t>
  </si>
  <si>
    <t>In_file_2123_19</t>
  </si>
  <si>
    <t>2123_24</t>
  </si>
  <si>
    <t>ENSG00000253305</t>
  </si>
  <si>
    <t>In_file_2123_22</t>
  </si>
  <si>
    <t>ENSG00000253953</t>
  </si>
  <si>
    <t>In_file_2123_23</t>
  </si>
  <si>
    <t>ENSG00000276547</t>
  </si>
  <si>
    <t>ENST00000617380_Acinonyx_jubatus_zoonomia</t>
  </si>
  <si>
    <t>2123_25</t>
  </si>
  <si>
    <t>ENSG00000171815</t>
  </si>
  <si>
    <t>ENST00000306549_Acinonyx_jubatus_zoonomia</t>
  </si>
  <si>
    <t>2123_26</t>
  </si>
  <si>
    <t>ENSG00000120324</t>
  </si>
  <si>
    <t>ENST00000239446_Acinonyx_jubatus_zoonomia</t>
  </si>
  <si>
    <t>ENSG00000177839</t>
  </si>
  <si>
    <t>2123_27</t>
  </si>
  <si>
    <t>ENSG00000113212</t>
  </si>
  <si>
    <t>ENST00000231137_Acinonyx_jubatus_zoonomia</t>
  </si>
  <si>
    <t>2123_31</t>
  </si>
  <si>
    <t>ENSG00000120327</t>
  </si>
  <si>
    <t>ENST00000239449_Acinonyx_jubatus_zoonomia</t>
  </si>
  <si>
    <t>ENSG00000120328</t>
  </si>
  <si>
    <t>ENST00000239450_Acinonyx_jubatus_zoonomia</t>
  </si>
  <si>
    <t>ENSG00000197479</t>
  </si>
  <si>
    <t>2123_33</t>
  </si>
  <si>
    <t>ENSG00000112852</t>
  </si>
  <si>
    <t>ENST00000194155_Acinonyx_jubatus_zoonomia</t>
  </si>
  <si>
    <t>ENSG00000113205</t>
  </si>
  <si>
    <t>ENST00000231130_Acinonyx_jubatus_zoonomia</t>
  </si>
  <si>
    <t>ENSG00000113248</t>
  </si>
  <si>
    <t>In_file_2123_38</t>
  </si>
  <si>
    <t>2123_46</t>
  </si>
  <si>
    <t>ENSG00000081842</t>
  </si>
  <si>
    <t>In_file_2123_48</t>
  </si>
  <si>
    <t>ENSG00000204962</t>
  </si>
  <si>
    <t>ENSG00000204965</t>
  </si>
  <si>
    <t>ENSG00000239389</t>
  </si>
  <si>
    <t>In_file_2123_51</t>
  </si>
  <si>
    <t>ENSG00000249158</t>
  </si>
  <si>
    <t>In_file_2123_59</t>
  </si>
  <si>
    <t>ENSG00000251664</t>
  </si>
  <si>
    <t>In_file_2123_45</t>
  </si>
  <si>
    <t>2123_48</t>
  </si>
  <si>
    <t>ENSG00000250120</t>
  </si>
  <si>
    <t>In_file_2123_47</t>
  </si>
  <si>
    <t>2123_4</t>
  </si>
  <si>
    <t>In_file_2123_13</t>
  </si>
  <si>
    <t>ENSG00000253731</t>
  </si>
  <si>
    <t>In_file_2123_12</t>
  </si>
  <si>
    <t>ENSG00000253767</t>
  </si>
  <si>
    <t>In_file_2123_6</t>
  </si>
  <si>
    <t>ENSG00000253846</t>
  </si>
  <si>
    <t>ENSG00000261934</t>
  </si>
  <si>
    <t>2123_51</t>
  </si>
  <si>
    <t>2123_56</t>
  </si>
  <si>
    <t>ENSG00000204961</t>
  </si>
  <si>
    <t>In_file_2123_55</t>
  </si>
  <si>
    <t>ENSG00000204963</t>
  </si>
  <si>
    <t>In_file_2123_46</t>
  </si>
  <si>
    <t>ENSG00000204967</t>
  </si>
  <si>
    <t>ENSG00000255408</t>
  </si>
  <si>
    <t>In_file_2123_54</t>
  </si>
  <si>
    <t>2123_59</t>
  </si>
  <si>
    <t>2123_6</t>
  </si>
  <si>
    <t>2123_8</t>
  </si>
  <si>
    <t>ENSG00000204956</t>
  </si>
  <si>
    <t>ENSG00000253485</t>
  </si>
  <si>
    <t>In_file_2123_9</t>
  </si>
  <si>
    <t>21_23</t>
  </si>
  <si>
    <t>ENSG00000058404</t>
  </si>
  <si>
    <t>ENST00000258682_Acinonyx_jubatus_zoonomia</t>
  </si>
  <si>
    <t>ENSG00000101306</t>
  </si>
  <si>
    <t>21_25</t>
  </si>
  <si>
    <t>ENSG00000145949</t>
  </si>
  <si>
    <t>21_27</t>
  </si>
  <si>
    <t>ENSG00000077279</t>
  </si>
  <si>
    <t>21_29</t>
  </si>
  <si>
    <t>ENSG00000170390</t>
  </si>
  <si>
    <t>ENST00000296550_Acinonyx_jubatus_zoonomia</t>
  </si>
  <si>
    <t>21_2</t>
  </si>
  <si>
    <t>ENSG00000159792</t>
  </si>
  <si>
    <t>21_30</t>
  </si>
  <si>
    <t>ENSG00000163673</t>
  </si>
  <si>
    <t>In_file_21_31</t>
  </si>
  <si>
    <t>213_1</t>
  </si>
  <si>
    <t>ENSG00000108797</t>
  </si>
  <si>
    <t>ENST00000264638_Acinonyx_jubatus_zoonomia</t>
  </si>
  <si>
    <t>2132_3</t>
  </si>
  <si>
    <t>ENSG00000157827</t>
  </si>
  <si>
    <t>ENST00000288670_Acinonyx_jubatus_zoonomia</t>
  </si>
  <si>
    <t>213_2</t>
  </si>
  <si>
    <t>ENSG00000106714</t>
  </si>
  <si>
    <t>ENSG00000152910</t>
  </si>
  <si>
    <t>ENSG00000154529</t>
  </si>
  <si>
    <t>ENSG00000283378</t>
  </si>
  <si>
    <t>2133_2</t>
  </si>
  <si>
    <t>ENSG00000203485</t>
  </si>
  <si>
    <t>ENST00000330634_Acinonyx_jubatus_zoonomia</t>
  </si>
  <si>
    <t>213_5</t>
  </si>
  <si>
    <t>In_file_213_2</t>
  </si>
  <si>
    <t>2137_1</t>
  </si>
  <si>
    <t>ENSG00000155816</t>
  </si>
  <si>
    <t>ENST00000319653_Acinonyx_jubatus_zoonomia</t>
  </si>
  <si>
    <t>21_3</t>
  </si>
  <si>
    <t>ENSG00000008118</t>
  </si>
  <si>
    <t>2145_1</t>
  </si>
  <si>
    <t>ENSG00000144535</t>
  </si>
  <si>
    <t>2145_2</t>
  </si>
  <si>
    <t>ENSG00000166938</t>
  </si>
  <si>
    <t>2145_3</t>
  </si>
  <si>
    <t>ENSG00000083520</t>
  </si>
  <si>
    <t>2146_3</t>
  </si>
  <si>
    <t>ENSG00000130589</t>
  </si>
  <si>
    <t>In_file_2146_1</t>
  </si>
  <si>
    <t>2147_2</t>
  </si>
  <si>
    <t>ENSG00000005007</t>
  </si>
  <si>
    <t>2148_1</t>
  </si>
  <si>
    <t>ENSG00000132740</t>
  </si>
  <si>
    <t>2152_1</t>
  </si>
  <si>
    <t>ENSG00000073146</t>
  </si>
  <si>
    <t>ENST00000262794_Acinonyx_jubatus_zoonomia</t>
  </si>
  <si>
    <t>ENSG00000169551</t>
  </si>
  <si>
    <t>2154_3</t>
  </si>
  <si>
    <t>ENSG00000118263</t>
  </si>
  <si>
    <t>2154_7</t>
  </si>
  <si>
    <t>ENSG00000118922</t>
  </si>
  <si>
    <t>ENST00000377669_Acinonyx_jubatus_zoonomia</t>
  </si>
  <si>
    <t>2154_8</t>
  </si>
  <si>
    <t>ENSG00000102349</t>
  </si>
  <si>
    <t>ENST00000468660_Acinonyx_jubatus_zoonomia</t>
  </si>
  <si>
    <t>2156_1</t>
  </si>
  <si>
    <t>ENSG00000136826</t>
  </si>
  <si>
    <t>In_file_2154_1</t>
  </si>
  <si>
    <t>21_5</t>
  </si>
  <si>
    <t>ENSG00000183049</t>
  </si>
  <si>
    <t>2161_1</t>
  </si>
  <si>
    <t>ENSG00000188243</t>
  </si>
  <si>
    <t>2163_1</t>
  </si>
  <si>
    <t>ENSG00000154277</t>
  </si>
  <si>
    <t>2165_1</t>
  </si>
  <si>
    <t>ENSG00000163930</t>
  </si>
  <si>
    <t>21_6</t>
  </si>
  <si>
    <t>ENSG00000130822</t>
  </si>
  <si>
    <t>ENST00000447676_Acinonyx_jubatus_zoonomia</t>
  </si>
  <si>
    <t>2173_1</t>
  </si>
  <si>
    <t>ENSG00000109171</t>
  </si>
  <si>
    <t>2173_2</t>
  </si>
  <si>
    <t>ENSG00000139737</t>
  </si>
  <si>
    <t>2174_2</t>
  </si>
  <si>
    <t>ENSG00000091010</t>
  </si>
  <si>
    <t>2174_4</t>
  </si>
  <si>
    <t>ENSG00000152192</t>
  </si>
  <si>
    <t>2175_10</t>
  </si>
  <si>
    <t>ENSG00000204531</t>
  </si>
  <si>
    <t>ENST00000259915_Acinonyx_jubatus_zoonomia</t>
  </si>
  <si>
    <t>ENSG00000212993</t>
  </si>
  <si>
    <t>2175_2</t>
  </si>
  <si>
    <t>ENSG00000028277</t>
  </si>
  <si>
    <t>2175_7</t>
  </si>
  <si>
    <t>ENSG00000184486</t>
  </si>
  <si>
    <t>ENST00000328345_Acinonyx_jubatus_zoonomia</t>
  </si>
  <si>
    <t>2176_1</t>
  </si>
  <si>
    <t>ENSG00000184271</t>
  </si>
  <si>
    <t>ENST00000333640_Acinonyx_jubatus_zoonomia</t>
  </si>
  <si>
    <t>21_7</t>
  </si>
  <si>
    <t>ENSG00000164076</t>
  </si>
  <si>
    <t>2182_1</t>
  </si>
  <si>
    <t>ENSG00000126500</t>
  </si>
  <si>
    <t>ENST00000246841_Acinonyx_jubatus_zoonomia</t>
  </si>
  <si>
    <t>2185_2</t>
  </si>
  <si>
    <t>ENSG00000147257</t>
  </si>
  <si>
    <t>2186_5</t>
  </si>
  <si>
    <t>ENSG00000183098</t>
  </si>
  <si>
    <t>2192_3</t>
  </si>
  <si>
    <t>ENSG00000134595</t>
  </si>
  <si>
    <t>ENSG00000181449</t>
  </si>
  <si>
    <t>ENST00000325404_Acinonyx_jubatus_zoonomia</t>
  </si>
  <si>
    <t>ENSG00000184895</t>
  </si>
  <si>
    <t>2192_5</t>
  </si>
  <si>
    <t>ENSG00000168875</t>
  </si>
  <si>
    <t>ENST00000306087_Acinonyx_jubatus_zoonomia</t>
  </si>
  <si>
    <t>2192_6</t>
  </si>
  <si>
    <t>ENSG00000129194</t>
  </si>
  <si>
    <t>ENST00000250055_Acinonyx_jubatus_zoonomia</t>
  </si>
  <si>
    <t>2196_1</t>
  </si>
  <si>
    <t>ENSG00000119688</t>
  </si>
  <si>
    <t>2196_3</t>
  </si>
  <si>
    <t>ENSG00000173208</t>
  </si>
  <si>
    <t>2199_2</t>
  </si>
  <si>
    <t>ENSG00000156284</t>
  </si>
  <si>
    <t>2199_3</t>
  </si>
  <si>
    <t>ENSG00000165215</t>
  </si>
  <si>
    <t>2199_4</t>
  </si>
  <si>
    <t>ENSG00000189143</t>
  </si>
  <si>
    <t>2199_5</t>
  </si>
  <si>
    <t>ENSG00000213937</t>
  </si>
  <si>
    <t>ENST00000445369_Acinonyx_jubatus_zoonomia</t>
  </si>
  <si>
    <t>2199_8</t>
  </si>
  <si>
    <t>ENSG00000164007</t>
  </si>
  <si>
    <t>ENST00000296387_Acinonyx_jubatus_zoonomia</t>
  </si>
  <si>
    <t>2200_1</t>
  </si>
  <si>
    <t>ENSG00000106404</t>
  </si>
  <si>
    <t>220_4</t>
  </si>
  <si>
    <t>ENSG00000157890</t>
  </si>
  <si>
    <t>ENST00000395614_Acinonyx_jubatus_zoonomia</t>
  </si>
  <si>
    <t>220_6</t>
  </si>
  <si>
    <t>ENSG00000162591</t>
  </si>
  <si>
    <t>ENST00000356575_Acinonyx_jubatus_zoonomia</t>
  </si>
  <si>
    <t>2207_1</t>
  </si>
  <si>
    <t>ENSG00000102580</t>
  </si>
  <si>
    <t>2210_3</t>
  </si>
  <si>
    <t>ENSG00000171004</t>
  </si>
  <si>
    <t>ENST00000370833_Acinonyx_jubatus_zoonomia</t>
  </si>
  <si>
    <t>2214_1</t>
  </si>
  <si>
    <t>ENSG00000125352</t>
  </si>
  <si>
    <t>In_file_2214_2</t>
  </si>
  <si>
    <t>ENSG00000139797</t>
  </si>
  <si>
    <t>2216_1</t>
  </si>
  <si>
    <t>ENSG00000110446</t>
  </si>
  <si>
    <t>2216_2</t>
  </si>
  <si>
    <t>ENSG00000139370</t>
  </si>
  <si>
    <t>2218_1</t>
  </si>
  <si>
    <t>ENSG00000134882</t>
  </si>
  <si>
    <t>2220_4</t>
  </si>
  <si>
    <t>ENSG00000077147</t>
  </si>
  <si>
    <t>2220_6</t>
  </si>
  <si>
    <t>ENSG00000101337</t>
  </si>
  <si>
    <t>ENST00000398022_Acinonyx_jubatus_zoonomia</t>
  </si>
  <si>
    <t>2224_12</t>
  </si>
  <si>
    <t>ENSG00000156925</t>
  </si>
  <si>
    <t>2224_3</t>
  </si>
  <si>
    <t>ENSG00000107249</t>
  </si>
  <si>
    <t>ENST00000381971_Acinonyx_jubatus_zoonomia</t>
  </si>
  <si>
    <t>2224_4</t>
  </si>
  <si>
    <t>ENSG00000174332</t>
  </si>
  <si>
    <t>ENST00000628545_Acinonyx_jubatus_zoonomia</t>
  </si>
  <si>
    <t>2224_7</t>
  </si>
  <si>
    <t>ENSG00000111087</t>
  </si>
  <si>
    <t>2227_3</t>
  </si>
  <si>
    <t>ENSG00000230797</t>
  </si>
  <si>
    <t>ENST00000429584_Acinonyx_jubatus_zoonomia</t>
  </si>
  <si>
    <t>2230_6</t>
  </si>
  <si>
    <t>ENSG00000076555</t>
  </si>
  <si>
    <t>In_file_2230_1</t>
  </si>
  <si>
    <t>ENSG00000278540</t>
  </si>
  <si>
    <t>In_file_2230_5</t>
  </si>
  <si>
    <t>2234_1</t>
  </si>
  <si>
    <t>ENSG00000177047</t>
  </si>
  <si>
    <t>ENST00000380229_Acinonyx_jubatus_zoonomia</t>
  </si>
  <si>
    <t>2238_2</t>
  </si>
  <si>
    <t>ENSG00000136381</t>
  </si>
  <si>
    <t>ENST00000258886_Acinonyx_jubatus_zoonomia</t>
  </si>
  <si>
    <t>224_1</t>
  </si>
  <si>
    <t>ENSG00000111452</t>
  </si>
  <si>
    <t>2245_2</t>
  </si>
  <si>
    <t>ENSG00000085978</t>
  </si>
  <si>
    <t>2251_1</t>
  </si>
  <si>
    <t>ENSG00000101138</t>
  </si>
  <si>
    <t>225_2</t>
  </si>
  <si>
    <t>ENSG00000143126</t>
  </si>
  <si>
    <t>ENST00000271332_Acinonyx_jubatus_zoonomia</t>
  </si>
  <si>
    <t>2254_1</t>
  </si>
  <si>
    <t>ENSG00000086062</t>
  </si>
  <si>
    <t>225_4</t>
  </si>
  <si>
    <t>ENSG00000107736</t>
  </si>
  <si>
    <t>ENST00000224721_Acinonyx_jubatus_zoonomia</t>
  </si>
  <si>
    <t>2255_5</t>
  </si>
  <si>
    <t>ENSG00000158850</t>
  </si>
  <si>
    <t>ENST00000319769_Acinonyx_jubatus_zoonomia</t>
  </si>
  <si>
    <t>2257_1</t>
  </si>
  <si>
    <t>ENSG00000086065</t>
  </si>
  <si>
    <t>225_9</t>
  </si>
  <si>
    <t>ENSG00000150275</t>
  </si>
  <si>
    <t>ENST00000373965_Acinonyx_jubatus_zoonomia</t>
  </si>
  <si>
    <t>ENSG00000165323</t>
  </si>
  <si>
    <t>In_file_225_7</t>
  </si>
  <si>
    <t>2260_5</t>
  </si>
  <si>
    <t>ENSG00000086159</t>
  </si>
  <si>
    <t>ENST00000315520_Acinonyx_jubatus_zoonomia</t>
  </si>
  <si>
    <t>2264_2</t>
  </si>
  <si>
    <t>ENSG00000107341</t>
  </si>
  <si>
    <t>2264_3</t>
  </si>
  <si>
    <t>ENSG00000132388</t>
  </si>
  <si>
    <t>2264_4</t>
  </si>
  <si>
    <t>ENSG00000184787</t>
  </si>
  <si>
    <t>2266_2</t>
  </si>
  <si>
    <t>ENSG00000137073</t>
  </si>
  <si>
    <t>ENST00000360802_Acinonyx_jubatus_zoonomia</t>
  </si>
  <si>
    <t>2268_1</t>
  </si>
  <si>
    <t>ENSG00000165006</t>
  </si>
  <si>
    <t>2269_1</t>
  </si>
  <si>
    <t>ENSG00000164978</t>
  </si>
  <si>
    <t>2271_3</t>
  </si>
  <si>
    <t>ENSG00000089597</t>
  </si>
  <si>
    <t>ENST00000346178_Acinonyx_jubatus_zoonomia</t>
  </si>
  <si>
    <t>2271_6</t>
  </si>
  <si>
    <t>ENSG00000257335</t>
  </si>
  <si>
    <t>2271_7</t>
  </si>
  <si>
    <t>ENSG00000257743</t>
  </si>
  <si>
    <t>ENST00000477922_Acinonyx_jubatus_zoonomia</t>
  </si>
  <si>
    <t>227_1</t>
  </si>
  <si>
    <t>ENSG00000159618</t>
  </si>
  <si>
    <t>227_2</t>
  </si>
  <si>
    <t>ENSG00000205336</t>
  </si>
  <si>
    <t>2274_1</t>
  </si>
  <si>
    <t>ENSG00000178761</t>
  </si>
  <si>
    <t>2275_2</t>
  </si>
  <si>
    <t>ENSG00000152763</t>
  </si>
  <si>
    <t>ENST00000371026_Acinonyx_jubatus_zoonomia</t>
  </si>
  <si>
    <t>2276_1</t>
  </si>
  <si>
    <t>ENSG00000171595</t>
  </si>
  <si>
    <t>ENST00000579490_Acinonyx_jubatus_zoonomia</t>
  </si>
  <si>
    <t>2277_1</t>
  </si>
  <si>
    <t>ENSG00000077380</t>
  </si>
  <si>
    <t>2284_1</t>
  </si>
  <si>
    <t>ENSG00000105246</t>
  </si>
  <si>
    <t>ENST00000221847_Acinonyx_jubatus_zoonomia</t>
  </si>
  <si>
    <t>2289_1</t>
  </si>
  <si>
    <t>ENSG00000116017</t>
  </si>
  <si>
    <t>ENST00000263620_Acinonyx_jubatus_zoonomia</t>
  </si>
  <si>
    <t>2289_2</t>
  </si>
  <si>
    <t>ENSG00000179361</t>
  </si>
  <si>
    <t>ENST00000346246_Acinonyx_jubatus_zoonomia</t>
  </si>
  <si>
    <t>229_1</t>
  </si>
  <si>
    <t>ENSG00000121753</t>
  </si>
  <si>
    <t>ENST00000398556_Acinonyx_jubatus_zoonomia</t>
  </si>
  <si>
    <t>2292_1</t>
  </si>
  <si>
    <t>ENSG00000117713</t>
  </si>
  <si>
    <t>ENST00000324856_Acinonyx_jubatus_zoonomia</t>
  </si>
  <si>
    <t>2292_2</t>
  </si>
  <si>
    <t>ENSG00000049618</t>
  </si>
  <si>
    <t>229_5</t>
  </si>
  <si>
    <t>ENSG00000135298</t>
  </si>
  <si>
    <t>In_file_229_4</t>
  </si>
  <si>
    <t>ENSG00000181790</t>
  </si>
  <si>
    <t>In_file_229_2</t>
  </si>
  <si>
    <t>2297_1</t>
  </si>
  <si>
    <t>ENSG00000151882</t>
  </si>
  <si>
    <t>2304_1</t>
  </si>
  <si>
    <t>ENSG00000187791</t>
  </si>
  <si>
    <t>ENST00000340783_Acinonyx_jubatus_zoonomia</t>
  </si>
  <si>
    <t>2304_2</t>
  </si>
  <si>
    <t>ENSG00000205108</t>
  </si>
  <si>
    <t>ENST00000378788_Acinonyx_jubatus_zoonomia</t>
  </si>
  <si>
    <t>2308_1</t>
  </si>
  <si>
    <t>ENSG00000071539</t>
  </si>
  <si>
    <t>2311_1</t>
  </si>
  <si>
    <t>ENSG00000198853</t>
  </si>
  <si>
    <t>ENST00000361226_Acinonyx_jubatus_zoonomia</t>
  </si>
  <si>
    <t>2312_1</t>
  </si>
  <si>
    <t>ENSG00000160753</t>
  </si>
  <si>
    <t>2316_1</t>
  </si>
  <si>
    <t>ENSG00000184216</t>
  </si>
  <si>
    <t>2317_1</t>
  </si>
  <si>
    <t>ENSG00000134070</t>
  </si>
  <si>
    <t>2322_2</t>
  </si>
  <si>
    <t>ENSG00000143549</t>
  </si>
  <si>
    <t>2323_3</t>
  </si>
  <si>
    <t>ENSG00000107175</t>
  </si>
  <si>
    <t>ENST00000353704_Acinonyx_jubatus_zoonomia</t>
  </si>
  <si>
    <t>2324_1</t>
  </si>
  <si>
    <t>ENSG00000157613</t>
  </si>
  <si>
    <t>2325_1</t>
  </si>
  <si>
    <t>ENSG00000182158</t>
  </si>
  <si>
    <t>2326_1</t>
  </si>
  <si>
    <t>ENSG00000070610</t>
  </si>
  <si>
    <t>ENST00000378103_Acinonyx_jubatus_zoonomia</t>
  </si>
  <si>
    <t>2329_4</t>
  </si>
  <si>
    <t>ENSG00000169418</t>
  </si>
  <si>
    <t>2329_5</t>
  </si>
  <si>
    <t>ENSG00000159899</t>
  </si>
  <si>
    <t>2329_8</t>
  </si>
  <si>
    <t>ENSG00000152402</t>
  </si>
  <si>
    <t>ENST00000282249_Acinonyx_jubatus_zoonomia</t>
  </si>
  <si>
    <t>2329_9</t>
  </si>
  <si>
    <t>ENSG00000164116</t>
  </si>
  <si>
    <t>ENST00000296518_Acinonyx_jubatus_zoonomia</t>
  </si>
  <si>
    <t>233_17</t>
  </si>
  <si>
    <t>ENSG00000150394</t>
  </si>
  <si>
    <t>233_21</t>
  </si>
  <si>
    <t>ENSG00000134755</t>
  </si>
  <si>
    <t>ENST00000280904_Acinonyx_jubatus_zoonomia</t>
  </si>
  <si>
    <t>233_24</t>
  </si>
  <si>
    <t>ENSG00000175065</t>
  </si>
  <si>
    <t>ENST00000308128_Acinonyx_jubatus_zoonomia</t>
  </si>
  <si>
    <t>2335_4</t>
  </si>
  <si>
    <t>ENSG00000138031</t>
  </si>
  <si>
    <t>2335_5</t>
  </si>
  <si>
    <t>ENSG00000155897</t>
  </si>
  <si>
    <t>2335_6</t>
  </si>
  <si>
    <t>ENSG00000164742</t>
  </si>
  <si>
    <t>2342_1</t>
  </si>
  <si>
    <t>ENSG00000137103</t>
  </si>
  <si>
    <t>2343_1</t>
  </si>
  <si>
    <t>ENSG00000187616</t>
  </si>
  <si>
    <t>ENST00000339996_Acinonyx_jubatus_zoonomia</t>
  </si>
  <si>
    <t>2346_1</t>
  </si>
  <si>
    <t>ENSG00000136839</t>
  </si>
  <si>
    <t>ENSG00000276119</t>
  </si>
  <si>
    <t>ENSG00000277556</t>
  </si>
  <si>
    <t>2347_10</t>
  </si>
  <si>
    <t>ENSG00000204700</t>
  </si>
  <si>
    <t>ENST00000377167_Acinonyx_jubatus_zoonomia</t>
  </si>
  <si>
    <t>ENSG00000204701</t>
  </si>
  <si>
    <t>ENST00000377169_Acinonyx_jubatus_zoonomia</t>
  </si>
  <si>
    <t>ENSG00000204702</t>
  </si>
  <si>
    <t>ENST00000377171_Acinonyx_jubatus_zoonomia</t>
  </si>
  <si>
    <t>2347_3</t>
  </si>
  <si>
    <t>ENSG00000196242</t>
  </si>
  <si>
    <t>ENSG00000284824</t>
  </si>
  <si>
    <t>2347_6</t>
  </si>
  <si>
    <t>ENSG00000204703</t>
  </si>
  <si>
    <t>In_file_2347_17</t>
  </si>
  <si>
    <t>2347_7</t>
  </si>
  <si>
    <t>ENSG00000204704</t>
  </si>
  <si>
    <t>2349_6</t>
  </si>
  <si>
    <t>ENSG00000170683</t>
  </si>
  <si>
    <t>ENSG00000279000</t>
  </si>
  <si>
    <t>2351_12</t>
  </si>
  <si>
    <t>ENSG00000168124</t>
  </si>
  <si>
    <t>ENSG00000170929</t>
  </si>
  <si>
    <t>ENST00000429566_Acinonyx_jubatus_zoonomia</t>
  </si>
  <si>
    <t>2351_15</t>
  </si>
  <si>
    <t>ENSG00000197233</t>
  </si>
  <si>
    <t>2351_25</t>
  </si>
  <si>
    <t>ENSG00000184166</t>
  </si>
  <si>
    <t>ENSG00000262628</t>
  </si>
  <si>
    <t>2351_2</t>
  </si>
  <si>
    <t>ENSG00000171481</t>
  </si>
  <si>
    <t>ENSG00000173679</t>
  </si>
  <si>
    <t>ENST00000373686_Acinonyx_jubatus_zoonomia</t>
  </si>
  <si>
    <t>2351_33</t>
  </si>
  <si>
    <t>ENSG00000127529</t>
  </si>
  <si>
    <t>2351_39</t>
  </si>
  <si>
    <t>ENSG00000127515</t>
  </si>
  <si>
    <t>ENSG00000185385</t>
  </si>
  <si>
    <t>ENSG00000188269</t>
  </si>
  <si>
    <t>2351_44</t>
  </si>
  <si>
    <t>ENSG00000170923</t>
  </si>
  <si>
    <t>2351_7</t>
  </si>
  <si>
    <t>ENSG00000172146</t>
  </si>
  <si>
    <t>ENSG00000172150</t>
  </si>
  <si>
    <t>2352_4</t>
  </si>
  <si>
    <t>ENSG00000173285</t>
  </si>
  <si>
    <t>ENSG00000180708</t>
  </si>
  <si>
    <t>In_file_2352_3</t>
  </si>
  <si>
    <t>2354_1</t>
  </si>
  <si>
    <t>ENSG00000172772</t>
  </si>
  <si>
    <t>ENSG00000180475</t>
  </si>
  <si>
    <t>ENST00000316770_Acinonyx_jubatus_zoonomia</t>
  </si>
  <si>
    <t>2354_3</t>
  </si>
  <si>
    <t>ENSG00000172289</t>
  </si>
  <si>
    <t>ENST00000307552_Acinonyx_jubatus_zoonomia</t>
  </si>
  <si>
    <t>2356_2</t>
  </si>
  <si>
    <t>ENSG00000204694</t>
  </si>
  <si>
    <t>ENST00000377147_Acinonyx_jubatus_zoonomia</t>
  </si>
  <si>
    <t>2359_3</t>
  </si>
  <si>
    <t>ENSG00000196171</t>
  </si>
  <si>
    <t>ENST00000359610_Acinonyx_jubatus_zoonomia</t>
  </si>
  <si>
    <t>2359_4</t>
  </si>
  <si>
    <t>ENSG00000203757</t>
  </si>
  <si>
    <t>ENST00000368146_Acinonyx_jubatus_zoonomia</t>
  </si>
  <si>
    <t>2360_19</t>
  </si>
  <si>
    <t>ENSG00000182613</t>
  </si>
  <si>
    <t>ENSG00000185372</t>
  </si>
  <si>
    <t>2360_22</t>
  </si>
  <si>
    <t>ENSG00000177201</t>
  </si>
  <si>
    <t>ENST00000317996_Acinonyx_jubatus_zoonomia</t>
  </si>
  <si>
    <t>ENSG00000177212</t>
  </si>
  <si>
    <t>ENST00000318021_Acinonyx_jubatus_zoonomia</t>
  </si>
  <si>
    <t>ENSG00000177462</t>
  </si>
  <si>
    <t>ENST00000319968_Acinonyx_jubatus_zoonomia</t>
  </si>
  <si>
    <t>2360_30</t>
  </si>
  <si>
    <t>ENSG00000177275</t>
  </si>
  <si>
    <t>ENST00000318244_Acinonyx_jubatus_zoonomia</t>
  </si>
  <si>
    <t>2362_1</t>
  </si>
  <si>
    <t>ENSG00000171936</t>
  </si>
  <si>
    <t>ENSG00000176231</t>
  </si>
  <si>
    <t>2365_15</t>
  </si>
  <si>
    <t>ENSG00000179626</t>
  </si>
  <si>
    <t>2365_1</t>
  </si>
  <si>
    <t>ENSG00000169214</t>
  </si>
  <si>
    <t>ENST00000302084_Acinonyx_jubatus_zoonomia</t>
  </si>
  <si>
    <t>2365_24</t>
  </si>
  <si>
    <t>ENSG00000205330</t>
  </si>
  <si>
    <t>2365_2</t>
  </si>
  <si>
    <t>ENSG00000258083</t>
  </si>
  <si>
    <t>2365_3</t>
  </si>
  <si>
    <t>ENSG00000179468</t>
  </si>
  <si>
    <t>ENST00000350513_Acinonyx_jubatus_zoonomia</t>
  </si>
  <si>
    <t>2366_1</t>
  </si>
  <si>
    <t>ENSG00000179615</t>
  </si>
  <si>
    <t>ENST00000321688_Acinonyx_jubatus_zoonomia</t>
  </si>
  <si>
    <t>In_file_2365_15</t>
  </si>
  <si>
    <t>2367_12</t>
  </si>
  <si>
    <t>ENSG00000181698</t>
  </si>
  <si>
    <t>In_file_2367_13</t>
  </si>
  <si>
    <t>2367_22</t>
  </si>
  <si>
    <t>ENSG00000172365</t>
  </si>
  <si>
    <t>ENSG00000197786</t>
  </si>
  <si>
    <t>2367_3</t>
  </si>
  <si>
    <t>ENSG00000181693</t>
  </si>
  <si>
    <t>ENSG00000181761</t>
  </si>
  <si>
    <t>ENSG00000181767</t>
  </si>
  <si>
    <t>2367_7</t>
  </si>
  <si>
    <t>ENSG00000181273</t>
  </si>
  <si>
    <t>2367_8</t>
  </si>
  <si>
    <t>ENSG00000181785</t>
  </si>
  <si>
    <t>2368_13</t>
  </si>
  <si>
    <t>ENSG00000167822</t>
  </si>
  <si>
    <t>ENSG00000172487</t>
  </si>
  <si>
    <t>2368_1</t>
  </si>
  <si>
    <t>ENSG00000254834</t>
  </si>
  <si>
    <t>ENSG00000255012</t>
  </si>
  <si>
    <t>2368_9</t>
  </si>
  <si>
    <t>ENSG00000150269</t>
  </si>
  <si>
    <t>ENST00000279791_Acinonyx_jubatus_zoonomia</t>
  </si>
  <si>
    <t>ENSG00000284732</t>
  </si>
  <si>
    <t>ENST00000641310_Acinonyx_jubatus_zoonomia</t>
  </si>
  <si>
    <t>2370_16</t>
  </si>
  <si>
    <t>ENSG00000197849</t>
  </si>
  <si>
    <t>ENSG00000255298</t>
  </si>
  <si>
    <t>2370_1</t>
  </si>
  <si>
    <t>ENSG00000197125</t>
  </si>
  <si>
    <t>ENSG00000284609</t>
  </si>
  <si>
    <t>In_file_2370_4</t>
  </si>
  <si>
    <t>ENSG00000284680</t>
  </si>
  <si>
    <t>2372_2</t>
  </si>
  <si>
    <t>ENSG00000172324</t>
  </si>
  <si>
    <t>ENST00000302040_Acinonyx_jubatus_zoonomia</t>
  </si>
  <si>
    <t>2372_4</t>
  </si>
  <si>
    <t>ENSG00000176495</t>
  </si>
  <si>
    <t>2373_7</t>
  </si>
  <si>
    <t>ENSG00000197938</t>
  </si>
  <si>
    <t>ENSG00000230301</t>
  </si>
  <si>
    <t>ENSG00000231192</t>
  </si>
  <si>
    <t>ENST00000354565_Acinonyx_jubatus_zoonomia</t>
  </si>
  <si>
    <t>ENSG00000233412</t>
  </si>
  <si>
    <t>ENSG00000236032</t>
  </si>
  <si>
    <t>2374_3</t>
  </si>
  <si>
    <t>ENSG00000186886</t>
  </si>
  <si>
    <t>In_file_2374_1</t>
  </si>
  <si>
    <t>ENSG00000205029</t>
  </si>
  <si>
    <t>ENSG00000279761</t>
  </si>
  <si>
    <t>2374_8</t>
  </si>
  <si>
    <t>ENSG00000186113</t>
  </si>
  <si>
    <t>In_file_2403_1</t>
  </si>
  <si>
    <t>ENSG00000205030</t>
  </si>
  <si>
    <t>ENSG00000279395</t>
  </si>
  <si>
    <t>2375_1</t>
  </si>
  <si>
    <t>ENSG00000172377</t>
  </si>
  <si>
    <t>2375_2</t>
  </si>
  <si>
    <t>ENSG00000186509</t>
  </si>
  <si>
    <t>ENST00000335397_Acinonyx_jubatus_zoonomia</t>
  </si>
  <si>
    <t>ENSG00000186513</t>
  </si>
  <si>
    <t>2382_3</t>
  </si>
  <si>
    <t>ENSG00000180090</t>
  </si>
  <si>
    <t>238_2</t>
  </si>
  <si>
    <t>ENSG00000156453</t>
  </si>
  <si>
    <t>ENST00000287008_Acinonyx_jubatus_zoonomia</t>
  </si>
  <si>
    <t>2383_1</t>
  </si>
  <si>
    <t>ENSG00000198674</t>
  </si>
  <si>
    <t>ENST00000307002_Acinonyx_jubatus_zoonomia</t>
  </si>
  <si>
    <t>2383_4</t>
  </si>
  <si>
    <t>ENSG00000196248</t>
  </si>
  <si>
    <t>ENST00000531945_Acinonyx_jubatus_zoonomia</t>
  </si>
  <si>
    <t>2384_5</t>
  </si>
  <si>
    <t>ENSG00000204695</t>
  </si>
  <si>
    <t>2387_12</t>
  </si>
  <si>
    <t>ENSG00000181903</t>
  </si>
  <si>
    <t>In_file_2387_13</t>
  </si>
  <si>
    <t>ENSG00000181939</t>
  </si>
  <si>
    <t>ENST00000314644_Acinonyx_jubatus_zoonomia</t>
  </si>
  <si>
    <t>2387_17</t>
  </si>
  <si>
    <t>ENSG00000185926</t>
  </si>
  <si>
    <t>ENSG00000258817</t>
  </si>
  <si>
    <t>2387_4</t>
  </si>
  <si>
    <t>ENSG00000175619</t>
  </si>
  <si>
    <t>ENST00000309562_Acinonyx_jubatus_zoonomia</t>
  </si>
  <si>
    <t>2387_8</t>
  </si>
  <si>
    <t>ENSG00000237388</t>
  </si>
  <si>
    <t>2388_23</t>
  </si>
  <si>
    <t>ENSG00000176281</t>
  </si>
  <si>
    <t>ENST00000315915_Acinonyx_jubatus_zoonomia</t>
  </si>
  <si>
    <t>2388_24</t>
  </si>
  <si>
    <t>ENSG00000176230</t>
  </si>
  <si>
    <t>In_file_2388_19</t>
  </si>
  <si>
    <t>2388_26</t>
  </si>
  <si>
    <t>ENSG00000176253</t>
  </si>
  <si>
    <t>2388_27</t>
  </si>
  <si>
    <t>ENSG00000176695</t>
  </si>
  <si>
    <t>ENSG00000177693</t>
  </si>
  <si>
    <t>ENSG00000186092</t>
  </si>
  <si>
    <t>2388_2</t>
  </si>
  <si>
    <t>ENSG00000255713</t>
  </si>
  <si>
    <t>2388_8</t>
  </si>
  <si>
    <t>ENSG00000176294</t>
  </si>
  <si>
    <t>In_file_2388_9</t>
  </si>
  <si>
    <t>ENSG00000183706</t>
  </si>
  <si>
    <t>ENSG00000184394</t>
  </si>
  <si>
    <t>ENSG00000279408</t>
  </si>
  <si>
    <t>ENSG00000280709</t>
  </si>
  <si>
    <t>ENST00000628444_Acinonyx_jubatus_zoonomia</t>
  </si>
  <si>
    <t>ENSG00000285472</t>
  </si>
  <si>
    <t>ENST00000639059_Acinonyx_jubatus_zoonomia</t>
  </si>
  <si>
    <t>2390_1</t>
  </si>
  <si>
    <t>ENSG00000176200</t>
  </si>
  <si>
    <t>In_file_2388_4</t>
  </si>
  <si>
    <t>ENSG00000176547</t>
  </si>
  <si>
    <t>2398_1</t>
  </si>
  <si>
    <t>ENSG00000280094</t>
  </si>
  <si>
    <t>ENST00000623530_Acinonyx_jubatus_zoonomia</t>
  </si>
  <si>
    <t>2419_1</t>
  </si>
  <si>
    <t>ENSG00000235387</t>
  </si>
  <si>
    <t>2423_1</t>
  </si>
  <si>
    <t>ENSG00000175416</t>
  </si>
  <si>
    <t>2423_2</t>
  </si>
  <si>
    <t>ENSG00000122705</t>
  </si>
  <si>
    <t>2424_2</t>
  </si>
  <si>
    <t>ENSG00000146083</t>
  </si>
  <si>
    <t>2426_1</t>
  </si>
  <si>
    <t>ENSG00000108523</t>
  </si>
  <si>
    <t>2428_3</t>
  </si>
  <si>
    <t>ENSG00000196092</t>
  </si>
  <si>
    <t>2428_4</t>
  </si>
  <si>
    <t>ENSG00000198807</t>
  </si>
  <si>
    <t>2428_9</t>
  </si>
  <si>
    <t>ENSG00000009709</t>
  </si>
  <si>
    <t>ENST00000420770_Acinonyx_jubatus_zoonomia</t>
  </si>
  <si>
    <t>24_2</t>
  </si>
  <si>
    <t>ENSG00000099875</t>
  </si>
  <si>
    <t>ENST00000309340_Acinonyx_jubatus_zoonomia</t>
  </si>
  <si>
    <t>2434_2</t>
  </si>
  <si>
    <t>ENSG00000147234</t>
  </si>
  <si>
    <t>ENST00000276185_Acinonyx_jubatus_zoonomia</t>
  </si>
  <si>
    <t>2434_3</t>
  </si>
  <si>
    <t>ENSG00000070601</t>
  </si>
  <si>
    <t>ENST00000377765_Acinonyx_jubatus_zoonomia</t>
  </si>
  <si>
    <t>2436_1</t>
  </si>
  <si>
    <t>ENSG00000165275</t>
  </si>
  <si>
    <t>244_2</t>
  </si>
  <si>
    <t>ENSG00000118733</t>
  </si>
  <si>
    <t>ENST00000370103_Acinonyx_jubatus_zoonomia</t>
  </si>
  <si>
    <t>2443_2</t>
  </si>
  <si>
    <t>ENSG00000138606</t>
  </si>
  <si>
    <t>ENST00000290894_Acinonyx_jubatus_zoonomia</t>
  </si>
  <si>
    <t>2443_5</t>
  </si>
  <si>
    <t>ENSG00000105251</t>
  </si>
  <si>
    <t>2444_8</t>
  </si>
  <si>
    <t>ENSG00000136010</t>
  </si>
  <si>
    <t>ENST00000652515_Acinonyx_jubatus_zoonomia</t>
  </si>
  <si>
    <t>2445_1</t>
  </si>
  <si>
    <t>ENSG00000161618</t>
  </si>
  <si>
    <t>244_5</t>
  </si>
  <si>
    <t>ENSG00000162745</t>
  </si>
  <si>
    <t>ENST00000294794_Acinonyx_jubatus_zoonomia</t>
  </si>
  <si>
    <t>2446_2</t>
  </si>
  <si>
    <t>ENSG00000072210</t>
  </si>
  <si>
    <t>ENST00000671878_Acinonyx_jubatus_zoonomia</t>
  </si>
  <si>
    <t>2446_3</t>
  </si>
  <si>
    <t>ENSG00000006534</t>
  </si>
  <si>
    <t>ENSG00000132746</t>
  </si>
  <si>
    <t>2447_1</t>
  </si>
  <si>
    <t>ENSG00000159423</t>
  </si>
  <si>
    <t>2451_1</t>
  </si>
  <si>
    <t>ENSG00000115317</t>
  </si>
  <si>
    <t>2451_2</t>
  </si>
  <si>
    <t>ENSG00000170801</t>
  </si>
  <si>
    <t>2452_1</t>
  </si>
  <si>
    <t>ENSG00000283329</t>
  </si>
  <si>
    <t>2454_1</t>
  </si>
  <si>
    <t>ENSG00000136682</t>
  </si>
  <si>
    <t>ENSG00000147996</t>
  </si>
  <si>
    <t>ENSG00000172785</t>
  </si>
  <si>
    <t>ENSG00000196873</t>
  </si>
  <si>
    <t>ENSG00000215126</t>
  </si>
  <si>
    <t>2459_1</t>
  </si>
  <si>
    <t>ENSG00000079739</t>
  </si>
  <si>
    <t>2461_2</t>
  </si>
  <si>
    <t>ENSG00000186111</t>
  </si>
  <si>
    <t>ENST00000335312_Acinonyx_jubatus_zoonomia</t>
  </si>
  <si>
    <t>2461_4</t>
  </si>
  <si>
    <t>ENSG00000166908</t>
  </si>
  <si>
    <t>2461_5</t>
  </si>
  <si>
    <t>ENSG00000276293</t>
  </si>
  <si>
    <t>2463_1</t>
  </si>
  <si>
    <t>ENSG00000167103</t>
  </si>
  <si>
    <t>2464_2</t>
  </si>
  <si>
    <t>ENSG00000156504</t>
  </si>
  <si>
    <t>2468_1</t>
  </si>
  <si>
    <t>ENSG00000187796</t>
  </si>
  <si>
    <t>ENST00000371734_Acinonyx_jubatus_zoonomia</t>
  </si>
  <si>
    <t>ENSG00000198286</t>
  </si>
  <si>
    <t>In_file_2468_2</t>
  </si>
  <si>
    <t>2468_3</t>
  </si>
  <si>
    <t>ENSG00000100065</t>
  </si>
  <si>
    <t>ENST00000251973_Acinonyx_jubatus_zoonomia</t>
  </si>
  <si>
    <t>2472_2</t>
  </si>
  <si>
    <t>ENSG00000107282</t>
  </si>
  <si>
    <t>2477_1</t>
  </si>
  <si>
    <t>ENSG00000204711</t>
  </si>
  <si>
    <t>2479_3</t>
  </si>
  <si>
    <t>ENSG00000266265</t>
  </si>
  <si>
    <t>ENST00000583337_Acinonyx_jubatus_zoonomia</t>
  </si>
  <si>
    <t>2482_1</t>
  </si>
  <si>
    <t>ENSG00000105866</t>
  </si>
  <si>
    <t>ENST00000222584_Acinonyx_jubatus_zoonomia</t>
  </si>
  <si>
    <t>2482_5</t>
  </si>
  <si>
    <t>ENSG00000170374</t>
  </si>
  <si>
    <t>2489_1</t>
  </si>
  <si>
    <t>ENSG00000184937</t>
  </si>
  <si>
    <t>2493_1</t>
  </si>
  <si>
    <t>ENSG00000103888</t>
  </si>
  <si>
    <t>ENST00000220244_Acinonyx_jubatus_zoonomia</t>
  </si>
  <si>
    <t>2494_1</t>
  </si>
  <si>
    <t>ENSG00000170927</t>
  </si>
  <si>
    <t>ENST00000371117_Acinonyx_jubatus_zoonomia</t>
  </si>
  <si>
    <t>2495_2</t>
  </si>
  <si>
    <t>ENSG00000107362</t>
  </si>
  <si>
    <t>2497_1</t>
  </si>
  <si>
    <t>ENSG00000139826</t>
  </si>
  <si>
    <t>2498_1</t>
  </si>
  <si>
    <t>ENSG00000131969</t>
  </si>
  <si>
    <t>2499_1</t>
  </si>
  <si>
    <t>ENSG00000155621</t>
  </si>
  <si>
    <t>2_4</t>
  </si>
  <si>
    <t>ENSG00000138641</t>
  </si>
  <si>
    <t>ENSG00000287542</t>
  </si>
  <si>
    <t>2503_1</t>
  </si>
  <si>
    <t>ENSG00000167895</t>
  </si>
  <si>
    <t>2506_6</t>
  </si>
  <si>
    <t>ENSG00000122359</t>
  </si>
  <si>
    <t>2509_1</t>
  </si>
  <si>
    <t>ENSG00000135045</t>
  </si>
  <si>
    <t>ENST00000376854_Acinonyx_jubatus_zoonomia</t>
  </si>
  <si>
    <t>2511_1</t>
  </si>
  <si>
    <t>ENSG00000156017</t>
  </si>
  <si>
    <t>25_11</t>
  </si>
  <si>
    <t>ENSG00000099308</t>
  </si>
  <si>
    <t>ENST00000262811_Acinonyx_jubatus_zoonomia</t>
  </si>
  <si>
    <t>2515_1</t>
  </si>
  <si>
    <t>ENSG00000102606</t>
  </si>
  <si>
    <t>2518_4</t>
  </si>
  <si>
    <t>ENSG00000124091</t>
  </si>
  <si>
    <t>ENST00000617620_Acinonyx_jubatus_zoonomia</t>
  </si>
  <si>
    <t>25_1</t>
  </si>
  <si>
    <t>ENSG00000099725</t>
  </si>
  <si>
    <t>ENSG00000177189</t>
  </si>
  <si>
    <t>In_file_25_39</t>
  </si>
  <si>
    <t>ENSG00000183943</t>
  </si>
  <si>
    <t>25_20</t>
  </si>
  <si>
    <t>ENSG00000067606</t>
  </si>
  <si>
    <t>ENST00000378567_Acinonyx_jubatus_zoonomia</t>
  </si>
  <si>
    <t>25_21</t>
  </si>
  <si>
    <t>ENSG00000163558</t>
  </si>
  <si>
    <t>2522_14</t>
  </si>
  <si>
    <t>ENSG00000087460</t>
  </si>
  <si>
    <t>2522_15</t>
  </si>
  <si>
    <t>ENSG00000120063</t>
  </si>
  <si>
    <t>2522_2</t>
  </si>
  <si>
    <t>ENSG00000156052</t>
  </si>
  <si>
    <t>2522_3</t>
  </si>
  <si>
    <t>ENSG00000156049</t>
  </si>
  <si>
    <t>In_file_2522_2</t>
  </si>
  <si>
    <t>2522_9</t>
  </si>
  <si>
    <t>ENSG00000065135</t>
  </si>
  <si>
    <t>25_25</t>
  </si>
  <si>
    <t>ENSG00000065675</t>
  </si>
  <si>
    <t>In_file_25_24</t>
  </si>
  <si>
    <t>ENSG00000122966</t>
  </si>
  <si>
    <t>ENST00000612548_Acinonyx_jubatus_zoonomia</t>
  </si>
  <si>
    <t>ENSG00000154229</t>
  </si>
  <si>
    <t>In_file_25_29</t>
  </si>
  <si>
    <t>25_2</t>
  </si>
  <si>
    <t>In_file_25_1</t>
  </si>
  <si>
    <t>2531_1</t>
  </si>
  <si>
    <t>ENSG00000135069</t>
  </si>
  <si>
    <t>25_33</t>
  </si>
  <si>
    <t>ENSG00000160447</t>
  </si>
  <si>
    <t>25_34</t>
  </si>
  <si>
    <t>ENSG00000065243</t>
  </si>
  <si>
    <t>ENST00000370513_Acinonyx_jubatus_zoonomia</t>
  </si>
  <si>
    <t>25_40</t>
  </si>
  <si>
    <t>ENSG00000117676</t>
  </si>
  <si>
    <t>ENST00000374166_Acinonyx_jubatus_zoonomia</t>
  </si>
  <si>
    <t>2542_2</t>
  </si>
  <si>
    <t>ENSG00000197111</t>
  </si>
  <si>
    <t>2542_3</t>
  </si>
  <si>
    <t>ENSG00000183570</t>
  </si>
  <si>
    <t>2542_4</t>
  </si>
  <si>
    <t>ENSG00000090097</t>
  </si>
  <si>
    <t>25_42</t>
  </si>
  <si>
    <t>ENSG00000175634</t>
  </si>
  <si>
    <t>254_2</t>
  </si>
  <si>
    <t>ENSG00000188517</t>
  </si>
  <si>
    <t>25_43</t>
  </si>
  <si>
    <t>ENSG00000108443</t>
  </si>
  <si>
    <t>25_47</t>
  </si>
  <si>
    <t>ENSG00000198752</t>
  </si>
  <si>
    <t>ENST00000361246_Acinonyx_jubatus_zoonomia</t>
  </si>
  <si>
    <t>25_48</t>
  </si>
  <si>
    <t>ENSG00000171219</t>
  </si>
  <si>
    <t>In_file_25_52</t>
  </si>
  <si>
    <t>2550_1</t>
  </si>
  <si>
    <t>ENSG00000135070</t>
  </si>
  <si>
    <t>25_51</t>
  </si>
  <si>
    <t>ENSG00000131023</t>
  </si>
  <si>
    <t>255_1</t>
  </si>
  <si>
    <t>ENSG00000168079</t>
  </si>
  <si>
    <t>2556_1</t>
  </si>
  <si>
    <t>ENSG00000103811</t>
  </si>
  <si>
    <t>ENST00000220166_Acinonyx_jubatus_zoonomia</t>
  </si>
  <si>
    <t>2557_1</t>
  </si>
  <si>
    <t>ENSG00000172543</t>
  </si>
  <si>
    <t>2559_1</t>
  </si>
  <si>
    <t>ENSG00000256043</t>
  </si>
  <si>
    <t>2564_1</t>
  </si>
  <si>
    <t>ENSG00000101160</t>
  </si>
  <si>
    <t>ENST00000217131_Acinonyx_jubatus_zoonomia</t>
  </si>
  <si>
    <t>2566_1</t>
  </si>
  <si>
    <t>ENSG00000171773</t>
  </si>
  <si>
    <t>ENST00000301944_Acinonyx_jubatus_zoonomia</t>
  </si>
  <si>
    <t>2567_1</t>
  </si>
  <si>
    <t>ENSG00000188051</t>
  </si>
  <si>
    <t>ENSG00000269035</t>
  </si>
  <si>
    <t>2568_1</t>
  </si>
  <si>
    <t>ENSG00000180914</t>
  </si>
  <si>
    <t>In_file_2569_1</t>
  </si>
  <si>
    <t>257_1</t>
  </si>
  <si>
    <t>ENSG00000171812</t>
  </si>
  <si>
    <t>ENST00000303143_Acinonyx_jubatus_zoonomia</t>
  </si>
  <si>
    <t>2575_1</t>
  </si>
  <si>
    <t>ENSG00000100276</t>
  </si>
  <si>
    <t>ENST00000216101_Acinonyx_jubatus_zoonomia</t>
  </si>
  <si>
    <t>2579_1</t>
  </si>
  <si>
    <t>ENSG00000100596</t>
  </si>
  <si>
    <t>ENST00000216484_Acinonyx_jubatus_zoonomia</t>
  </si>
  <si>
    <t>258_1</t>
  </si>
  <si>
    <t>ENSG00000163145</t>
  </si>
  <si>
    <t>2582_2</t>
  </si>
  <si>
    <t>ENSG00000196305</t>
  </si>
  <si>
    <t>ENST00000375643_Acinonyx_jubatus_zoonomia</t>
  </si>
  <si>
    <t>2587_1</t>
  </si>
  <si>
    <t>ENSG00000127080</t>
  </si>
  <si>
    <t>ENST00000287996_Acinonyx_jubatus_zoonomia</t>
  </si>
  <si>
    <t>2588_1</t>
  </si>
  <si>
    <t>ENSG00000151746</t>
  </si>
  <si>
    <t>ENST00000652176_Acinonyx_jubatus_zoonomia</t>
  </si>
  <si>
    <t>2590_1</t>
  </si>
  <si>
    <t>ENSG00000165233</t>
  </si>
  <si>
    <t>ENST00000375464_Acinonyx_jubatus_zoonomia</t>
  </si>
  <si>
    <t>2591_2</t>
  </si>
  <si>
    <t>ENSG00000060237</t>
  </si>
  <si>
    <t>259_1</t>
  </si>
  <si>
    <t>ENSG00000173369</t>
  </si>
  <si>
    <t>2599_1</t>
  </si>
  <si>
    <t>ENSG00000081377</t>
  </si>
  <si>
    <t>ENSG00000218305</t>
  </si>
  <si>
    <t>2601_2</t>
  </si>
  <si>
    <t>ENSG00000130950</t>
  </si>
  <si>
    <t>ENST00000253262_Acinonyx_jubatus_zoonomia</t>
  </si>
  <si>
    <t>ENSG00000184923</t>
  </si>
  <si>
    <t>In_file_2601_1</t>
  </si>
  <si>
    <t>ENSG00000188152</t>
  </si>
  <si>
    <t>ENSG00000188199</t>
  </si>
  <si>
    <t>ENSG00000214562</t>
  </si>
  <si>
    <t>ENSG00000228570</t>
  </si>
  <si>
    <t>ENST00000429984_Acinonyx_jubatus_zoonomia</t>
  </si>
  <si>
    <t>2605_1</t>
  </si>
  <si>
    <t>ENSG00000102100</t>
  </si>
  <si>
    <t>2607_1</t>
  </si>
  <si>
    <t>ENSG00000148120</t>
  </si>
  <si>
    <t>2614_2</t>
  </si>
  <si>
    <t>ENSG00000165186</t>
  </si>
  <si>
    <t>2621_1</t>
  </si>
  <si>
    <t>ENSG00000122034</t>
  </si>
  <si>
    <t>ENST00000381140_Acinonyx_jubatus_zoonomia</t>
  </si>
  <si>
    <t>2622_2</t>
  </si>
  <si>
    <t>ENSG00000142864</t>
  </si>
  <si>
    <t>2623_1</t>
  </si>
  <si>
    <t>ENSG00000158122</t>
  </si>
  <si>
    <t>2625_1</t>
  </si>
  <si>
    <t>ENSG00000128872</t>
  </si>
  <si>
    <t>2625_4</t>
  </si>
  <si>
    <t>ENSG00000163157</t>
  </si>
  <si>
    <t>2634_1</t>
  </si>
  <si>
    <t>ENSG00000136929</t>
  </si>
  <si>
    <t>2635_3</t>
  </si>
  <si>
    <t>ENSG00000139223</t>
  </si>
  <si>
    <t>ENST00000266594_Acinonyx_jubatus_zoonomia</t>
  </si>
  <si>
    <t>ENSG00000140350</t>
  </si>
  <si>
    <t>ENST00000465139_Acinonyx_jubatus_zoonomia</t>
  </si>
  <si>
    <t>2639_2</t>
  </si>
  <si>
    <t>ENSG00000103426</t>
  </si>
  <si>
    <t>ENSG00000262246</t>
  </si>
  <si>
    <t>2639_7</t>
  </si>
  <si>
    <t>ENSG00000172725</t>
  </si>
  <si>
    <t>2639_8</t>
  </si>
  <si>
    <t>ENSG00000110880</t>
  </si>
  <si>
    <t>ENST00000420959_Acinonyx_jubatus_zoonomia</t>
  </si>
  <si>
    <t>2645_1</t>
  </si>
  <si>
    <t>ENSG00000101843</t>
  </si>
  <si>
    <t>2648_2</t>
  </si>
  <si>
    <t>ENSG00000114739</t>
  </si>
  <si>
    <t>ENST00000352511_Acinonyx_jubatus_zoonomia</t>
  </si>
  <si>
    <t>2648_4</t>
  </si>
  <si>
    <t>ENSG00000123612</t>
  </si>
  <si>
    <t>ENST00000243349_Acinonyx_jubatus_zoonomia</t>
  </si>
  <si>
    <t>26_4</t>
  </si>
  <si>
    <t>ENSG00000198055</t>
  </si>
  <si>
    <t>2652_1</t>
  </si>
  <si>
    <t>ENSG00000119508</t>
  </si>
  <si>
    <t>2652_3</t>
  </si>
  <si>
    <t>ENSG00000123358</t>
  </si>
  <si>
    <t>ENST00000545748_Acinonyx_jubatus_zoonomia</t>
  </si>
  <si>
    <t>2653_1</t>
  </si>
  <si>
    <t>ENSG00000131759</t>
  </si>
  <si>
    <t>2653_3</t>
  </si>
  <si>
    <t>ENSG00000077092</t>
  </si>
  <si>
    <t>ENST00000383772_Acinonyx_jubatus_zoonomia</t>
  </si>
  <si>
    <t>2653_5</t>
  </si>
  <si>
    <t>ENSG00000126351</t>
  </si>
  <si>
    <t>2654_10</t>
  </si>
  <si>
    <t>ENSG00000101076</t>
  </si>
  <si>
    <t>ENST00000316673_Acinonyx_jubatus_zoonomia</t>
  </si>
  <si>
    <t>2654_1</t>
  </si>
  <si>
    <t>ENSG00000160113</t>
  </si>
  <si>
    <t>ENST00000291442_Acinonyx_jubatus_zoonomia</t>
  </si>
  <si>
    <t>2654_2</t>
  </si>
  <si>
    <t>ENSG00000175745</t>
  </si>
  <si>
    <t>ENST00000327111_Acinonyx_jubatus_zoonomia</t>
  </si>
  <si>
    <t>2654_6</t>
  </si>
  <si>
    <t>ENSG00000143171</t>
  </si>
  <si>
    <t>2654_8</t>
  </si>
  <si>
    <t>ENSG00000204231</t>
  </si>
  <si>
    <t>ENST00000374680_Acinonyx_jubatus_zoonomia</t>
  </si>
  <si>
    <t>2655_1</t>
  </si>
  <si>
    <t>ENSG00000091831</t>
  </si>
  <si>
    <t>2655_2</t>
  </si>
  <si>
    <t>ENSG00000140009</t>
  </si>
  <si>
    <t>2655_3</t>
  </si>
  <si>
    <t>ENSG00000173153</t>
  </si>
  <si>
    <t>ENST00000406310_Acinonyx_jubatus_zoonomia</t>
  </si>
  <si>
    <t>2655_6</t>
  </si>
  <si>
    <t>ENSG00000082175</t>
  </si>
  <si>
    <t>2655_8</t>
  </si>
  <si>
    <t>ENSG00000151623</t>
  </si>
  <si>
    <t>2656_3</t>
  </si>
  <si>
    <t>ENSG00000143257</t>
  </si>
  <si>
    <t>ENST00000412844_Acinonyx_jubatus_zoonomia</t>
  </si>
  <si>
    <t>2657_2</t>
  </si>
  <si>
    <t>ENSG00000174738</t>
  </si>
  <si>
    <t>2658_1</t>
  </si>
  <si>
    <t>ENSG00000136931</t>
  </si>
  <si>
    <t>2658_2</t>
  </si>
  <si>
    <t>ENSG00000116833</t>
  </si>
  <si>
    <t>2667_2</t>
  </si>
  <si>
    <t>ENSG00000112033</t>
  </si>
  <si>
    <t>2668_2</t>
  </si>
  <si>
    <t>ENSG00000198963</t>
  </si>
  <si>
    <t>2668_3</t>
  </si>
  <si>
    <t>ENSG00000069667</t>
  </si>
  <si>
    <t>2672_1</t>
  </si>
  <si>
    <t>ENSG00000183475</t>
  </si>
  <si>
    <t>2678_1</t>
  </si>
  <si>
    <t>ENSG00000105520</t>
  </si>
  <si>
    <t>ENST00000591608_Acinonyx_jubatus_zoonomia</t>
  </si>
  <si>
    <t>2679_2</t>
  </si>
  <si>
    <t>ENSG00000129951</t>
  </si>
  <si>
    <t>ENST00000359894_Acinonyx_jubatus_zoonomia</t>
  </si>
  <si>
    <t>26_7</t>
  </si>
  <si>
    <t>ENSG00000173020</t>
  </si>
  <si>
    <t>ENST00000526285_Acinonyx_jubatus_zoonomia</t>
  </si>
  <si>
    <t>2682_1</t>
  </si>
  <si>
    <t>ENSG00000067113</t>
  </si>
  <si>
    <t>2682_2</t>
  </si>
  <si>
    <t>ENSG00000141934</t>
  </si>
  <si>
    <t>ENST00000434325_Acinonyx_jubatus_zoonomia</t>
  </si>
  <si>
    <t>26_8</t>
  </si>
  <si>
    <t>ENSG00000152953</t>
  </si>
  <si>
    <t>2690_7</t>
  </si>
  <si>
    <t>ENSG00000178372</t>
  </si>
  <si>
    <t>ENST00000380332_Acinonyx_jubatus_zoonomia</t>
  </si>
  <si>
    <t>269_1</t>
  </si>
  <si>
    <t>ENSG00000149256</t>
  </si>
  <si>
    <t>ENSG00000218336</t>
  </si>
  <si>
    <t>In_file_269_3</t>
  </si>
  <si>
    <t>269_2</t>
  </si>
  <si>
    <t>ENSG00000009694</t>
  </si>
  <si>
    <t>ENST00000371130_Acinonyx_jubatus_zoonomia</t>
  </si>
  <si>
    <t>2696_11</t>
  </si>
  <si>
    <t>ENSG00000120049</t>
  </si>
  <si>
    <t>2696_1</t>
  </si>
  <si>
    <t>ENSG00000163032</t>
  </si>
  <si>
    <t>2696_8</t>
  </si>
  <si>
    <t>ENSG00000115041</t>
  </si>
  <si>
    <t>2697_1</t>
  </si>
  <si>
    <t>ENSG00000048545</t>
  </si>
  <si>
    <t>ENSG00000287363</t>
  </si>
  <si>
    <t>2697_2</t>
  </si>
  <si>
    <t>ENSG00000112599</t>
  </si>
  <si>
    <t>ENSG00000138472</t>
  </si>
  <si>
    <t>ENST00000261047_Acinonyx_jubatus_zoonomia</t>
  </si>
  <si>
    <t>2704_1</t>
  </si>
  <si>
    <t>ENSG00000141977</t>
  </si>
  <si>
    <t>2710_1</t>
  </si>
  <si>
    <t>ENSG00000204385</t>
  </si>
  <si>
    <t>2710_4</t>
  </si>
  <si>
    <t>ENSG00000143036</t>
  </si>
  <si>
    <t>ENST00000271227_Acinonyx_jubatus_zoonomia</t>
  </si>
  <si>
    <t>2716_1</t>
  </si>
  <si>
    <t>ENSG00000148143</t>
  </si>
  <si>
    <t>ENST00000277225_Acinonyx_jubatus_zoonomia</t>
  </si>
  <si>
    <t>2717_2</t>
  </si>
  <si>
    <t>ENSG00000179262</t>
  </si>
  <si>
    <t>2721_1</t>
  </si>
  <si>
    <t>ENSG00000061273</t>
  </si>
  <si>
    <t>ENST00000080059_Acinonyx_jubatus_zoonomia</t>
  </si>
  <si>
    <t>2722_1</t>
  </si>
  <si>
    <t>ENSG00000048052</t>
  </si>
  <si>
    <t>272_3</t>
  </si>
  <si>
    <t>ENSG00000107159</t>
  </si>
  <si>
    <t>2726_3</t>
  </si>
  <si>
    <t>ENSG00000196591</t>
  </si>
  <si>
    <t>2726_4</t>
  </si>
  <si>
    <t>ENSG00000147099</t>
  </si>
  <si>
    <t>2727_1</t>
  </si>
  <si>
    <t>ENSG00000164050</t>
  </si>
  <si>
    <t>ENST00000296440_Acinonyx_jubatus_zoonomia</t>
  </si>
  <si>
    <t>ENSG00000196576</t>
  </si>
  <si>
    <t>2727_2</t>
  </si>
  <si>
    <t>ENSG00000076356</t>
  </si>
  <si>
    <t>In_file_2727_3</t>
  </si>
  <si>
    <t>ENSG00000114554</t>
  </si>
  <si>
    <t>In_file_2727_5</t>
  </si>
  <si>
    <t>ENSG00000221866</t>
  </si>
  <si>
    <t>2727_4</t>
  </si>
  <si>
    <t>ENSG00000130827</t>
  </si>
  <si>
    <t>ENST00000369682_Acinonyx_jubatus_zoonomia</t>
  </si>
  <si>
    <t>2727_7</t>
  </si>
  <si>
    <t>ENSG00000004399</t>
  </si>
  <si>
    <t>ENST00000324093_Acinonyx_jubatus_zoonomia</t>
  </si>
  <si>
    <t>2730_2</t>
  </si>
  <si>
    <t>ENSG00000205593</t>
  </si>
  <si>
    <t>2731_3</t>
  </si>
  <si>
    <t>ENSG00000100239</t>
  </si>
  <si>
    <t>ENST00000216061_Acinonyx_jubatus_zoonomia</t>
  </si>
  <si>
    <t>2732_1</t>
  </si>
  <si>
    <t>ENSG00000198837</t>
  </si>
  <si>
    <t>273_2</t>
  </si>
  <si>
    <t>ENSG00000168748</t>
  </si>
  <si>
    <t>2733_2</t>
  </si>
  <si>
    <t>ENSG00000170456</t>
  </si>
  <si>
    <t>2734_1</t>
  </si>
  <si>
    <t>ENSG00000110514</t>
  </si>
  <si>
    <t>ENST00000311027_Acinonyx_jubatus_zoonomia</t>
  </si>
  <si>
    <t>2736_1</t>
  </si>
  <si>
    <t>ENSG00000205744</t>
  </si>
  <si>
    <t>ENST00000381480_Acinonyx_jubatus_zoonomia</t>
  </si>
  <si>
    <t>2737_4</t>
  </si>
  <si>
    <t>ENSG00000162777</t>
  </si>
  <si>
    <t>273_7</t>
  </si>
  <si>
    <t>ENSG00000169239</t>
  </si>
  <si>
    <t>ENST00000318636_Acinonyx_jubatus_zoonomia</t>
  </si>
  <si>
    <t>273_8</t>
  </si>
  <si>
    <t>ENSG00000174990</t>
  </si>
  <si>
    <t>ENST00000649158_Acinonyx_jubatus_zoonomia</t>
  </si>
  <si>
    <t>2752_2</t>
  </si>
  <si>
    <t>ENSG00000110090</t>
  </si>
  <si>
    <t>275_2</t>
  </si>
  <si>
    <t>ENSG00000154975</t>
  </si>
  <si>
    <t>2755_1</t>
  </si>
  <si>
    <t>ENSG00000008735</t>
  </si>
  <si>
    <t>2756_1</t>
  </si>
  <si>
    <t>ENSG00000079974</t>
  </si>
  <si>
    <t>ENSG00000144134</t>
  </si>
  <si>
    <t>2757_1</t>
  </si>
  <si>
    <t>ENSG00000132341</t>
  </si>
  <si>
    <t>2758_1</t>
  </si>
  <si>
    <t>ENSG00000142182</t>
  </si>
  <si>
    <t>In_file_2759_1</t>
  </si>
  <si>
    <t>ENSG00000279493</t>
  </si>
  <si>
    <t>2760_1</t>
  </si>
  <si>
    <t>ENSG00000119772</t>
  </si>
  <si>
    <t>ENST00000264709_Acinonyx_jubatus_zoonomia</t>
  </si>
  <si>
    <t>2760_2</t>
  </si>
  <si>
    <t>ENSG00000088305</t>
  </si>
  <si>
    <t>2762_1</t>
  </si>
  <si>
    <t>ENSG00000114013</t>
  </si>
  <si>
    <t>2765_4</t>
  </si>
  <si>
    <t>ENSG00000144426</t>
  </si>
  <si>
    <t>ENST00000449802_Acinonyx_jubatus_zoonomia</t>
  </si>
  <si>
    <t>2765_5</t>
  </si>
  <si>
    <t>ENSG00000160796</t>
  </si>
  <si>
    <t>ENST00000450053_Acinonyx_jubatus_zoonomia</t>
  </si>
  <si>
    <t>2765_8</t>
  </si>
  <si>
    <t>ENSG00000143669</t>
  </si>
  <si>
    <t>ENST00000389793_Acinonyx_jubatus_zoonomia</t>
  </si>
  <si>
    <t>2766_1</t>
  </si>
  <si>
    <t>ENSG00000160218</t>
  </si>
  <si>
    <t>ENST00000291574_Acinonyx_jubatus_zoonomia</t>
  </si>
  <si>
    <t>ENSG00000280433</t>
  </si>
  <si>
    <t>ENST00000623998_Acinonyx_jubatus_zoonomia</t>
  </si>
  <si>
    <t>2767_1</t>
  </si>
  <si>
    <t>ENSG00000160200</t>
  </si>
  <si>
    <t>ENST00000352178_Acinonyx_jubatus_zoonomia</t>
  </si>
  <si>
    <t>ENSG00000274276</t>
  </si>
  <si>
    <t>ENST00000398168_Acinonyx_jubatus_zoonomia</t>
  </si>
  <si>
    <t>2768_3</t>
  </si>
  <si>
    <t>ENSG00000160201</t>
  </si>
  <si>
    <t>ENST00000291552_Acinonyx_jubatus_zoonomia</t>
  </si>
  <si>
    <t>ENSG00000275895</t>
  </si>
  <si>
    <t>ENST00000610664_Acinonyx_jubatus_zoonomia</t>
  </si>
  <si>
    <t>2770_2</t>
  </si>
  <si>
    <t>ENSG00000109846</t>
  </si>
  <si>
    <t>2772_1</t>
  </si>
  <si>
    <t>ENSG00000170276</t>
  </si>
  <si>
    <t>2775_1</t>
  </si>
  <si>
    <t>ENSG00000180509</t>
  </si>
  <si>
    <t>ENSG00000276289</t>
  </si>
  <si>
    <t>2776_1</t>
  </si>
  <si>
    <t>ENSG00000177981</t>
  </si>
  <si>
    <t>2777_1</t>
  </si>
  <si>
    <t>ENSG00000144837</t>
  </si>
  <si>
    <t>2778_13</t>
  </si>
  <si>
    <t>ENSG00000170606</t>
  </si>
  <si>
    <t>2778_14</t>
  </si>
  <si>
    <t>ENSG00000120694</t>
  </si>
  <si>
    <t>ENST00000445273_Acinonyx_jubatus_zoonomia</t>
  </si>
  <si>
    <t>2778_15</t>
  </si>
  <si>
    <t>ENSG00000149428</t>
  </si>
  <si>
    <t>2778_4</t>
  </si>
  <si>
    <t>ENSG00000109971</t>
  </si>
  <si>
    <t>2781_1</t>
  </si>
  <si>
    <t>ENSG00000122122</t>
  </si>
  <si>
    <t>ENST00000356892_Acinonyx_jubatus_zoonomia</t>
  </si>
  <si>
    <t>2781_3</t>
  </si>
  <si>
    <t>ENSG00000111961</t>
  </si>
  <si>
    <t>2784_1</t>
  </si>
  <si>
    <t>ENSG00000144847</t>
  </si>
  <si>
    <t>2796_1</t>
  </si>
  <si>
    <t>ENSG00000126259</t>
  </si>
  <si>
    <t>2798_1</t>
  </si>
  <si>
    <t>ENSG00000007129</t>
  </si>
  <si>
    <t>ENSG00000007306</t>
  </si>
  <si>
    <t>ENSG00000079385</t>
  </si>
  <si>
    <t>ENST00000161559_Acinonyx_jubatus_zoonomia</t>
  </si>
  <si>
    <t>ENSG00000086548</t>
  </si>
  <si>
    <t>ENSG00000105388</t>
  </si>
  <si>
    <t>ENSG00000124467</t>
  </si>
  <si>
    <t>ENSG00000124469</t>
  </si>
  <si>
    <t>ENSG00000170848</t>
  </si>
  <si>
    <t>ENSG00000183668</t>
  </si>
  <si>
    <t>ENSG00000204941</t>
  </si>
  <si>
    <t>ENSG00000221826</t>
  </si>
  <si>
    <t>ENSG00000221878</t>
  </si>
  <si>
    <t>ENSG00000231924</t>
  </si>
  <si>
    <t>ENSG00000242221</t>
  </si>
  <si>
    <t>ENSG00000243130</t>
  </si>
  <si>
    <t>ENSG00000243137</t>
  </si>
  <si>
    <t>2800_1</t>
  </si>
  <si>
    <t>ENSG00000213892</t>
  </si>
  <si>
    <t>ENST00000405314_Acinonyx_jubatus_zoonomia</t>
  </si>
  <si>
    <t>2804_2</t>
  </si>
  <si>
    <t>ENSG00000183715</t>
  </si>
  <si>
    <t>2804_4</t>
  </si>
  <si>
    <t>ENSG00000172260</t>
  </si>
  <si>
    <t>281_1</t>
  </si>
  <si>
    <t>ENSG00000030304</t>
  </si>
  <si>
    <t>2813_2</t>
  </si>
  <si>
    <t>ENSG00000185418</t>
  </si>
  <si>
    <t>2817_1</t>
  </si>
  <si>
    <t>ENSG00000101448</t>
  </si>
  <si>
    <t>ENSG00000249139</t>
  </si>
  <si>
    <t>2823_1</t>
  </si>
  <si>
    <t>ENSG00000198862</t>
  </si>
  <si>
    <t>ENST00000614971_Acinonyx_jubatus_zoonomia</t>
  </si>
  <si>
    <t>282_3</t>
  </si>
  <si>
    <t>ENSG00000105397</t>
  </si>
  <si>
    <t>ENST00000264818_Acinonyx_jubatus_zoonomia</t>
  </si>
  <si>
    <t>2824_2</t>
  </si>
  <si>
    <t>ENSG00000156253</t>
  </si>
  <si>
    <t>2826_7</t>
  </si>
  <si>
    <t>ENSG00000146731</t>
  </si>
  <si>
    <t>ENST00000275603_Acinonyx_jubatus_zoonomia</t>
  </si>
  <si>
    <t>2828_11</t>
  </si>
  <si>
    <t>ENSG00000182771</t>
  </si>
  <si>
    <t>2828_1</t>
  </si>
  <si>
    <t>ENSG00000152208</t>
  </si>
  <si>
    <t>In_file_2828_12</t>
  </si>
  <si>
    <t>2828_4</t>
  </si>
  <si>
    <t>ENSG00000125675</t>
  </si>
  <si>
    <t>2828_6</t>
  </si>
  <si>
    <t>ENSG00000149403</t>
  </si>
  <si>
    <t>ENST00000438375_Acinonyx_jubatus_zoonomia</t>
  </si>
  <si>
    <t>2828_7</t>
  </si>
  <si>
    <t>ENSG00000105737</t>
  </si>
  <si>
    <t>ENST00000262895_Acinonyx_jubatus_zoonomia</t>
  </si>
  <si>
    <t>2831_1</t>
  </si>
  <si>
    <t>ENSG00000161509</t>
  </si>
  <si>
    <t>ENST00000293190_Acinonyx_jubatus_zoonomia</t>
  </si>
  <si>
    <t>2831_2</t>
  </si>
  <si>
    <t>ENSG00000105464</t>
  </si>
  <si>
    <t>ENSG00000183454</t>
  </si>
  <si>
    <t>In_file_2831_3</t>
  </si>
  <si>
    <t>2831_4</t>
  </si>
  <si>
    <t>ENSG00000273079</t>
  </si>
  <si>
    <t>2831_7</t>
  </si>
  <si>
    <t>ENSG00000116032</t>
  </si>
  <si>
    <t>283_1</t>
  </si>
  <si>
    <t>ENSG00000164715</t>
  </si>
  <si>
    <t>ENST00000297293_Acinonyx_jubatus_zoonomia</t>
  </si>
  <si>
    <t>2840_1</t>
  </si>
  <si>
    <t>ENSG00000182816</t>
  </si>
  <si>
    <t>ENSG00000186971</t>
  </si>
  <si>
    <t>ENSG00000198390</t>
  </si>
  <si>
    <t>ENSG00000240432</t>
  </si>
  <si>
    <t>2845_1</t>
  </si>
  <si>
    <t>ENSG00000274749</t>
  </si>
  <si>
    <t>2846_1</t>
  </si>
  <si>
    <t>ENSG00000146426</t>
  </si>
  <si>
    <t>ENST00000360366_Acinonyx_jubatus_zoonomia</t>
  </si>
  <si>
    <t>2846_2</t>
  </si>
  <si>
    <t>ENSG00000156299</t>
  </si>
  <si>
    <t>2848_1</t>
  </si>
  <si>
    <t>ENSG00000110237</t>
  </si>
  <si>
    <t>ENST00000263674_Acinonyx_jubatus_zoonomia</t>
  </si>
  <si>
    <t>2848_2</t>
  </si>
  <si>
    <t>ENSG00000074964</t>
  </si>
  <si>
    <t>ENST00000361221_Acinonyx_jubatus_zoonomia</t>
  </si>
  <si>
    <t>2848_3</t>
  </si>
  <si>
    <t>ENSG00000104728</t>
  </si>
  <si>
    <t>ENST00000398564_Acinonyx_jubatus_zoonomia</t>
  </si>
  <si>
    <t>285_11</t>
  </si>
  <si>
    <t>ENSG00000113721</t>
  </si>
  <si>
    <t>285_16</t>
  </si>
  <si>
    <t>ENSG00000128052</t>
  </si>
  <si>
    <t>2852_1</t>
  </si>
  <si>
    <t>ENSG00000156304</t>
  </si>
  <si>
    <t>ENST00000286835_Acinonyx_jubatus_zoonomia</t>
  </si>
  <si>
    <t>2853_1</t>
  </si>
  <si>
    <t>ENSG00000159055</t>
  </si>
  <si>
    <t>ENST00000290130_Acinonyx_jubatus_zoonomia</t>
  </si>
  <si>
    <t>2854_1</t>
  </si>
  <si>
    <t>ENSG00000170262</t>
  </si>
  <si>
    <t>ENST00000339944_Acinonyx_jubatus_zoonomia</t>
  </si>
  <si>
    <t>285_4</t>
  </si>
  <si>
    <t>ENSG00000160867</t>
  </si>
  <si>
    <t>285_5</t>
  </si>
  <si>
    <t>ENSG00000066468</t>
  </si>
  <si>
    <t>285_8</t>
  </si>
  <si>
    <t>ENSG00000165731</t>
  </si>
  <si>
    <t>2859_1</t>
  </si>
  <si>
    <t>ENSG00000166979</t>
  </si>
  <si>
    <t>ENST00000300255_Acinonyx_jubatus_zoonomia</t>
  </si>
  <si>
    <t>285_9</t>
  </si>
  <si>
    <t>ENSG00000066056</t>
  </si>
  <si>
    <t>ENST00000372476_Acinonyx_jubatus_zoonomia</t>
  </si>
  <si>
    <t>2860_5</t>
  </si>
  <si>
    <t>ENSG00000159082</t>
  </si>
  <si>
    <t>ENST00000433931_Acinonyx_jubatus_zoonomia</t>
  </si>
  <si>
    <t>286_19</t>
  </si>
  <si>
    <t>ENSG00000010671</t>
  </si>
  <si>
    <t>286_1</t>
  </si>
  <si>
    <t>ENSG00000070886</t>
  </si>
  <si>
    <t>ENST00000166244_Acinonyx_jubatus_zoonomia</t>
  </si>
  <si>
    <t>ENSG00000106123</t>
  </si>
  <si>
    <t>In_file_286_29</t>
  </si>
  <si>
    <t>ENSG00000151422</t>
  </si>
  <si>
    <t>In_file_286_23</t>
  </si>
  <si>
    <t>2862_2</t>
  </si>
  <si>
    <t>ENSG00000168918</t>
  </si>
  <si>
    <t>286_25</t>
  </si>
  <si>
    <t>ENSG00000133216</t>
  </si>
  <si>
    <t>ENST00000400191_Acinonyx_jubatus_zoonomia</t>
  </si>
  <si>
    <t>286_28</t>
  </si>
  <si>
    <t>ENSG00000196411</t>
  </si>
  <si>
    <t>ENST00000358173_Acinonyx_jubatus_zoonomia</t>
  </si>
  <si>
    <t>286_2</t>
  </si>
  <si>
    <t>ENSG00000183317</t>
  </si>
  <si>
    <t>ENST00000427468_Acinonyx_jubatus_zoonomia</t>
  </si>
  <si>
    <t>286_30</t>
  </si>
  <si>
    <t>ENSG00000146904</t>
  </si>
  <si>
    <t>ENST00000275815_Acinonyx_jubatus_zoonomia</t>
  </si>
  <si>
    <t>286_35</t>
  </si>
  <si>
    <t>ENSG00000080224</t>
  </si>
  <si>
    <t>286_3</t>
  </si>
  <si>
    <t>ENSG00000103653</t>
  </si>
  <si>
    <t>2864_1</t>
  </si>
  <si>
    <t>ENSG00000148384</t>
  </si>
  <si>
    <t>2867_1</t>
  </si>
  <si>
    <t>ENSG00000205929</t>
  </si>
  <si>
    <t>ENST00000382373_Acinonyx_jubatus_zoonomia</t>
  </si>
  <si>
    <t>286_8</t>
  </si>
  <si>
    <t>ENSG00000197122</t>
  </si>
  <si>
    <t>286_9</t>
  </si>
  <si>
    <t>ENSG00000136573</t>
  </si>
  <si>
    <t>ENST00000259089_Acinonyx_jubatus_zoonomia</t>
  </si>
  <si>
    <t>2871_1</t>
  </si>
  <si>
    <t>ENSG00000142166</t>
  </si>
  <si>
    <t>ENST00000270139_Acinonyx_jubatus_zoonomia</t>
  </si>
  <si>
    <t>287_1</t>
  </si>
  <si>
    <t>ENSG00000115085</t>
  </si>
  <si>
    <t>2874_1</t>
  </si>
  <si>
    <t>ENSG00000142188</t>
  </si>
  <si>
    <t>2876_1</t>
  </si>
  <si>
    <t>ENSG00000159140</t>
  </si>
  <si>
    <t>287_6</t>
  </si>
  <si>
    <t>ENSG00000141736</t>
  </si>
  <si>
    <t>ENST00000541774_Acinonyx_jubatus_zoonomia</t>
  </si>
  <si>
    <t>2880_1</t>
  </si>
  <si>
    <t>ENSG00000198087</t>
  </si>
  <si>
    <t>ENST00000359314_Acinonyx_jubatus_zoonomia</t>
  </si>
  <si>
    <t>2880_2</t>
  </si>
  <si>
    <t>ENSG00000147010</t>
  </si>
  <si>
    <t>ENST00000397821_Acinonyx_jubatus_zoonomia</t>
  </si>
  <si>
    <t>2881_2</t>
  </si>
  <si>
    <t>ENSG00000158092</t>
  </si>
  <si>
    <t>2883_4</t>
  </si>
  <si>
    <t>ENSG00000110047</t>
  </si>
  <si>
    <t>2886_1</t>
  </si>
  <si>
    <t>ENSG00000135597</t>
  </si>
  <si>
    <t>2887_1</t>
  </si>
  <si>
    <t>ENSG00000140563</t>
  </si>
  <si>
    <t>2895_1</t>
  </si>
  <si>
    <t>ENSG00000172348</t>
  </si>
  <si>
    <t>2898_4</t>
  </si>
  <si>
    <t>ENSG00000159212</t>
  </si>
  <si>
    <t>2900_1</t>
  </si>
  <si>
    <t>ENSG00000020633</t>
  </si>
  <si>
    <t>2900_3</t>
  </si>
  <si>
    <t>ENSG00000124813</t>
  </si>
  <si>
    <t>ENST00000576263_Acinonyx_jubatus_zoonomia</t>
  </si>
  <si>
    <t>290_1</t>
  </si>
  <si>
    <t>ENSG00000101082</t>
  </si>
  <si>
    <t>2903_1</t>
  </si>
  <si>
    <t>ENSG00000185917</t>
  </si>
  <si>
    <t>ENST00000332131_Acinonyx_jubatus_zoonomia</t>
  </si>
  <si>
    <t>2906_1</t>
  </si>
  <si>
    <t>ENSG00000159256</t>
  </si>
  <si>
    <t>2907_2</t>
  </si>
  <si>
    <t>ENSG00000133422</t>
  </si>
  <si>
    <t>ENST00000397641_Acinonyx_jubatus_zoonomia</t>
  </si>
  <si>
    <t>2908_1</t>
  </si>
  <si>
    <t>ENSG00000112246</t>
  </si>
  <si>
    <t>2908_3</t>
  </si>
  <si>
    <t>ENSG00000151322</t>
  </si>
  <si>
    <t>2908_5</t>
  </si>
  <si>
    <t>ENSG00000124440</t>
  </si>
  <si>
    <t>2908_6</t>
  </si>
  <si>
    <t>ENSG00000116016</t>
  </si>
  <si>
    <t>ENST00000263734_Acinonyx_jubatus_zoonomia</t>
  </si>
  <si>
    <t>2912_1</t>
  </si>
  <si>
    <t>ENSG00000063438</t>
  </si>
  <si>
    <t>ENSG00000286169</t>
  </si>
  <si>
    <t>In_file_2911_1</t>
  </si>
  <si>
    <t>2915_1</t>
  </si>
  <si>
    <t>ENSG00000183145</t>
  </si>
  <si>
    <t>2916_1</t>
  </si>
  <si>
    <t>ENSG00000203877</t>
  </si>
  <si>
    <t>2917_1</t>
  </si>
  <si>
    <t>ENSG00000185808</t>
  </si>
  <si>
    <t>2919_1</t>
  </si>
  <si>
    <t>ENSG00000122958</t>
  </si>
  <si>
    <t>2920_11</t>
  </si>
  <si>
    <t>ENSG00000184185</t>
  </si>
  <si>
    <t>ENSG00000260458</t>
  </si>
  <si>
    <t>2920_1</t>
  </si>
  <si>
    <t>ENSG00000115474</t>
  </si>
  <si>
    <t>2920_3</t>
  </si>
  <si>
    <t>ENSG00000177807</t>
  </si>
  <si>
    <t>ENST00000509700_Acinonyx_jubatus_zoonomia</t>
  </si>
  <si>
    <t>2923_1</t>
  </si>
  <si>
    <t>ENSG00000183527</t>
  </si>
  <si>
    <t>2927_1</t>
  </si>
  <si>
    <t>ENSG00000185437</t>
  </si>
  <si>
    <t>ENST00000333634_Acinonyx_jubatus_zoonomia</t>
  </si>
  <si>
    <t>ENSG00000285815</t>
  </si>
  <si>
    <t>2928_1</t>
  </si>
  <si>
    <t>ENSG00000198478</t>
  </si>
  <si>
    <t>2932_1</t>
  </si>
  <si>
    <t>ENSG00000156966</t>
  </si>
  <si>
    <t>ENST00000287590_Acinonyx_jubatus_zoonomia</t>
  </si>
  <si>
    <t>2940_1</t>
  </si>
  <si>
    <t>ENSG00000117984</t>
  </si>
  <si>
    <t>In_file_2941_1</t>
  </si>
  <si>
    <t>ENSG00000250644</t>
  </si>
  <si>
    <t>In_file_2942_1</t>
  </si>
  <si>
    <t>2943_4</t>
  </si>
  <si>
    <t>ENSG00000196937</t>
  </si>
  <si>
    <t>2945_4</t>
  </si>
  <si>
    <t>ENSG00000079805</t>
  </si>
  <si>
    <t>2947_1</t>
  </si>
  <si>
    <t>ENSG00000141956</t>
  </si>
  <si>
    <t>2951_1</t>
  </si>
  <si>
    <t>ENSG00000162676</t>
  </si>
  <si>
    <t>2951_3</t>
  </si>
  <si>
    <t>ENSG00000153266</t>
  </si>
  <si>
    <t>2951_4</t>
  </si>
  <si>
    <t>ENSG00000128610</t>
  </si>
  <si>
    <t>ENST00000427185_Acinonyx_jubatus_zoonomia</t>
  </si>
  <si>
    <t>2954_1</t>
  </si>
  <si>
    <t>ENSG00000109906</t>
  </si>
  <si>
    <t>ENST00000335953_Acinonyx_jubatus_zoonomia</t>
  </si>
  <si>
    <t>2955_1</t>
  </si>
  <si>
    <t>ENSG00000148411</t>
  </si>
  <si>
    <t>ENST00000277554_Acinonyx_jubatus_zoonomia</t>
  </si>
  <si>
    <t>ENSG00000160877</t>
  </si>
  <si>
    <t>2964_10</t>
  </si>
  <si>
    <t>ENSG00000073417</t>
  </si>
  <si>
    <t>2964_14</t>
  </si>
  <si>
    <t>ENSG00000160191</t>
  </si>
  <si>
    <t>ENST00000291539_Acinonyx_jubatus_zoonomia</t>
  </si>
  <si>
    <t>2964_1</t>
  </si>
  <si>
    <t>ENSG00000123360</t>
  </si>
  <si>
    <t>2964_5</t>
  </si>
  <si>
    <t>ENSG00000065989</t>
  </si>
  <si>
    <t>2964_9</t>
  </si>
  <si>
    <t>ENSG00000171408</t>
  </si>
  <si>
    <t>2965_1</t>
  </si>
  <si>
    <t>ENSG00000132915</t>
  </si>
  <si>
    <t>ENST00000255266_Acinonyx_jubatus_zoonomia</t>
  </si>
  <si>
    <t>2965_3</t>
  </si>
  <si>
    <t>ENSG00000095464</t>
  </si>
  <si>
    <t>2965_4</t>
  </si>
  <si>
    <t>ENSG00000128655</t>
  </si>
  <si>
    <t>ENST00000286063_Acinonyx_jubatus_zoonomia</t>
  </si>
  <si>
    <t>ENSG00000284741</t>
  </si>
  <si>
    <t>2966_1</t>
  </si>
  <si>
    <t>ENSG00000172572</t>
  </si>
  <si>
    <t>ENST00000359062_Acinonyx_jubatus_zoonomia</t>
  </si>
  <si>
    <t>2976_4</t>
  </si>
  <si>
    <t>ENSG00000165495</t>
  </si>
  <si>
    <t>2976_5</t>
  </si>
  <si>
    <t>ENSG00000134138</t>
  </si>
  <si>
    <t>ENSG00000143995</t>
  </si>
  <si>
    <t>ENST00000398506_Acinonyx_jubatus_zoonomia</t>
  </si>
  <si>
    <t>2978_2</t>
  </si>
  <si>
    <t>ENSG00000177426</t>
  </si>
  <si>
    <t>ENST00000618001_Acinonyx_jubatus_zoonomia</t>
  </si>
  <si>
    <t>2979_1</t>
  </si>
  <si>
    <t>ENSG00000259399</t>
  </si>
  <si>
    <t>2980_1</t>
  </si>
  <si>
    <t>ENSG00000101084</t>
  </si>
  <si>
    <t>298_1</t>
  </si>
  <si>
    <t>ENSG00000145216</t>
  </si>
  <si>
    <t>2985_2</t>
  </si>
  <si>
    <t>ENSG00000160216</t>
  </si>
  <si>
    <t>2985_3</t>
  </si>
  <si>
    <t>ENSG00000026652</t>
  </si>
  <si>
    <t>In_file_2985_1</t>
  </si>
  <si>
    <t>In_file_2985_2</t>
  </si>
  <si>
    <t>2987_1</t>
  </si>
  <si>
    <t>ENSG00000155189</t>
  </si>
  <si>
    <t>2988_1</t>
  </si>
  <si>
    <t>ENSG00000067066</t>
  </si>
  <si>
    <t>In_file_2989_1</t>
  </si>
  <si>
    <t>ENSG00000079263</t>
  </si>
  <si>
    <t>ENST00000343805_Acinonyx_jubatus_zoonomia</t>
  </si>
  <si>
    <t>ENSG00000185404</t>
  </si>
  <si>
    <t>2991_1</t>
  </si>
  <si>
    <t>ENSG00000130726</t>
  </si>
  <si>
    <t>ENST00000253024_Acinonyx_jubatus_zoonomia</t>
  </si>
  <si>
    <t>2991_2</t>
  </si>
  <si>
    <t>ENSG00000122779</t>
  </si>
  <si>
    <t>299_1</t>
  </si>
  <si>
    <t>ENSG00000142235</t>
  </si>
  <si>
    <t>ENST00000650440_Acinonyx_jubatus_zoonomia</t>
  </si>
  <si>
    <t>2992_2</t>
  </si>
  <si>
    <t>ENSG00000141959</t>
  </si>
  <si>
    <t>2992_3</t>
  </si>
  <si>
    <t>ENSG00000067057</t>
  </si>
  <si>
    <t>In_file_2992_2</t>
  </si>
  <si>
    <t>2993_1</t>
  </si>
  <si>
    <t>ENSG00000160226</t>
  </si>
  <si>
    <t>ENST00000325223_Acinonyx_jubatus_zoonomia</t>
  </si>
  <si>
    <t>2996_1</t>
  </si>
  <si>
    <t>ENSG00000175894</t>
  </si>
  <si>
    <t>ENST00000323084_Acinonyx_jubatus_zoonomia</t>
  </si>
  <si>
    <t>2997_1</t>
  </si>
  <si>
    <t>ENSG00000215454</t>
  </si>
  <si>
    <t>ENST00000622352_Acinonyx_jubatus_zoonomia</t>
  </si>
  <si>
    <t>ENSG00000215455</t>
  </si>
  <si>
    <t>In_file_2998_1</t>
  </si>
  <si>
    <t>ENSG00000241123</t>
  </si>
  <si>
    <t>ENSG00000243489</t>
  </si>
  <si>
    <t>ENST00000334670_Acinonyx_jubatus_zoonomia</t>
  </si>
  <si>
    <t>ENSG00000272804</t>
  </si>
  <si>
    <t>ENST00000609664_Acinonyx_jubatus_zoonomia</t>
  </si>
  <si>
    <t>3014_1</t>
  </si>
  <si>
    <t>ENSG00000212721</t>
  </si>
  <si>
    <t>In_file_3010_1</t>
  </si>
  <si>
    <t>ENSG00000212722</t>
  </si>
  <si>
    <t>ENSG00000213416</t>
  </si>
  <si>
    <t>3025_1</t>
  </si>
  <si>
    <t>ENSG00000212933</t>
  </si>
  <si>
    <t>ENST00000391618_Acinonyx_jubatus_zoonomia</t>
  </si>
  <si>
    <t>3028_1</t>
  </si>
  <si>
    <t>ENSG00000109332</t>
  </si>
  <si>
    <t>3028_5</t>
  </si>
  <si>
    <t>ENSG00000170035</t>
  </si>
  <si>
    <t>3028_7</t>
  </si>
  <si>
    <t>ENSG00000182247</t>
  </si>
  <si>
    <t>3029_1</t>
  </si>
  <si>
    <t>ENSG00000177889</t>
  </si>
  <si>
    <t>ENST00000318066_Acinonyx_jubatus_zoonomia</t>
  </si>
  <si>
    <t>303_1</t>
  </si>
  <si>
    <t>ENSG00000047932</t>
  </si>
  <si>
    <t>ENSG00000282218</t>
  </si>
  <si>
    <t>3033_1</t>
  </si>
  <si>
    <t>ENSG00000108106</t>
  </si>
  <si>
    <t>3038_1</t>
  </si>
  <si>
    <t>ENSG00000159202</t>
  </si>
  <si>
    <t>3040_1</t>
  </si>
  <si>
    <t>ENSG00000188612</t>
  </si>
  <si>
    <t>304_1</t>
  </si>
  <si>
    <t>ENSG00000198400</t>
  </si>
  <si>
    <t>ENST00000392302_Acinonyx_jubatus_zoonomia</t>
  </si>
  <si>
    <t>3042_1</t>
  </si>
  <si>
    <t>ENSG00000065457</t>
  </si>
  <si>
    <t>3043_1</t>
  </si>
  <si>
    <t>ENSG00000186866</t>
  </si>
  <si>
    <t>3044_2</t>
  </si>
  <si>
    <t>ENSG00000117479</t>
  </si>
  <si>
    <t>3044_3</t>
  </si>
  <si>
    <t>ENSG00000173638</t>
  </si>
  <si>
    <t>ENST00000567670_Acinonyx_jubatus_zoonomia</t>
  </si>
  <si>
    <t>3047_1</t>
  </si>
  <si>
    <t>ENSG00000073792</t>
  </si>
  <si>
    <t>ENSG00000159217</t>
  </si>
  <si>
    <t>In_file_3047_3</t>
  </si>
  <si>
    <t>3055_1</t>
  </si>
  <si>
    <t>ENSG00000160294</t>
  </si>
  <si>
    <t>3059_1</t>
  </si>
  <si>
    <t>ENSG00000286224</t>
  </si>
  <si>
    <t>3060_3</t>
  </si>
  <si>
    <t>ENSG00000160305</t>
  </si>
  <si>
    <t>ENST00000400274_Acinonyx_jubatus_zoonomia</t>
  </si>
  <si>
    <t>3063_1</t>
  </si>
  <si>
    <t>ENSG00000163993</t>
  </si>
  <si>
    <t>ENST00000296370_Acinonyx_jubatus_zoonomia</t>
  </si>
  <si>
    <t>3064_1</t>
  </si>
  <si>
    <t>ENSG00000196154</t>
  </si>
  <si>
    <t>3070_1</t>
  </si>
  <si>
    <t>ENSG00000196420</t>
  </si>
  <si>
    <t>307_1</t>
  </si>
  <si>
    <t>ENSG00000128594</t>
  </si>
  <si>
    <t>ENST00000249363_Acinonyx_jubatus_zoonomia</t>
  </si>
  <si>
    <t>3073_1</t>
  </si>
  <si>
    <t>ENSG00000197956</t>
  </si>
  <si>
    <t>3075_2</t>
  </si>
  <si>
    <t>ENSG00000143520</t>
  </si>
  <si>
    <t>3080_1</t>
  </si>
  <si>
    <t>ENSG00000169906</t>
  </si>
  <si>
    <t>ENST00000380200_Acinonyx_jubatus_zoonomia</t>
  </si>
  <si>
    <t>3084_2</t>
  </si>
  <si>
    <t>ENSG00000010803</t>
  </si>
  <si>
    <t>3090_1</t>
  </si>
  <si>
    <t>ENSG00000187642</t>
  </si>
  <si>
    <t>3092_1</t>
  </si>
  <si>
    <t>ENSG00000187821</t>
  </si>
  <si>
    <t>ENST00000338875_Acinonyx_jubatus_zoonomia</t>
  </si>
  <si>
    <t>3094_1</t>
  </si>
  <si>
    <t>ENSG00000143947</t>
  </si>
  <si>
    <t>ENSG00000231767</t>
  </si>
  <si>
    <t>3094_2</t>
  </si>
  <si>
    <t>ENSG00000170315</t>
  </si>
  <si>
    <t>3094_3</t>
  </si>
  <si>
    <t>ENSG00000150991</t>
  </si>
  <si>
    <t>309_5</t>
  </si>
  <si>
    <t>ENSG00000126243</t>
  </si>
  <si>
    <t>In_file_309_3</t>
  </si>
  <si>
    <t>ENSG00000156564</t>
  </si>
  <si>
    <t>ENST00000338305_Acinonyx_jubatus_zoonomia</t>
  </si>
  <si>
    <t>3107_1</t>
  </si>
  <si>
    <t>ENSG00000184163</t>
  </si>
  <si>
    <t>3_10</t>
  </si>
  <si>
    <t>ENSG00000085382</t>
  </si>
  <si>
    <t>3111_3</t>
  </si>
  <si>
    <t>ENSG00000111319</t>
  </si>
  <si>
    <t>3114_2</t>
  </si>
  <si>
    <t>ENSG00000072818</t>
  </si>
  <si>
    <t>In_file_3114_1</t>
  </si>
  <si>
    <t>3114_3</t>
  </si>
  <si>
    <t>ENSG00000131584</t>
  </si>
  <si>
    <t>ENST00000354700_Acinonyx_jubatus_zoonomia</t>
  </si>
  <si>
    <t>3115_1</t>
  </si>
  <si>
    <t>ENSG00000151693</t>
  </si>
  <si>
    <t>ENST00000281419_Acinonyx_jubatus_zoonomia</t>
  </si>
  <si>
    <t>3116_1</t>
  </si>
  <si>
    <t>ENSG00000135439</t>
  </si>
  <si>
    <t>3116_5</t>
  </si>
  <si>
    <t>ENSG00000157985</t>
  </si>
  <si>
    <t>In_file_3116_3</t>
  </si>
  <si>
    <t>ENSG00000172650</t>
  </si>
  <si>
    <t>ENSG00000188234</t>
  </si>
  <si>
    <t>ENSG00000204149</t>
  </si>
  <si>
    <t>ENSG00000204172</t>
  </si>
  <si>
    <t>3117_2</t>
  </si>
  <si>
    <t>ENSG00000108100</t>
  </si>
  <si>
    <t>3118_1</t>
  </si>
  <si>
    <t>ENSG00000145819</t>
  </si>
  <si>
    <t>3118_4</t>
  </si>
  <si>
    <t>ENSG00000079482</t>
  </si>
  <si>
    <t>312_1</t>
  </si>
  <si>
    <t>ENSG00000007952</t>
  </si>
  <si>
    <t>3122_1</t>
  </si>
  <si>
    <t>ENSG00000120318</t>
  </si>
  <si>
    <t>ENST00000239440_Acinonyx_jubatus_zoonomia</t>
  </si>
  <si>
    <t>3122_2</t>
  </si>
  <si>
    <t>ENSG00000186635</t>
  </si>
  <si>
    <t>ENST00000359373_Acinonyx_jubatus_zoonomia</t>
  </si>
  <si>
    <t>3123_1</t>
  </si>
  <si>
    <t>ENSG00000112305</t>
  </si>
  <si>
    <t>3124_1</t>
  </si>
  <si>
    <t>ENSG00000184060</t>
  </si>
  <si>
    <t>3124_2</t>
  </si>
  <si>
    <t>ENSG00000105963</t>
  </si>
  <si>
    <t>ENST00000539900_Acinonyx_jubatus_zoonomia</t>
  </si>
  <si>
    <t>3_12</t>
  </si>
  <si>
    <t>ENSG00000151148</t>
  </si>
  <si>
    <t>3135_1</t>
  </si>
  <si>
    <t>ENSG00000162576</t>
  </si>
  <si>
    <t>ENST00000477278_Acinonyx_jubatus_zoonomia</t>
  </si>
  <si>
    <t>3136_1</t>
  </si>
  <si>
    <t>ENSG00000221978</t>
  </si>
  <si>
    <t>3137_1</t>
  </si>
  <si>
    <t>ENSG00000082258</t>
  </si>
  <si>
    <t>3138_1</t>
  </si>
  <si>
    <t>ENSG00000090061</t>
  </si>
  <si>
    <t>3_13</t>
  </si>
  <si>
    <t>ENSG00000009335</t>
  </si>
  <si>
    <t>ENST00000348165_Acinonyx_jubatus_zoonomia</t>
  </si>
  <si>
    <t>3150_1</t>
  </si>
  <si>
    <t>ENSG00000228594</t>
  </si>
  <si>
    <t>ENST00000422725_Acinonyx_jubatus_zoonomia</t>
  </si>
  <si>
    <t>3156_2</t>
  </si>
  <si>
    <t>ENSG00000008516</t>
  </si>
  <si>
    <t>3157_1</t>
  </si>
  <si>
    <t>ENSG00000087245</t>
  </si>
  <si>
    <t>3159_1</t>
  </si>
  <si>
    <t>ENSG00000154485</t>
  </si>
  <si>
    <t>3160_1</t>
  </si>
  <si>
    <t>ENSG00000198598</t>
  </si>
  <si>
    <t>ENST00000360564_Acinonyx_jubatus_zoonomia</t>
  </si>
  <si>
    <t>3162_10</t>
  </si>
  <si>
    <t>ENSG00000102287</t>
  </si>
  <si>
    <t>ENST00000370328_Acinonyx_jubatus_zoonomia</t>
  </si>
  <si>
    <t>3162_12</t>
  </si>
  <si>
    <t>ENSG00000145451</t>
  </si>
  <si>
    <t>3162_14</t>
  </si>
  <si>
    <t>ENSG00000188828</t>
  </si>
  <si>
    <t>ENST00000372617_Acinonyx_jubatus_zoonomia</t>
  </si>
  <si>
    <t>3162_19</t>
  </si>
  <si>
    <t>ENSG00000166206</t>
  </si>
  <si>
    <t>3162_22</t>
  </si>
  <si>
    <t>ENSG00000183185</t>
  </si>
  <si>
    <t>3162_9</t>
  </si>
  <si>
    <t>ENSG00000182256</t>
  </si>
  <si>
    <t>317_10</t>
  </si>
  <si>
    <t>ENSG00000167680</t>
  </si>
  <si>
    <t>3171_2</t>
  </si>
  <si>
    <t>ENSG00000125779</t>
  </si>
  <si>
    <t>317_14</t>
  </si>
  <si>
    <t>ENSG00000185033</t>
  </si>
  <si>
    <t>317_19</t>
  </si>
  <si>
    <t>ENSG00000112902</t>
  </si>
  <si>
    <t>3173_1</t>
  </si>
  <si>
    <t>ENSG00000157870</t>
  </si>
  <si>
    <t>ENST00000378425_Acinonyx_jubatus_zoonomia</t>
  </si>
  <si>
    <t>3176_1</t>
  </si>
  <si>
    <t>ENSG00000171551</t>
  </si>
  <si>
    <t>3176_4</t>
  </si>
  <si>
    <t>ENSG00000102174</t>
  </si>
  <si>
    <t>3184_12</t>
  </si>
  <si>
    <t>ENSG00000137204</t>
  </si>
  <si>
    <t>3184_13</t>
  </si>
  <si>
    <t>ENSG00000146477</t>
  </si>
  <si>
    <t>3184_17</t>
  </si>
  <si>
    <t>ENSG00000163393</t>
  </si>
  <si>
    <t>319_1</t>
  </si>
  <si>
    <t>ENSG00000135622</t>
  </si>
  <si>
    <t>ENST00000339773_Acinonyx_jubatus_zoonomia</t>
  </si>
  <si>
    <t>3194_1</t>
  </si>
  <si>
    <t>ENSG00000250673</t>
  </si>
  <si>
    <t>ENST00000636502_Acinonyx_jubatus_zoonomia</t>
  </si>
  <si>
    <t>3197_1</t>
  </si>
  <si>
    <t>ENSG00000137473</t>
  </si>
  <si>
    <t>3199_1</t>
  </si>
  <si>
    <t>ENSG00000102195</t>
  </si>
  <si>
    <t>ENST00000218316_Acinonyx_jubatus_zoonomia</t>
  </si>
  <si>
    <t>3201_1</t>
  </si>
  <si>
    <t>ENSG00000164855</t>
  </si>
  <si>
    <t>3201_2</t>
  </si>
  <si>
    <t>ENSG00000198792</t>
  </si>
  <si>
    <t>3203_1</t>
  </si>
  <si>
    <t>ENSG00000132600</t>
  </si>
  <si>
    <t>ENST00000339507_Acinonyx_jubatus_zoonomia</t>
  </si>
  <si>
    <t>3204_5</t>
  </si>
  <si>
    <t>ENSG00000126457</t>
  </si>
  <si>
    <t>ENST00000391851_Acinonyx_jubatus_zoonomia</t>
  </si>
  <si>
    <t>3207_2</t>
  </si>
  <si>
    <t>ENSG00000106069</t>
  </si>
  <si>
    <t>ENSG00000285162</t>
  </si>
  <si>
    <t>3208_3</t>
  </si>
  <si>
    <t>ENSG00000165322</t>
  </si>
  <si>
    <t>ENST00000311380_Acinonyx_jubatus_zoonomia</t>
  </si>
  <si>
    <t>3209_1</t>
  </si>
  <si>
    <t>ENSG00000275832</t>
  </si>
  <si>
    <t>In_file_3209_3</t>
  </si>
  <si>
    <t>3209_2</t>
  </si>
  <si>
    <t>ENSG00000107863</t>
  </si>
  <si>
    <t>ENST00000396432_Acinonyx_jubatus_zoonomia</t>
  </si>
  <si>
    <t>3216_1</t>
  </si>
  <si>
    <t>ENSG00000004777</t>
  </si>
  <si>
    <t>3217_1</t>
  </si>
  <si>
    <t>ENSG00000138639</t>
  </si>
  <si>
    <t>3220_3</t>
  </si>
  <si>
    <t>ENSG00000100092</t>
  </si>
  <si>
    <t>ENSG00000285304</t>
  </si>
  <si>
    <t>3228_3</t>
  </si>
  <si>
    <t>ENSG00000196220</t>
  </si>
  <si>
    <t>3228_6</t>
  </si>
  <si>
    <t>ENSG00000171943</t>
  </si>
  <si>
    <t>ENSG00000196369</t>
  </si>
  <si>
    <t>3231_2</t>
  </si>
  <si>
    <t>ENSG00000105137</t>
  </si>
  <si>
    <t>323_1</t>
  </si>
  <si>
    <t>ENSG00000161270</t>
  </si>
  <si>
    <t>ENST00000353632_Acinonyx_jubatus_zoonomia</t>
  </si>
  <si>
    <t>3233_1</t>
  </si>
  <si>
    <t>ENSG00000186654</t>
  </si>
  <si>
    <t>ENST00000403581_Acinonyx_jubatus_zoonomia</t>
  </si>
  <si>
    <t>ENSG00000248405</t>
  </si>
  <si>
    <t>In_file_3232_2</t>
  </si>
  <si>
    <t>3241_1</t>
  </si>
  <si>
    <t>ENSG00000145425</t>
  </si>
  <si>
    <t>3243_2</t>
  </si>
  <si>
    <t>ENSG00000172985</t>
  </si>
  <si>
    <t>ENST00000309415_Acinonyx_jubatus_zoonomia</t>
  </si>
  <si>
    <t>3251_2</t>
  </si>
  <si>
    <t>ENSG00000151553</t>
  </si>
  <si>
    <t>ENST00000369250_Acinonyx_jubatus_zoonomia</t>
  </si>
  <si>
    <t>3252_1</t>
  </si>
  <si>
    <t>ENSG00000059691</t>
  </si>
  <si>
    <t>ENST00000263985_Acinonyx_jubatus_zoonomia</t>
  </si>
  <si>
    <t>3260_1</t>
  </si>
  <si>
    <t>ENSG00000215529</t>
  </si>
  <si>
    <t>3265_1</t>
  </si>
  <si>
    <t>ENSG00000179886</t>
  </si>
  <si>
    <t>3271_1</t>
  </si>
  <si>
    <t>ENSG00000119401</t>
  </si>
  <si>
    <t>ENST00000373983_Acinonyx_jubatus_zoonomia</t>
  </si>
  <si>
    <t>3272_1</t>
  </si>
  <si>
    <t>ENSG00000121211</t>
  </si>
  <si>
    <t>3276_3</t>
  </si>
  <si>
    <t>ENSG00000145423</t>
  </si>
  <si>
    <t>3279_1</t>
  </si>
  <si>
    <t>ENSG00000128602</t>
  </si>
  <si>
    <t>ENST00000249373_Acinonyx_jubatus_zoonomia</t>
  </si>
  <si>
    <t>3279_4</t>
  </si>
  <si>
    <t>ENSG00000155760</t>
  </si>
  <si>
    <t>In_file_3282_1</t>
  </si>
  <si>
    <t>3279_5</t>
  </si>
  <si>
    <t>ENSG00000163251</t>
  </si>
  <si>
    <t>3292_5</t>
  </si>
  <si>
    <t>ENSG00000135316</t>
  </si>
  <si>
    <t>3292_6</t>
  </si>
  <si>
    <t>ENSG00000256453</t>
  </si>
  <si>
    <t>ENST00000542735_Acinonyx_jubatus_zoonomia</t>
  </si>
  <si>
    <t>3293_1</t>
  </si>
  <si>
    <t>ENSG00000149187</t>
  </si>
  <si>
    <t>3293_2</t>
  </si>
  <si>
    <t>ENSG00000048740</t>
  </si>
  <si>
    <t>ENST00000636488_Acinonyx_jubatus_zoonomia</t>
  </si>
  <si>
    <t>3293_3</t>
  </si>
  <si>
    <t>ENSG00000159409</t>
  </si>
  <si>
    <t>3293_4</t>
  </si>
  <si>
    <t>ENSG00000140488</t>
  </si>
  <si>
    <t>3299_11</t>
  </si>
  <si>
    <t>ENSG00000138435</t>
  </si>
  <si>
    <t>ENST00000261007_Acinonyx_jubatus_zoonomia</t>
  </si>
  <si>
    <t>3299_12</t>
  </si>
  <si>
    <t>ENSG00000117971</t>
  </si>
  <si>
    <t>In_file_3305_1</t>
  </si>
  <si>
    <t>ENSG00000160716</t>
  </si>
  <si>
    <t>3299_13</t>
  </si>
  <si>
    <t>ENSG00000166664</t>
  </si>
  <si>
    <t>ENSG00000175344</t>
  </si>
  <si>
    <t>3299_1</t>
  </si>
  <si>
    <t>ENSG00000135902</t>
  </si>
  <si>
    <t>ENST00000258385_Acinonyx_jubatus_zoonomia</t>
  </si>
  <si>
    <t>3299_3</t>
  </si>
  <si>
    <t>ENSG00000108556</t>
  </si>
  <si>
    <t>ENST00000649488_Acinonyx_jubatus_zoonomia</t>
  </si>
  <si>
    <t>3299_4</t>
  </si>
  <si>
    <t>ENSG00000170175</t>
  </si>
  <si>
    <t>3299_8</t>
  </si>
  <si>
    <t>ENSG00000120903</t>
  </si>
  <si>
    <t>ENST00000240132_Acinonyx_jubatus_zoonomia</t>
  </si>
  <si>
    <t>3311_1</t>
  </si>
  <si>
    <t>ENSG00000114857</t>
  </si>
  <si>
    <t>ENST00000232978_Acinonyx_jubatus_zoonomia</t>
  </si>
  <si>
    <t>3311_2</t>
  </si>
  <si>
    <t>ENSG00000138398</t>
  </si>
  <si>
    <t>3311_5</t>
  </si>
  <si>
    <t>ENSG00000168938</t>
  </si>
  <si>
    <t>ENST00000306442_Acinonyx_jubatus_zoonomia</t>
  </si>
  <si>
    <t>3321_2</t>
  </si>
  <si>
    <t>ENSG00000004478</t>
  </si>
  <si>
    <t>ENST00000001008_Acinonyx_jubatus_zoonomia</t>
  </si>
  <si>
    <t>3324_3</t>
  </si>
  <si>
    <t>ENSG00000104450</t>
  </si>
  <si>
    <t>In_file_3324_1</t>
  </si>
  <si>
    <t>3326_1</t>
  </si>
  <si>
    <t>ENSG00000079337</t>
  </si>
  <si>
    <t>ENST00000389212_Acinonyx_jubatus_zoonomia</t>
  </si>
  <si>
    <t>3326_4</t>
  </si>
  <si>
    <t>ENSG00000136237</t>
  </si>
  <si>
    <t>ENST00000665637_Acinonyx_jubatus_zoonomia</t>
  </si>
  <si>
    <t>3326_6</t>
  </si>
  <si>
    <t>ENSG00000158987</t>
  </si>
  <si>
    <t>ENSG00000273217</t>
  </si>
  <si>
    <t>3330_3</t>
  </si>
  <si>
    <t>ENSG00000058335</t>
  </si>
  <si>
    <t>In_file_3330_1</t>
  </si>
  <si>
    <t>3333_4</t>
  </si>
  <si>
    <t>ENSG00000159496</t>
  </si>
  <si>
    <t>ENSG00000160271</t>
  </si>
  <si>
    <t>In_file_3333_2</t>
  </si>
  <si>
    <t>ENSG00000285245</t>
  </si>
  <si>
    <t>3335_3</t>
  </si>
  <si>
    <t>ENSG00000068831</t>
  </si>
  <si>
    <t>3340_1</t>
  </si>
  <si>
    <t>ENSG00000145414</t>
  </si>
  <si>
    <t>3343_3</t>
  </si>
  <si>
    <t>ENSG00000163931</t>
  </si>
  <si>
    <t>ENST00000423516_Acinonyx_jubatus_zoonomia</t>
  </si>
  <si>
    <t>3344_1</t>
  </si>
  <si>
    <t>ENSG00000198498</t>
  </si>
  <si>
    <t>3348_2</t>
  </si>
  <si>
    <t>ENSG00000173926</t>
  </si>
  <si>
    <t>3349_1</t>
  </si>
  <si>
    <t>ENSG00000139266</t>
  </si>
  <si>
    <t>3349_3</t>
  </si>
  <si>
    <t>ENSG00000183654</t>
  </si>
  <si>
    <t>3351_1</t>
  </si>
  <si>
    <t>ENSG00000145495</t>
  </si>
  <si>
    <t>ENST00000274140_Acinonyx_jubatus_zoonomia</t>
  </si>
  <si>
    <t>3353_1</t>
  </si>
  <si>
    <t>ENSG00000204618</t>
  </si>
  <si>
    <t>ENST00000244360_Acinonyx_jubatus_zoonomia</t>
  </si>
  <si>
    <t>3357_3</t>
  </si>
  <si>
    <t>ENSG00000198814</t>
  </si>
  <si>
    <t>ENST00000378943_Acinonyx_jubatus_zoonomia</t>
  </si>
  <si>
    <t>ENSG00000229894</t>
  </si>
  <si>
    <t>3360_1</t>
  </si>
  <si>
    <t>ENSG00000138135</t>
  </si>
  <si>
    <t>3364_2</t>
  </si>
  <si>
    <t>ENSG00000130881</t>
  </si>
  <si>
    <t>ENST00000253193_Acinonyx_jubatus_zoonomia</t>
  </si>
  <si>
    <t>3364_3</t>
  </si>
  <si>
    <t>ENSG00000197324</t>
  </si>
  <si>
    <t>ENST00000359591_Acinonyx_jubatus_zoonomia</t>
  </si>
  <si>
    <t>3366_1</t>
  </si>
  <si>
    <t>ENSG00000149090</t>
  </si>
  <si>
    <t>3367_1</t>
  </si>
  <si>
    <t>ENSG00000107742</t>
  </si>
  <si>
    <t>3370_1</t>
  </si>
  <si>
    <t>ENSG00000051341</t>
  </si>
  <si>
    <t>ENST00000621776_Acinonyx_jubatus_zoonomia</t>
  </si>
  <si>
    <t>3372_1</t>
  </si>
  <si>
    <t>ENSG00000039123</t>
  </si>
  <si>
    <t>ENST00000230640_Acinonyx_jubatus_zoonomia</t>
  </si>
  <si>
    <t>337_2</t>
  </si>
  <si>
    <t>ENSG00000108061</t>
  </si>
  <si>
    <t>3374_1</t>
  </si>
  <si>
    <t>ENSG00000162614</t>
  </si>
  <si>
    <t>3377_1</t>
  </si>
  <si>
    <t>ENSG00000072506</t>
  </si>
  <si>
    <t>3379_1</t>
  </si>
  <si>
    <t>ENSG00000164039</t>
  </si>
  <si>
    <t>3388_3</t>
  </si>
  <si>
    <t>ENSG00000189403</t>
  </si>
  <si>
    <t>ENST00000339872_Acinonyx_jubatus_zoonomia</t>
  </si>
  <si>
    <t>3388_4</t>
  </si>
  <si>
    <t>ENSG00000176256</t>
  </si>
  <si>
    <t>3390_2</t>
  </si>
  <si>
    <t>ENSG00000164576</t>
  </si>
  <si>
    <t>3391_1</t>
  </si>
  <si>
    <t>ENSG00000164106</t>
  </si>
  <si>
    <t>3396_1</t>
  </si>
  <si>
    <t>ENSG00000104903</t>
  </si>
  <si>
    <t>ENST00000264824_Acinonyx_jubatus_zoonomia</t>
  </si>
  <si>
    <t>3398_2</t>
  </si>
  <si>
    <t>ENSG00000178860</t>
  </si>
  <si>
    <t>ENST00000325509_Acinonyx_jubatus_zoonomia</t>
  </si>
  <si>
    <t>3399_1</t>
  </si>
  <si>
    <t>ENSG00000186051</t>
  </si>
  <si>
    <t>3404_1</t>
  </si>
  <si>
    <t>ENSG00000008256</t>
  </si>
  <si>
    <t>In_file_3404_8</t>
  </si>
  <si>
    <t>ENSG00000107862</t>
  </si>
  <si>
    <t>ENST00000369983_Acinonyx_jubatus_zoonomia</t>
  </si>
  <si>
    <t>3404_2</t>
  </si>
  <si>
    <t>3404_4</t>
  </si>
  <si>
    <t>ENSG00000124198</t>
  </si>
  <si>
    <t>3404_5</t>
  </si>
  <si>
    <t>ENSG00000100055</t>
  </si>
  <si>
    <t>ENST00000248901_Acinonyx_jubatus_zoonomia</t>
  </si>
  <si>
    <t>3404_6</t>
  </si>
  <si>
    <t>ENSG00000105443</t>
  </si>
  <si>
    <t>In_file_3406_1</t>
  </si>
  <si>
    <t>3409_2</t>
  </si>
  <si>
    <t>ENSG00000046653</t>
  </si>
  <si>
    <t>3412_1</t>
  </si>
  <si>
    <t>ENSG00000105447</t>
  </si>
  <si>
    <t>3414_1</t>
  </si>
  <si>
    <t>ENSG00000162923</t>
  </si>
  <si>
    <t>ENST00000414423_Acinonyx_jubatus_zoonomia</t>
  </si>
  <si>
    <t>3418_1</t>
  </si>
  <si>
    <t>ENSG00000129128</t>
  </si>
  <si>
    <t>3419_1</t>
  </si>
  <si>
    <t>ENSG00000165197</t>
  </si>
  <si>
    <t>ENST00000297904_Acinonyx_jubatus_zoonomia</t>
  </si>
  <si>
    <t>3426_1</t>
  </si>
  <si>
    <t>ENSG00000156076</t>
  </si>
  <si>
    <t>3430_3</t>
  </si>
  <si>
    <t>ENSG00000047644</t>
  </si>
  <si>
    <t>3433_1</t>
  </si>
  <si>
    <t>ENSG00000168564</t>
  </si>
  <si>
    <t>ENST00000504169_Acinonyx_jubatus_zoonomia</t>
  </si>
  <si>
    <t>3436_1</t>
  </si>
  <si>
    <t>ENSG00000168556</t>
  </si>
  <si>
    <t>ENST00000302327_Acinonyx_jubatus_zoonomia</t>
  </si>
  <si>
    <t>3439_1</t>
  </si>
  <si>
    <t>ENSG00000182552</t>
  </si>
  <si>
    <t>ENST00000326397_Acinonyx_jubatus_zoonomia</t>
  </si>
  <si>
    <t>3444_1</t>
  </si>
  <si>
    <t>ENSG00000112796</t>
  </si>
  <si>
    <t>3446_1</t>
  </si>
  <si>
    <t>ENSG00000164306</t>
  </si>
  <si>
    <t>3451_1</t>
  </si>
  <si>
    <t>ENSG00000186352</t>
  </si>
  <si>
    <t>345_2</t>
  </si>
  <si>
    <t>ENSG00000132466</t>
  </si>
  <si>
    <t>ENST00000330838_Acinonyx_jubatus_zoonomia</t>
  </si>
  <si>
    <t>345_3</t>
  </si>
  <si>
    <t>ENSG00000131503</t>
  </si>
  <si>
    <t>ENSG00000254996</t>
  </si>
  <si>
    <t>3456_2</t>
  </si>
  <si>
    <t>ENSG00000107438</t>
  </si>
  <si>
    <t>3458_1</t>
  </si>
  <si>
    <t>ENSG00000109794</t>
  </si>
  <si>
    <t>ENST00000356371_Acinonyx_jubatus_zoonomia</t>
  </si>
  <si>
    <t>3460_2</t>
  </si>
  <si>
    <t>ENSG00000171903</t>
  </si>
  <si>
    <t>ENSG00000186115</t>
  </si>
  <si>
    <t>ENSG00000186204</t>
  </si>
  <si>
    <t>ENSG00000186526</t>
  </si>
  <si>
    <t>ENSG00000186529</t>
  </si>
  <si>
    <t>3460_9</t>
  </si>
  <si>
    <t>ENSG00000145476</t>
  </si>
  <si>
    <t>3461_1</t>
  </si>
  <si>
    <t>ENSG00000021461</t>
  </si>
  <si>
    <t>ENST00000222382_Acinonyx_jubatus_zoonomia</t>
  </si>
  <si>
    <t>ENSG00000106258</t>
  </si>
  <si>
    <t>ENSG00000160868</t>
  </si>
  <si>
    <t>ENSG00000160870</t>
  </si>
  <si>
    <t>ENST00000620220_Acinonyx_jubatus_zoonomia</t>
  </si>
  <si>
    <t>ENSG00000282301</t>
  </si>
  <si>
    <t>ENST00000611620_Acinonyx_jubatus_zoonomia</t>
  </si>
  <si>
    <t>3463_7</t>
  </si>
  <si>
    <t>ENSG00000135929</t>
  </si>
  <si>
    <t>3464_12</t>
  </si>
  <si>
    <t>ENSG00000167600</t>
  </si>
  <si>
    <t>3464_19</t>
  </si>
  <si>
    <t>ENSG00000100197</t>
  </si>
  <si>
    <t>ENST00000359033_Acinonyx_jubatus_zoonomia</t>
  </si>
  <si>
    <t>ENSG00000205702</t>
  </si>
  <si>
    <t>3464_6</t>
  </si>
  <si>
    <t>ENSG00000155016</t>
  </si>
  <si>
    <t>3470_2</t>
  </si>
  <si>
    <t>ENSG00000187553</t>
  </si>
  <si>
    <t>ENST00000651965_Acinonyx_jubatus_zoonomia</t>
  </si>
  <si>
    <t>3473_1</t>
  </si>
  <si>
    <t>ENSG00000119004</t>
  </si>
  <si>
    <t>3479_1</t>
  </si>
  <si>
    <t>ENSG00000258873</t>
  </si>
  <si>
    <t>348_1</t>
  </si>
  <si>
    <t>ENSG00000119509</t>
  </si>
  <si>
    <t>348_5</t>
  </si>
  <si>
    <t>ENSG00000139645</t>
  </si>
  <si>
    <t>3486_2</t>
  </si>
  <si>
    <t>ENSG00000115507</t>
  </si>
  <si>
    <t>ENST00000282549_Acinonyx_jubatus_zoonomia</t>
  </si>
  <si>
    <t>3486_3</t>
  </si>
  <si>
    <t>ENSG00000165588</t>
  </si>
  <si>
    <t>3490_1</t>
  </si>
  <si>
    <t>ENSG00000119614</t>
  </si>
  <si>
    <t>349_1</t>
  </si>
  <si>
    <t>ENSG00000235098</t>
  </si>
  <si>
    <t>3492_1</t>
  </si>
  <si>
    <t>ENSG00000073578</t>
  </si>
  <si>
    <t>3498_4</t>
  </si>
  <si>
    <t>ENSG00000135740</t>
  </si>
  <si>
    <t>3498_6</t>
  </si>
  <si>
    <t>ENSG00000197818</t>
  </si>
  <si>
    <t>3498_8</t>
  </si>
  <si>
    <t>ENSG00000198689</t>
  </si>
  <si>
    <t>3_4</t>
  </si>
  <si>
    <t>ENSG00000198742</t>
  </si>
  <si>
    <t>3504_1</t>
  </si>
  <si>
    <t>ENSG00000171368</t>
  </si>
  <si>
    <t>3505_1</t>
  </si>
  <si>
    <t>ENSG00000166164</t>
  </si>
  <si>
    <t>ENST00000394688_Acinonyx_jubatus_zoonomia</t>
  </si>
  <si>
    <t>3506_2</t>
  </si>
  <si>
    <t>ENSG00000096070</t>
  </si>
  <si>
    <t>ENST00000339717_Acinonyx_jubatus_zoonomia</t>
  </si>
  <si>
    <t>3507_2</t>
  </si>
  <si>
    <t>ENSG00000078403</t>
  </si>
  <si>
    <t>ENST00000307729_Acinonyx_jubatus_zoonomia</t>
  </si>
  <si>
    <t>3510_3</t>
  </si>
  <si>
    <t>ENSG00000140807</t>
  </si>
  <si>
    <t>In_file_3510_2</t>
  </si>
  <si>
    <t>3511_2</t>
  </si>
  <si>
    <t>ENSG00000124140</t>
  </si>
  <si>
    <t>ENST00000454036_Acinonyx_jubatus_zoonomia</t>
  </si>
  <si>
    <t>3511_8</t>
  </si>
  <si>
    <t>ENSG00000146828</t>
  </si>
  <si>
    <t>ENST00000354161_Acinonyx_jubatus_zoonomia</t>
  </si>
  <si>
    <t>3513_11</t>
  </si>
  <si>
    <t>ENSG00000268104</t>
  </si>
  <si>
    <t>ENST00000598581_Acinonyx_jubatus_zoonomia</t>
  </si>
  <si>
    <t>3513_17</t>
  </si>
  <si>
    <t>ENSG00000174358</t>
  </si>
  <si>
    <t>3513_18</t>
  </si>
  <si>
    <t>ENSG00000164363</t>
  </si>
  <si>
    <t>3513_1</t>
  </si>
  <si>
    <t>ENSG00000111181</t>
  </si>
  <si>
    <t>3513_2</t>
  </si>
  <si>
    <t>ENSG00000010379</t>
  </si>
  <si>
    <t>ENST00000343164_Acinonyx_jubatus_zoonomia</t>
  </si>
  <si>
    <t>3513_7</t>
  </si>
  <si>
    <t>ENSG00000103546</t>
  </si>
  <si>
    <t>ENST00000219833_Acinonyx_jubatus_zoonomia</t>
  </si>
  <si>
    <t>3524_2</t>
  </si>
  <si>
    <t>ENSG00000049656</t>
  </si>
  <si>
    <t>3525_3</t>
  </si>
  <si>
    <t>ENSG00000176454</t>
  </si>
  <si>
    <t>3527_2</t>
  </si>
  <si>
    <t>ENSG00000159387</t>
  </si>
  <si>
    <t>3537_1</t>
  </si>
  <si>
    <t>ENSG00000037474</t>
  </si>
  <si>
    <t>ENST00000264670_Acinonyx_jubatus_zoonomia</t>
  </si>
  <si>
    <t>3550_2</t>
  </si>
  <si>
    <t>ENSG00000149499</t>
  </si>
  <si>
    <t>3550_7</t>
  </si>
  <si>
    <t>ENSG00000214595</t>
  </si>
  <si>
    <t>ENST00000356458_Acinonyx_jubatus_zoonomia</t>
  </si>
  <si>
    <t>355_3</t>
  </si>
  <si>
    <t>ENSG00000091436</t>
  </si>
  <si>
    <t>ENST00000375213_Acinonyx_jubatus_zoonomia</t>
  </si>
  <si>
    <t>3554_1</t>
  </si>
  <si>
    <t>ENSG00000164287</t>
  </si>
  <si>
    <t>ENST00000296733_Acinonyx_jubatus_zoonomia</t>
  </si>
  <si>
    <t>355_6</t>
  </si>
  <si>
    <t>ENSG00000006432</t>
  </si>
  <si>
    <t>3562_1</t>
  </si>
  <si>
    <t>ENSG00000081014</t>
  </si>
  <si>
    <t>ENST00000261842_Acinonyx_jubatus_zoonomia</t>
  </si>
  <si>
    <t>3562_2</t>
  </si>
  <si>
    <t>ENSG00000183020</t>
  </si>
  <si>
    <t>ENST00000534328_Acinonyx_jubatus_zoonomia</t>
  </si>
  <si>
    <t>ENSG00000196961</t>
  </si>
  <si>
    <t>3564_2</t>
  </si>
  <si>
    <t>ENSG00000270647</t>
  </si>
  <si>
    <t>3567_1</t>
  </si>
  <si>
    <t>ENSG00000270806</t>
  </si>
  <si>
    <t>ENST00000605587_Acinonyx_jubatus_zoonomia</t>
  </si>
  <si>
    <t>3568_1</t>
  </si>
  <si>
    <t>ENSG00000270379</t>
  </si>
  <si>
    <t>357_3</t>
  </si>
  <si>
    <t>ENSG00000078061</t>
  </si>
  <si>
    <t>357_4</t>
  </si>
  <si>
    <t>ENSG00000171435</t>
  </si>
  <si>
    <t>ENST00000339824_Acinonyx_jubatus_zoonomia</t>
  </si>
  <si>
    <t>3592_1</t>
  </si>
  <si>
    <t>ENSG00000278311</t>
  </si>
  <si>
    <t>3593_1</t>
  </si>
  <si>
    <t>ENSG00000089116</t>
  </si>
  <si>
    <t>ENST00000261731_Acinonyx_jubatus_zoonomia</t>
  </si>
  <si>
    <t>3593_3</t>
  </si>
  <si>
    <t>ENSG00000107187</t>
  </si>
  <si>
    <t>3593_4</t>
  </si>
  <si>
    <t>ENSG00000121454</t>
  </si>
  <si>
    <t>3594_2</t>
  </si>
  <si>
    <t>ENSG00000162624</t>
  </si>
  <si>
    <t>3594_4</t>
  </si>
  <si>
    <t>ENSG00000159556</t>
  </si>
  <si>
    <t>3594_7</t>
  </si>
  <si>
    <t>ENSG00000106689</t>
  </si>
  <si>
    <t>ENST00000373615_Acinonyx_jubatus_zoonomia</t>
  </si>
  <si>
    <t>3604_1</t>
  </si>
  <si>
    <t>ENSG00000120129</t>
  </si>
  <si>
    <t>3604_3</t>
  </si>
  <si>
    <t>ENSG00000158050</t>
  </si>
  <si>
    <t>3604_5</t>
  </si>
  <si>
    <t>ENSG00000130829</t>
  </si>
  <si>
    <t>3604_8</t>
  </si>
  <si>
    <t>ENSG00000143507</t>
  </si>
  <si>
    <t>3606_3</t>
  </si>
  <si>
    <t>ENSG00000111266</t>
  </si>
  <si>
    <t>In_file_3606_2</t>
  </si>
  <si>
    <t>ENSG00000184545</t>
  </si>
  <si>
    <t>ENST00000331588_Acinonyx_jubatus_zoonomia</t>
  </si>
  <si>
    <t>3610_1</t>
  </si>
  <si>
    <t>ENSG00000188542</t>
  </si>
  <si>
    <t>ENST00000343217_Acinonyx_jubatus_zoonomia</t>
  </si>
  <si>
    <t>3611_1</t>
  </si>
  <si>
    <t>ENSG00000188716</t>
  </si>
  <si>
    <t>3615_4</t>
  </si>
  <si>
    <t>ENSG00000172830</t>
  </si>
  <si>
    <t>In_file_3615_1</t>
  </si>
  <si>
    <t>3619_2</t>
  </si>
  <si>
    <t>ENSG00000149599</t>
  </si>
  <si>
    <t>3621_1</t>
  </si>
  <si>
    <t>ENSG00000275066</t>
  </si>
  <si>
    <t>ENST00000612223_Acinonyx_jubatus_zoonomia</t>
  </si>
  <si>
    <t>3622_10</t>
  </si>
  <si>
    <t>ENSG00000152670</t>
  </si>
  <si>
    <t>3622_11</t>
  </si>
  <si>
    <t>ENSG00000067048</t>
  </si>
  <si>
    <t>In_file_3622_13</t>
  </si>
  <si>
    <t>ENSG00000215301</t>
  </si>
  <si>
    <t>ENST00000625837_Acinonyx_jubatus_zoonomia</t>
  </si>
  <si>
    <t>3622_18</t>
  </si>
  <si>
    <t>ENSG00000105671</t>
  </si>
  <si>
    <t>3622_21</t>
  </si>
  <si>
    <t>ENSG00000165732</t>
  </si>
  <si>
    <t>3622_22</t>
  </si>
  <si>
    <t>ENSG00000107625</t>
  </si>
  <si>
    <t>ENST00000373585_Acinonyx_jubatus_zoonomia</t>
  </si>
  <si>
    <t>3622_2</t>
  </si>
  <si>
    <t>ENSG00000100201</t>
  </si>
  <si>
    <t>ENST00000396821_Acinonyx_jubatus_zoonomia</t>
  </si>
  <si>
    <t>3622_5</t>
  </si>
  <si>
    <t>ENSG00000198231</t>
  </si>
  <si>
    <t>ENST00000389924_Acinonyx_jubatus_zoonomia</t>
  </si>
  <si>
    <t>3623_1</t>
  </si>
  <si>
    <t>ENSG00000110367</t>
  </si>
  <si>
    <t>3624_1</t>
  </si>
  <si>
    <t>ENSG00000123064</t>
  </si>
  <si>
    <t>3625_10</t>
  </si>
  <si>
    <t>ENSG00000198563</t>
  </si>
  <si>
    <t>ENST00000396172_Acinonyx_jubatus_zoonomia</t>
  </si>
  <si>
    <t>3625_11</t>
  </si>
  <si>
    <t>ENSG00000064703</t>
  </si>
  <si>
    <t>3625_1</t>
  </si>
  <si>
    <t>ENSG00000157349</t>
  </si>
  <si>
    <t>ENSG00000168872</t>
  </si>
  <si>
    <t>ENSG00000260537</t>
  </si>
  <si>
    <t>3625_8</t>
  </si>
  <si>
    <t>ENSG00000141543</t>
  </si>
  <si>
    <t>3634_1</t>
  </si>
  <si>
    <t>ENSG00000275410</t>
  </si>
  <si>
    <t>ENST00000613727_Acinonyx_jubatus_zoonomia</t>
  </si>
  <si>
    <t>3636_1</t>
  </si>
  <si>
    <t>ENSG00000277399</t>
  </si>
  <si>
    <t>ENST00000616987_Acinonyx_jubatus_zoonomia</t>
  </si>
  <si>
    <t>3638_1</t>
  </si>
  <si>
    <t>ENSG00000114737</t>
  </si>
  <si>
    <t>3641_1</t>
  </si>
  <si>
    <t>ENSG00000120549</t>
  </si>
  <si>
    <t>ENST00000376452_Acinonyx_jubatus_zoonomia</t>
  </si>
  <si>
    <t>364_1</t>
  </si>
  <si>
    <t>ENSG00000154065</t>
  </si>
  <si>
    <t>3642_1</t>
  </si>
  <si>
    <t>ENSG00000168283</t>
  </si>
  <si>
    <t>ENSG00000269897</t>
  </si>
  <si>
    <t>3642_4</t>
  </si>
  <si>
    <t>ENSG00000277258</t>
  </si>
  <si>
    <t>ENST00000611883_Acinonyx_jubatus_zoonomia</t>
  </si>
  <si>
    <t>3642_6</t>
  </si>
  <si>
    <t>ENSG00000180628</t>
  </si>
  <si>
    <t>3642_7</t>
  </si>
  <si>
    <t>ENSG00000185619</t>
  </si>
  <si>
    <t>3651_1</t>
  </si>
  <si>
    <t>ENSG00000275489</t>
  </si>
  <si>
    <t>3658_2</t>
  </si>
  <si>
    <t>ENSG00000167535</t>
  </si>
  <si>
    <t>3661_2</t>
  </si>
  <si>
    <t>ENSG00000141750</t>
  </si>
  <si>
    <t>3662_2</t>
  </si>
  <si>
    <t>ENSG00000108306</t>
  </si>
  <si>
    <t>3662_3</t>
  </si>
  <si>
    <t>ENSG00000153558</t>
  </si>
  <si>
    <t>3666_1</t>
  </si>
  <si>
    <t>ENSG00000145743</t>
  </si>
  <si>
    <t>3669_1</t>
  </si>
  <si>
    <t>ENSG00000125122</t>
  </si>
  <si>
    <t>ENST00000393992_Acinonyx_jubatus_zoonomia</t>
  </si>
  <si>
    <t>3670_1</t>
  </si>
  <si>
    <t>ENSG00000107872</t>
  </si>
  <si>
    <t>3675_1</t>
  </si>
  <si>
    <t>ENSG00000010270</t>
  </si>
  <si>
    <t>3679_1</t>
  </si>
  <si>
    <t>ENSG00000161395</t>
  </si>
  <si>
    <t>3680_1</t>
  </si>
  <si>
    <t>ENSG00000141741</t>
  </si>
  <si>
    <t>3681_2</t>
  </si>
  <si>
    <t>ENSG00000115290</t>
  </si>
  <si>
    <t>3682_2</t>
  </si>
  <si>
    <t>ENSG00000173166</t>
  </si>
  <si>
    <t>368_4</t>
  </si>
  <si>
    <t>ENSG00000142733</t>
  </si>
  <si>
    <t>ENST00000357582_Acinonyx_jubatus_zoonomia</t>
  </si>
  <si>
    <t>3685_1</t>
  </si>
  <si>
    <t>ENSG00000123353</t>
  </si>
  <si>
    <t>3685_3</t>
  </si>
  <si>
    <t>ENSG00000128699</t>
  </si>
  <si>
    <t>3688_1</t>
  </si>
  <si>
    <t>ENSG00000147697</t>
  </si>
  <si>
    <t>In_file_3689_1</t>
  </si>
  <si>
    <t>368_9</t>
  </si>
  <si>
    <t>ENSG00000095015</t>
  </si>
  <si>
    <t>3695_1</t>
  </si>
  <si>
    <t>ENSG00000188895</t>
  </si>
  <si>
    <t>3697_1</t>
  </si>
  <si>
    <t>ENSG00000122574</t>
  </si>
  <si>
    <t>ENST00000242140_Acinonyx_jubatus_zoonomia</t>
  </si>
  <si>
    <t>3699_1</t>
  </si>
  <si>
    <t>ENSG00000077097</t>
  </si>
  <si>
    <t>ENST00000264331_Acinonyx_jubatus_zoonomia</t>
  </si>
  <si>
    <t>3701_1</t>
  </si>
  <si>
    <t>ENSG00000115461</t>
  </si>
  <si>
    <t>3702_1</t>
  </si>
  <si>
    <t>ENSG00000146678</t>
  </si>
  <si>
    <t>370_22</t>
  </si>
  <si>
    <t>ENSG00000266714</t>
  </si>
  <si>
    <t>ENST00000610510_Acinonyx_jubatus_zoonomia</t>
  </si>
  <si>
    <t>370_25</t>
  </si>
  <si>
    <t>ENSG00000196535</t>
  </si>
  <si>
    <t>ENST00000527372_Acinonyx_jubatus_zoonomia</t>
  </si>
  <si>
    <t>370_28</t>
  </si>
  <si>
    <t>ENSG00000133026</t>
  </si>
  <si>
    <t>ENST00000269243_Acinonyx_jubatus_zoonomia</t>
  </si>
  <si>
    <t>370_2</t>
  </si>
  <si>
    <t>ENSG00000167306</t>
  </si>
  <si>
    <t>ENST00000285039_Acinonyx_jubatus_zoonomia</t>
  </si>
  <si>
    <t>3703_1</t>
  </si>
  <si>
    <t>ENSG00000115457</t>
  </si>
  <si>
    <t>370_32</t>
  </si>
  <si>
    <t>ENSG00000092054</t>
  </si>
  <si>
    <t>ENSG00000197616</t>
  </si>
  <si>
    <t>370_35</t>
  </si>
  <si>
    <t>ENSG00000109063</t>
  </si>
  <si>
    <t>ENST00000583535_Acinonyx_jubatus_zoonomia</t>
  </si>
  <si>
    <t>370_36</t>
  </si>
  <si>
    <t>ENSG00000264424</t>
  </si>
  <si>
    <t>ENST00000255381_Acinonyx_jubatus_zoonomia</t>
  </si>
  <si>
    <t>370_39</t>
  </si>
  <si>
    <t>ENSG00000133020</t>
  </si>
  <si>
    <t>ENST00000403437_Acinonyx_jubatus_zoonomia</t>
  </si>
  <si>
    <t>370_5</t>
  </si>
  <si>
    <t>ENSG00000099331</t>
  </si>
  <si>
    <t>ENST00000594824_Acinonyx_jubatus_zoonomia</t>
  </si>
  <si>
    <t>3706_16</t>
  </si>
  <si>
    <t>ENSG00000167916</t>
  </si>
  <si>
    <t>ENST00000264651_Acinonyx_jubatus_zoonomia</t>
  </si>
  <si>
    <t>3706_18</t>
  </si>
  <si>
    <t>ENSG00000204897</t>
  </si>
  <si>
    <t>3706_19</t>
  </si>
  <si>
    <t>ENSG00000173908</t>
  </si>
  <si>
    <t>3706_1</t>
  </si>
  <si>
    <t>ENSG00000006059</t>
  </si>
  <si>
    <t>ENSG00000094796</t>
  </si>
  <si>
    <t>ENSG00000131737</t>
  </si>
  <si>
    <t>ENSG00000131738</t>
  </si>
  <si>
    <t>3706_23</t>
  </si>
  <si>
    <t>ENSG00000186832</t>
  </si>
  <si>
    <t>ENST00000301653_Acinonyx_jubatus_zoonomia</t>
  </si>
  <si>
    <t>3706_27</t>
  </si>
  <si>
    <t>ENSG00000171346</t>
  </si>
  <si>
    <t>ENST00000254043_Acinonyx_jubatus_zoonomia</t>
  </si>
  <si>
    <t>ENSG00000171401</t>
  </si>
  <si>
    <t>ENST00000246635_Acinonyx_jubatus_zoonomia</t>
  </si>
  <si>
    <t>3706_6</t>
  </si>
  <si>
    <t>ENSG00000108759</t>
  </si>
  <si>
    <t>3706_7</t>
  </si>
  <si>
    <t>ENSG00000108417</t>
  </si>
  <si>
    <t>ENSG00000171360</t>
  </si>
  <si>
    <t>3707_10</t>
  </si>
  <si>
    <t>ENSG00000135443</t>
  </si>
  <si>
    <t>ENST00000257901_Acinonyx_jubatus_zoonomia</t>
  </si>
  <si>
    <t>3707_11</t>
  </si>
  <si>
    <t>ENSG00000170442</t>
  </si>
  <si>
    <t>ENST00000293525_Acinonyx_jubatus_zoonomia</t>
  </si>
  <si>
    <t>ENSG00000170523</t>
  </si>
  <si>
    <t>ENSG00000205426</t>
  </si>
  <si>
    <t>ENST00000327741_Acinonyx_jubatus_zoonomia</t>
  </si>
  <si>
    <t>3707_16</t>
  </si>
  <si>
    <t>ENSG00000135480</t>
  </si>
  <si>
    <t>3707_1</t>
  </si>
  <si>
    <t>ENSG00000104722</t>
  </si>
  <si>
    <t>3707_20</t>
  </si>
  <si>
    <t>ENSG00000186049</t>
  </si>
  <si>
    <t>ENST00000305748_Acinonyx_jubatus_zoonomia</t>
  </si>
  <si>
    <t>3707_21</t>
  </si>
  <si>
    <t>ENSG00000170486</t>
  </si>
  <si>
    <t>ENST00000293745_Acinonyx_jubatus_zoonomia</t>
  </si>
  <si>
    <t>3707_23</t>
  </si>
  <si>
    <t>ENSG00000172867</t>
  </si>
  <si>
    <t>ENST00000309680_Acinonyx_jubatus_zoonomia</t>
  </si>
  <si>
    <t>3707_24</t>
  </si>
  <si>
    <t>ENSG00000189182</t>
  </si>
  <si>
    <t>ENST00000341809_Acinonyx_jubatus_zoonomia</t>
  </si>
  <si>
    <t>3707_2</t>
  </si>
  <si>
    <t>ENSG00000100285</t>
  </si>
  <si>
    <t>3707_32</t>
  </si>
  <si>
    <t>ENSG00000170465</t>
  </si>
  <si>
    <t>ENSG00000185479</t>
  </si>
  <si>
    <t>ENSG00000205420</t>
  </si>
  <si>
    <t>3707_5</t>
  </si>
  <si>
    <t>ENSG00000026025</t>
  </si>
  <si>
    <t>3707_6</t>
  </si>
  <si>
    <t>ENSG00000175084</t>
  </si>
  <si>
    <t>3707_8</t>
  </si>
  <si>
    <t>ENSG00000135406</t>
  </si>
  <si>
    <t>ENST00000257860_Acinonyx_jubatus_zoonomia</t>
  </si>
  <si>
    <t>3707_9</t>
  </si>
  <si>
    <t>ENSG00000167767</t>
  </si>
  <si>
    <t>3708_10</t>
  </si>
  <si>
    <t>ENSG00000151292</t>
  </si>
  <si>
    <t>3708_1</t>
  </si>
  <si>
    <t>ENSG00000146216</t>
  </si>
  <si>
    <t>ENST00000259750_Acinonyx_jubatus_zoonomia</t>
  </si>
  <si>
    <t>3708_4</t>
  </si>
  <si>
    <t>ENSG00000213923</t>
  </si>
  <si>
    <t>ENSG00000283900</t>
  </si>
  <si>
    <t>370_9</t>
  </si>
  <si>
    <t>ENSG00000278259</t>
  </si>
  <si>
    <t>3716_1</t>
  </si>
  <si>
    <t>ENSG00000212899</t>
  </si>
  <si>
    <t>ENSG00000212900</t>
  </si>
  <si>
    <t>3717_1</t>
  </si>
  <si>
    <t>ENSG00000212901</t>
  </si>
  <si>
    <t>3718_1</t>
  </si>
  <si>
    <t>ENSG00000188581</t>
  </si>
  <si>
    <t>ENST00000306271_Acinonyx_jubatus_zoonomia</t>
  </si>
  <si>
    <t>ENSG00000204887</t>
  </si>
  <si>
    <t>ENST00000377747_Acinonyx_jubatus_zoonomia</t>
  </si>
  <si>
    <t>ENSG00000221852</t>
  </si>
  <si>
    <t>ENSG00000221880</t>
  </si>
  <si>
    <t>ENST00000344363_Acinonyx_jubatus_zoonomia</t>
  </si>
  <si>
    <t>3723_1</t>
  </si>
  <si>
    <t>ENSG00000212724</t>
  </si>
  <si>
    <t>ENSG00000212725</t>
  </si>
  <si>
    <t>ENSG00000213417</t>
  </si>
  <si>
    <t>ENSG00000214518</t>
  </si>
  <si>
    <t>3731_1</t>
  </si>
  <si>
    <t>ENSG00000186860</t>
  </si>
  <si>
    <t>373_1</t>
  </si>
  <si>
    <t>ENSG00000068137</t>
  </si>
  <si>
    <t>ENST00000293349_Acinonyx_jubatus_zoonomia</t>
  </si>
  <si>
    <t>3736_1</t>
  </si>
  <si>
    <t>ENSG00000173486</t>
  </si>
  <si>
    <t>ENSG00000286264</t>
  </si>
  <si>
    <t>3737_1</t>
  </si>
  <si>
    <t>ENSG00000106080</t>
  </si>
  <si>
    <t>3739_1</t>
  </si>
  <si>
    <t>ENSG00000119782</t>
  </si>
  <si>
    <t>374_1</t>
  </si>
  <si>
    <t>ENSG00000100345</t>
  </si>
  <si>
    <t>ENST00000216181_Acinonyx_jubatus_zoonomia</t>
  </si>
  <si>
    <t>ENSG00000105357</t>
  </si>
  <si>
    <t>ENST00000376970_Acinonyx_jubatus_zoonomia</t>
  </si>
  <si>
    <t>3743_1</t>
  </si>
  <si>
    <t>ENSG00000173786</t>
  </si>
  <si>
    <t>3744_10</t>
  </si>
  <si>
    <t>ENSG00000107758</t>
  </si>
  <si>
    <t>3744_2</t>
  </si>
  <si>
    <t>ENSG00000213639</t>
  </si>
  <si>
    <t>3744_5</t>
  </si>
  <si>
    <t>ENSG00000119414</t>
  </si>
  <si>
    <t>3744_7</t>
  </si>
  <si>
    <t>ENSG00000113575</t>
  </si>
  <si>
    <t>3749_1</t>
  </si>
  <si>
    <t>ENSG00000113312</t>
  </si>
  <si>
    <t>3750_1</t>
  </si>
  <si>
    <t>ENSG00000104969</t>
  </si>
  <si>
    <t>ENST00000221566_Acinonyx_jubatus_zoonomia</t>
  </si>
  <si>
    <t>3755_1</t>
  </si>
  <si>
    <t>ENSG00000161642</t>
  </si>
  <si>
    <t>3755_2</t>
  </si>
  <si>
    <t>ENSG00000144331</t>
  </si>
  <si>
    <t>ENSG00000151789</t>
  </si>
  <si>
    <t>ENST00000494108_Acinonyx_jubatus_zoonomia</t>
  </si>
  <si>
    <t>3755_3</t>
  </si>
  <si>
    <t>ENSG00000187595</t>
  </si>
  <si>
    <t>ENST00000436535_Acinonyx_jubatus_zoonomia</t>
  </si>
  <si>
    <t>3758_1</t>
  </si>
  <si>
    <t>ENSG00000171634</t>
  </si>
  <si>
    <t>ENST00000306378_Acinonyx_jubatus_zoonomia</t>
  </si>
  <si>
    <t>3760_4</t>
  </si>
  <si>
    <t>ENSG00000137948</t>
  </si>
  <si>
    <t>3764_1</t>
  </si>
  <si>
    <t>ENSG00000122728</t>
  </si>
  <si>
    <t>ENSG00000147133</t>
  </si>
  <si>
    <t>3769_1</t>
  </si>
  <si>
    <t>ENSG00000135519</t>
  </si>
  <si>
    <t>3769_2</t>
  </si>
  <si>
    <t>ENSG00000089558</t>
  </si>
  <si>
    <t>ENST00000264661_Acinonyx_jubatus_zoonomia</t>
  </si>
  <si>
    <t>3769_4</t>
  </si>
  <si>
    <t>ENSG00000055118</t>
  </si>
  <si>
    <t>ENST00000262186_Acinonyx_jubatus_zoonomia</t>
  </si>
  <si>
    <t>3770_1</t>
  </si>
  <si>
    <t>ENSG00000099822</t>
  </si>
  <si>
    <t>ENSG00000138622</t>
  </si>
  <si>
    <t>ENSG00000143630</t>
  </si>
  <si>
    <t>3777_1</t>
  </si>
  <si>
    <t>ENSG00000161610</t>
  </si>
  <si>
    <t>ENST00000293330_Acinonyx_jubatus_zoonomia</t>
  </si>
  <si>
    <t>3779_4</t>
  </si>
  <si>
    <t>ENSG00000170581</t>
  </si>
  <si>
    <t>ENST00000314128_Acinonyx_jubatus_zoonomia</t>
  </si>
  <si>
    <t>3779_7</t>
  </si>
  <si>
    <t>ENSG00000126561</t>
  </si>
  <si>
    <t>ENSG00000173757</t>
  </si>
  <si>
    <t>In_file_3779_5</t>
  </si>
  <si>
    <t>3779_8</t>
  </si>
  <si>
    <t>ENSG00000166888</t>
  </si>
  <si>
    <t>3780_4</t>
  </si>
  <si>
    <t>ENSG00000110719</t>
  </si>
  <si>
    <t>ENST00000265686_Acinonyx_jubatus_zoonomia</t>
  </si>
  <si>
    <t>3785_1</t>
  </si>
  <si>
    <t>ENSG00000108788</t>
  </si>
  <si>
    <t>3786_1</t>
  </si>
  <si>
    <t>ENSG00000009950</t>
  </si>
  <si>
    <t>3786_2</t>
  </si>
  <si>
    <t>ENSG00000175727</t>
  </si>
  <si>
    <t>ENST00000319080_Acinonyx_jubatus_zoonomia</t>
  </si>
  <si>
    <t>3791_1</t>
  </si>
  <si>
    <t>ENSG00000106462</t>
  </si>
  <si>
    <t>ENST00000320356_Acinonyx_jubatus_zoonomia</t>
  </si>
  <si>
    <t>3792_1</t>
  </si>
  <si>
    <t>ENSG00000109685</t>
  </si>
  <si>
    <t>ENST00000382891_Acinonyx_jubatus_zoonomia</t>
  </si>
  <si>
    <t>3793_1</t>
  </si>
  <si>
    <t>ENSG00000116539</t>
  </si>
  <si>
    <t>ENST00000368346_Acinonyx_jubatus_zoonomia</t>
  </si>
  <si>
    <t>3793_2</t>
  </si>
  <si>
    <t>ENSG00000152217</t>
  </si>
  <si>
    <t>3795_1</t>
  </si>
  <si>
    <t>ENSG00000131475</t>
  </si>
  <si>
    <t>3796_1</t>
  </si>
  <si>
    <t>ENSG00000115216</t>
  </si>
  <si>
    <t>3801_1</t>
  </si>
  <si>
    <t>ENSG00000131471</t>
  </si>
  <si>
    <t>In_file_3801_3</t>
  </si>
  <si>
    <t>3802_1</t>
  </si>
  <si>
    <t>ENSG00000131482</t>
  </si>
  <si>
    <t>3803_1</t>
  </si>
  <si>
    <t>ENSG00000108825</t>
  </si>
  <si>
    <t>ENSG00000266967</t>
  </si>
  <si>
    <t>3805_1</t>
  </si>
  <si>
    <t>ENSG00000110958</t>
  </si>
  <si>
    <t>3807_1</t>
  </si>
  <si>
    <t>ENSG00000131469</t>
  </si>
  <si>
    <t>3808_1</t>
  </si>
  <si>
    <t>ENSG00000012048</t>
  </si>
  <si>
    <t>3811_1</t>
  </si>
  <si>
    <t>ENSG00000151650</t>
  </si>
  <si>
    <t>3813_1</t>
  </si>
  <si>
    <t>ENSG00000163064</t>
  </si>
  <si>
    <t>ENST00000295206_Acinonyx_jubatus_zoonomia</t>
  </si>
  <si>
    <t>3814_1</t>
  </si>
  <si>
    <t>ENSG00000167941</t>
  </si>
  <si>
    <t>3816_1</t>
  </si>
  <si>
    <t>ENSG00000143774</t>
  </si>
  <si>
    <t>3822_1</t>
  </si>
  <si>
    <t>ENSG00000122585</t>
  </si>
  <si>
    <t>3824_1</t>
  </si>
  <si>
    <t>ENSG00000161654</t>
  </si>
  <si>
    <t>3832_10</t>
  </si>
  <si>
    <t>ENSG00000088836</t>
  </si>
  <si>
    <t>3832_3</t>
  </si>
  <si>
    <t>ENSG00000164889</t>
  </si>
  <si>
    <t>ENST00000413384_Acinonyx_jubatus_zoonomia</t>
  </si>
  <si>
    <t>3832_6</t>
  </si>
  <si>
    <t>ENSG00000080493</t>
  </si>
  <si>
    <t>3832_8</t>
  </si>
  <si>
    <t>ENSG00000144290</t>
  </si>
  <si>
    <t>ENST00000272716_Acinonyx_jubatus_zoonomia</t>
  </si>
  <si>
    <t>3835_2</t>
  </si>
  <si>
    <t>ENSG00000204130</t>
  </si>
  <si>
    <t>3836_1</t>
  </si>
  <si>
    <t>ENSG00000030582</t>
  </si>
  <si>
    <t>ENST00000053867_Acinonyx_jubatus_zoonomia</t>
  </si>
  <si>
    <t>3838_2</t>
  </si>
  <si>
    <t>ENSG00000186566</t>
  </si>
  <si>
    <t>ENST00000591680_Acinonyx_jubatus_zoonomia</t>
  </si>
  <si>
    <t>3843_1</t>
  </si>
  <si>
    <t>ENSG00000131097</t>
  </si>
  <si>
    <t>ENST00000253410_Acinonyx_jubatus_zoonomia</t>
  </si>
  <si>
    <t>3844_1</t>
  </si>
  <si>
    <t>ENSG00000214511</t>
  </si>
  <si>
    <t>3845_2</t>
  </si>
  <si>
    <t>ENSG00000185432</t>
  </si>
  <si>
    <t>3849_1</t>
  </si>
  <si>
    <t>ENSG00000140598</t>
  </si>
  <si>
    <t>ENST00000268206_Acinonyx_jubatus_zoonomia</t>
  </si>
  <si>
    <t>3849_3</t>
  </si>
  <si>
    <t>ENSG00000108883</t>
  </si>
  <si>
    <t>ENST00000426333_Acinonyx_jubatus_zoonomia</t>
  </si>
  <si>
    <t>385_1</t>
  </si>
  <si>
    <t>ENSG00000125503</t>
  </si>
  <si>
    <t>ENST00000263433_Acinonyx_jubatus_zoonomia</t>
  </si>
  <si>
    <t>3853_2</t>
  </si>
  <si>
    <t>ENSG00000152465</t>
  </si>
  <si>
    <t>3855_1</t>
  </si>
  <si>
    <t>ENSG00000184361</t>
  </si>
  <si>
    <t>ENST00000331780_Acinonyx_jubatus_zoonomia</t>
  </si>
  <si>
    <t>3856_1</t>
  </si>
  <si>
    <t>ENSG00000006062</t>
  </si>
  <si>
    <t>ENST00000344686_Acinonyx_jubatus_zoonomia</t>
  </si>
  <si>
    <t>3857_4</t>
  </si>
  <si>
    <t>ENSG00000106113</t>
  </si>
  <si>
    <t>In_file_3857_1</t>
  </si>
  <si>
    <t>ENSG00000120088</t>
  </si>
  <si>
    <t>ENST00000293493_Acinonyx_jubatus_zoonomia</t>
  </si>
  <si>
    <t>ENSG00000263715</t>
  </si>
  <si>
    <t>3858_11</t>
  </si>
  <si>
    <t>ENSG00000160801</t>
  </si>
  <si>
    <t>ENST00000313049_Acinonyx_jubatus_zoonomia</t>
  </si>
  <si>
    <t>3858_12</t>
  </si>
  <si>
    <t>ENSG00000004948</t>
  </si>
  <si>
    <t>ENST00000359558_Acinonyx_jubatus_zoonomia</t>
  </si>
  <si>
    <t>3858_1</t>
  </si>
  <si>
    <t>ENSG00000080293</t>
  </si>
  <si>
    <t>3858_5</t>
  </si>
  <si>
    <t>ENSG00000106128</t>
  </si>
  <si>
    <t>3858_8</t>
  </si>
  <si>
    <t>ENSG00000010310</t>
  </si>
  <si>
    <t>3864_2</t>
  </si>
  <si>
    <t>ENSG00000185294</t>
  </si>
  <si>
    <t>3866_1</t>
  </si>
  <si>
    <t>ENSG00000157837</t>
  </si>
  <si>
    <t>3868_10</t>
  </si>
  <si>
    <t>ENSG00000188064</t>
  </si>
  <si>
    <t>ENST00000339464_Acinonyx_jubatus_zoonomia</t>
  </si>
  <si>
    <t>3868_16</t>
  </si>
  <si>
    <t>ENSG00000169884</t>
  </si>
  <si>
    <t>3868_19</t>
  </si>
  <si>
    <t>ENSG00000115596</t>
  </si>
  <si>
    <t>ENST00000233948_Acinonyx_jubatus_zoonomia</t>
  </si>
  <si>
    <t>ENSG00000135925</t>
  </si>
  <si>
    <t>In_file_3868_15</t>
  </si>
  <si>
    <t>ENSG00000154764</t>
  </si>
  <si>
    <t>In_file_3868_11</t>
  </si>
  <si>
    <t>3868_3</t>
  </si>
  <si>
    <t>ENSG00000125084</t>
  </si>
  <si>
    <t>ENST00000293549_Acinonyx_jubatus_zoonomia</t>
  </si>
  <si>
    <t>3868_4</t>
  </si>
  <si>
    <t>ENSG00000162552</t>
  </si>
  <si>
    <t>ENST00000290167_Acinonyx_jubatus_zoonomia</t>
  </si>
  <si>
    <t>3868_5</t>
  </si>
  <si>
    <t>ENSG00000085741</t>
  </si>
  <si>
    <t>3868_6</t>
  </si>
  <si>
    <t>ENSG00000114251</t>
  </si>
  <si>
    <t>3877_1</t>
  </si>
  <si>
    <t>ENSG00000147162</t>
  </si>
  <si>
    <t>ENST00000373701_Acinonyx_jubatus_zoonomia</t>
  </si>
  <si>
    <t>3880_3</t>
  </si>
  <si>
    <t>ENSG00000111245</t>
  </si>
  <si>
    <t>3880_7</t>
  </si>
  <si>
    <t>ENSG00000101608</t>
  </si>
  <si>
    <t>In_file_3880_8</t>
  </si>
  <si>
    <t>ENSG00000118680</t>
  </si>
  <si>
    <t>3880_9</t>
  </si>
  <si>
    <t>3885_1</t>
  </si>
  <si>
    <t>ENSG00000138792</t>
  </si>
  <si>
    <t>ENST00000265162_Acinonyx_jubatus_zoonomia</t>
  </si>
  <si>
    <t>ENSG00000166825</t>
  </si>
  <si>
    <t>3892_1</t>
  </si>
  <si>
    <t>ENSG00000111481</t>
  </si>
  <si>
    <t>3892_2</t>
  </si>
  <si>
    <t>ENSG00000005243</t>
  </si>
  <si>
    <t>3896_1</t>
  </si>
  <si>
    <t>ENSG00000122565</t>
  </si>
  <si>
    <t>3896_3</t>
  </si>
  <si>
    <t>ENSG00000094916</t>
  </si>
  <si>
    <t>3898_2</t>
  </si>
  <si>
    <t>ENSG00000002919</t>
  </si>
  <si>
    <t>3899_1</t>
  </si>
  <si>
    <t>ENSG00000112335</t>
  </si>
  <si>
    <t>ENST00000230085_Acinonyx_jubatus_zoonomia</t>
  </si>
  <si>
    <t>3_8</t>
  </si>
  <si>
    <t>ENSG00000002746</t>
  </si>
  <si>
    <t>3902_2</t>
  </si>
  <si>
    <t>ENSG00000137941</t>
  </si>
  <si>
    <t>3902_7</t>
  </si>
  <si>
    <t>ENSG00000175764</t>
  </si>
  <si>
    <t>3903_1</t>
  </si>
  <si>
    <t>ENSG00000100271</t>
  </si>
  <si>
    <t>3907_1</t>
  </si>
  <si>
    <t>ENSG00000214021</t>
  </si>
  <si>
    <t>ENSG00000250151</t>
  </si>
  <si>
    <t>ENST00000397256_Acinonyx_jubatus_zoonomia</t>
  </si>
  <si>
    <t>3908_1</t>
  </si>
  <si>
    <t>ENSG00000241553</t>
  </si>
  <si>
    <t>ENST00000397261_Acinonyx_jubatus_zoonomia</t>
  </si>
  <si>
    <t>3911_2</t>
  </si>
  <si>
    <t>ENSG00000154518</t>
  </si>
  <si>
    <t>391_2</t>
  </si>
  <si>
    <t>ENSG00000082146</t>
  </si>
  <si>
    <t>3913_1</t>
  </si>
  <si>
    <t>ENSG00000115760</t>
  </si>
  <si>
    <t>ENST00000421745_Acinonyx_jubatus_zoonomia</t>
  </si>
  <si>
    <t>3917_1</t>
  </si>
  <si>
    <t>ENSG00000135454</t>
  </si>
  <si>
    <t>3919_1</t>
  </si>
  <si>
    <t>ENSG00000138443</t>
  </si>
  <si>
    <t>3920_1</t>
  </si>
  <si>
    <t>ENSG00000173868</t>
  </si>
  <si>
    <t>ENST00000310544_Acinonyx_jubatus_zoonomia</t>
  </si>
  <si>
    <t>392_1</t>
  </si>
  <si>
    <t>ENSG00000169032</t>
  </si>
  <si>
    <t>ENSG00000230626</t>
  </si>
  <si>
    <t>392_3</t>
  </si>
  <si>
    <t>ENSG00000137764</t>
  </si>
  <si>
    <t>3924_1</t>
  </si>
  <si>
    <t>ENSG00000064300</t>
  </si>
  <si>
    <t>392_5</t>
  </si>
  <si>
    <t>ENSG00000108984</t>
  </si>
  <si>
    <t>ENST00000590474_Acinonyx_jubatus_zoonomia</t>
  </si>
  <si>
    <t>3927_1</t>
  </si>
  <si>
    <t>ENSG00000184887</t>
  </si>
  <si>
    <t>ENST00000392554_Acinonyx_jubatus_zoonomia</t>
  </si>
  <si>
    <t>3927_2</t>
  </si>
  <si>
    <t>ENSG00000132640</t>
  </si>
  <si>
    <t>3931_2</t>
  </si>
  <si>
    <t>ENSG00000172977</t>
  </si>
  <si>
    <t>3931_4</t>
  </si>
  <si>
    <t>ENSG00000083168</t>
  </si>
  <si>
    <t>3932_1</t>
  </si>
  <si>
    <t>ENSG00000064195</t>
  </si>
  <si>
    <t>In_file_3932_3</t>
  </si>
  <si>
    <t>ENSG00000105880</t>
  </si>
  <si>
    <t>3932_2</t>
  </si>
  <si>
    <t>ENSG00000115844</t>
  </si>
  <si>
    <t>3934_2</t>
  </si>
  <si>
    <t>ENSG00000144355</t>
  </si>
  <si>
    <t>ENST00000361725_Acinonyx_jubatus_zoonomia</t>
  </si>
  <si>
    <t>3935_1</t>
  </si>
  <si>
    <t>ENSG00000005884</t>
  </si>
  <si>
    <t>3935_4</t>
  </si>
  <si>
    <t>ENSG00000138448</t>
  </si>
  <si>
    <t>ENST00000261023_Acinonyx_jubatus_zoonomia</t>
  </si>
  <si>
    <t>3936_3</t>
  </si>
  <si>
    <t>ENSG00000140678</t>
  </si>
  <si>
    <t>ENST00000562522_Acinonyx_jubatus_zoonomia</t>
  </si>
  <si>
    <t>3936_4</t>
  </si>
  <si>
    <t>ENSG00000156886</t>
  </si>
  <si>
    <t>3936_5</t>
  </si>
  <si>
    <t>ENSG00000005844</t>
  </si>
  <si>
    <t>ENST00000356798_Acinonyx_jubatus_zoonomia</t>
  </si>
  <si>
    <t>3936_7</t>
  </si>
  <si>
    <t>ENSG00000137809</t>
  </si>
  <si>
    <t>ENST00000315757_Acinonyx_jubatus_zoonomia</t>
  </si>
  <si>
    <t>3939_3</t>
  </si>
  <si>
    <t>ENSG00000067992</t>
  </si>
  <si>
    <t>3939_4</t>
  </si>
  <si>
    <t>ENSG00000005882</t>
  </si>
  <si>
    <t>3941_1</t>
  </si>
  <si>
    <t>ENSG00000108819</t>
  </si>
  <si>
    <t>3946_1</t>
  </si>
  <si>
    <t>ENSG00000127990</t>
  </si>
  <si>
    <t>ENST00000428696_Acinonyx_jubatus_zoonomia</t>
  </si>
  <si>
    <t>3947_1</t>
  </si>
  <si>
    <t>ENSG00000108826</t>
  </si>
  <si>
    <t>3952_2</t>
  </si>
  <si>
    <t>ENSG00000063245</t>
  </si>
  <si>
    <t>3952_3</t>
  </si>
  <si>
    <t>ENSG00000072134</t>
  </si>
  <si>
    <t>ENST00000395626_Acinonyx_jubatus_zoonomia</t>
  </si>
  <si>
    <t>3952_5</t>
  </si>
  <si>
    <t>ENSG00000113282</t>
  </si>
  <si>
    <t>ENST00000411809_Acinonyx_jubatus_zoonomia</t>
  </si>
  <si>
    <t>3954_1</t>
  </si>
  <si>
    <t>ENSG00000006282</t>
  </si>
  <si>
    <t>3955_11</t>
  </si>
  <si>
    <t>ENSG00000185313</t>
  </si>
  <si>
    <t>ENST00000449082_Acinonyx_jubatus_zoonomia</t>
  </si>
  <si>
    <t>3955_14</t>
  </si>
  <si>
    <t>ENSG00000102452</t>
  </si>
  <si>
    <t>ENST00000251127_Acinonyx_jubatus_zoonomia</t>
  </si>
  <si>
    <t>3955_1</t>
  </si>
  <si>
    <t>ENSG00000196557</t>
  </si>
  <si>
    <t>ENST00000348261_Acinonyx_jubatus_zoonomia</t>
  </si>
  <si>
    <t>3955_3</t>
  </si>
  <si>
    <t>ENSG00000006283</t>
  </si>
  <si>
    <t>3955_4</t>
  </si>
  <si>
    <t>ENSG00000153253</t>
  </si>
  <si>
    <t>3955_7</t>
  </si>
  <si>
    <t>ENSG00000144285</t>
  </si>
  <si>
    <t>In_file_3955_5</t>
  </si>
  <si>
    <t>ENSG00000169432</t>
  </si>
  <si>
    <t>3960_1</t>
  </si>
  <si>
    <t>ENSG00000108848</t>
  </si>
  <si>
    <t>3961_1</t>
  </si>
  <si>
    <t>ENSG00000007392</t>
  </si>
  <si>
    <t>3961_2</t>
  </si>
  <si>
    <t>ENSG00000146963</t>
  </si>
  <si>
    <t>ENSG00000269955</t>
  </si>
  <si>
    <t>3968_1</t>
  </si>
  <si>
    <t>ENSG00000183864</t>
  </si>
  <si>
    <t>ENST00000327492_Acinonyx_jubatus_zoonomia</t>
  </si>
  <si>
    <t>3971_6</t>
  </si>
  <si>
    <t>ENSG00000103202</t>
  </si>
  <si>
    <t>3978_1</t>
  </si>
  <si>
    <t>ENSG00000175662</t>
  </si>
  <si>
    <t>3980_1</t>
  </si>
  <si>
    <t>ENSG00000100083</t>
  </si>
  <si>
    <t>In_file_3980_3</t>
  </si>
  <si>
    <t>3980_2</t>
  </si>
  <si>
    <t>ENSG00000125447</t>
  </si>
  <si>
    <t>ENST00000537686_Acinonyx_jubatus_zoonomia</t>
  </si>
  <si>
    <t>3980_3</t>
  </si>
  <si>
    <t>ENSG00000103365</t>
  </si>
  <si>
    <t>3984_3</t>
  </si>
  <si>
    <t>ENSG00000167074</t>
  </si>
  <si>
    <t>3993_1</t>
  </si>
  <si>
    <t>ENSG00000163848</t>
  </si>
  <si>
    <t>3995_1</t>
  </si>
  <si>
    <t>ENSG00000139651</t>
  </si>
  <si>
    <t>3997_1</t>
  </si>
  <si>
    <t>ENSG00000162627</t>
  </si>
  <si>
    <t>ENST00000306121_Acinonyx_jubatus_zoonomia</t>
  </si>
  <si>
    <t>3998_2</t>
  </si>
  <si>
    <t>ENSG00000021762</t>
  </si>
  <si>
    <t>3999_1</t>
  </si>
  <si>
    <t>ENSG00000145491</t>
  </si>
  <si>
    <t>ENST00000274134_Acinonyx_jubatus_zoonomia</t>
  </si>
  <si>
    <t>4000_1</t>
  </si>
  <si>
    <t>ENSG00000070476</t>
  </si>
  <si>
    <t>4000_2</t>
  </si>
  <si>
    <t>ENSG00000198205</t>
  </si>
  <si>
    <t>ENSG00000198455</t>
  </si>
  <si>
    <t>4002_3</t>
  </si>
  <si>
    <t>ENSG00000171310</t>
  </si>
  <si>
    <t>ENST00000303694_Acinonyx_jubatus_zoonomia</t>
  </si>
  <si>
    <t>4002_5</t>
  </si>
  <si>
    <t>ENSG00000124302</t>
  </si>
  <si>
    <t>4018_1</t>
  </si>
  <si>
    <t>ENSG00000132394</t>
  </si>
  <si>
    <t>4019_1</t>
  </si>
  <si>
    <t>ENSG00000178952</t>
  </si>
  <si>
    <t>4020_5</t>
  </si>
  <si>
    <t>ENSG00000103342</t>
  </si>
  <si>
    <t>4022_4</t>
  </si>
  <si>
    <t>ENSG00000130741</t>
  </si>
  <si>
    <t>In_file_4022_5</t>
  </si>
  <si>
    <t>ENSG00000180574</t>
  </si>
  <si>
    <t>4029_3</t>
  </si>
  <si>
    <t>ENSG00000087008</t>
  </si>
  <si>
    <t>4033_1</t>
  </si>
  <si>
    <t>ENSG00000203618</t>
  </si>
  <si>
    <t>4035_1</t>
  </si>
  <si>
    <t>ENSG00000169714</t>
  </si>
  <si>
    <t>4037_1</t>
  </si>
  <si>
    <t>ENSG00000183624</t>
  </si>
  <si>
    <t>4043_2</t>
  </si>
  <si>
    <t>ENSG00000172765</t>
  </si>
  <si>
    <t>ENST00000393238_Acinonyx_jubatus_zoonomia</t>
  </si>
  <si>
    <t>4046_1</t>
  </si>
  <si>
    <t>ENSG00000033011</t>
  </si>
  <si>
    <t>ENSG00000189366</t>
  </si>
  <si>
    <t>ENSG00000251287</t>
  </si>
  <si>
    <t>4049_1</t>
  </si>
  <si>
    <t>ENSG00000168101</t>
  </si>
  <si>
    <t>ENST00000304301_Acinonyx_jubatus_zoonomia</t>
  </si>
  <si>
    <t>4049_2</t>
  </si>
  <si>
    <t>ENSG00000198585</t>
  </si>
  <si>
    <t>ENST00000521288_Acinonyx_jubatus_zoonomia</t>
  </si>
  <si>
    <t>4054_1</t>
  </si>
  <si>
    <t>ENSG00000114686</t>
  </si>
  <si>
    <t>4057_1</t>
  </si>
  <si>
    <t>ENSG00000081307</t>
  </si>
  <si>
    <t>4059_5</t>
  </si>
  <si>
    <t>ENSG00000104892</t>
  </si>
  <si>
    <t>4061_2</t>
  </si>
  <si>
    <t>ENSG00000160360</t>
  </si>
  <si>
    <t>ENST00000440944_Acinonyx_jubatus_zoonomia</t>
  </si>
  <si>
    <t>4065_1</t>
  </si>
  <si>
    <t>ENSG00000012223</t>
  </si>
  <si>
    <t>In_file_4065_3</t>
  </si>
  <si>
    <t>ENSG00000163975</t>
  </si>
  <si>
    <t>4066_1</t>
  </si>
  <si>
    <t>ENSG00000144867</t>
  </si>
  <si>
    <t>4072_1</t>
  </si>
  <si>
    <t>ENSG00000073711</t>
  </si>
  <si>
    <t>ENSG00000167393</t>
  </si>
  <si>
    <t>ENST00000390665_Acinonyx_jubatus_zoonomia</t>
  </si>
  <si>
    <t>4075_1</t>
  </si>
  <si>
    <t>ENSG00000174579</t>
  </si>
  <si>
    <t>4076_2</t>
  </si>
  <si>
    <t>ENSG00000101972</t>
  </si>
  <si>
    <t>408_12</t>
  </si>
  <si>
    <t>ENSG00000080823</t>
  </si>
  <si>
    <t>408_13</t>
  </si>
  <si>
    <t>ENSG00000135446</t>
  </si>
  <si>
    <t>408_16</t>
  </si>
  <si>
    <t>ENSG00000102225</t>
  </si>
  <si>
    <t>ENST00000457458_Acinonyx_jubatus_zoonomia</t>
  </si>
  <si>
    <t>408_1</t>
  </si>
  <si>
    <t>ENSG00000065883</t>
  </si>
  <si>
    <t>4082_1</t>
  </si>
  <si>
    <t>ENSG00000254093</t>
  </si>
  <si>
    <t>ENSG00000258724</t>
  </si>
  <si>
    <t>ENST00000554914_Acinonyx_jubatus_zoonomia</t>
  </si>
  <si>
    <t>408_25</t>
  </si>
  <si>
    <t>ENSG00000008128</t>
  </si>
  <si>
    <t>ENST00000357760_Acinonyx_jubatus_zoonomia</t>
  </si>
  <si>
    <t>ENSG00000248333</t>
  </si>
  <si>
    <t>ENST00000341832_Acinonyx_jubatus_zoonomia</t>
  </si>
  <si>
    <t>408_29</t>
  </si>
  <si>
    <t>ENSG00000008086</t>
  </si>
  <si>
    <t>ENST00000379989_Acinonyx_jubatus_zoonomia</t>
  </si>
  <si>
    <t>ENSG00000132964</t>
  </si>
  <si>
    <t>408_2</t>
  </si>
  <si>
    <t>ENSG00000167258</t>
  </si>
  <si>
    <t>ENST00000430627_Acinonyx_jubatus_zoonomia</t>
  </si>
  <si>
    <t>4084_1</t>
  </si>
  <si>
    <t>ENSG00000100146</t>
  </si>
  <si>
    <t>ENST00000446929_Acinonyx_jubatus_zoonomia</t>
  </si>
  <si>
    <t>4084_3</t>
  </si>
  <si>
    <t>ENSG00000005513</t>
  </si>
  <si>
    <t>ENST00000293894_Acinonyx_jubatus_zoonomia</t>
  </si>
  <si>
    <t>4086_3</t>
  </si>
  <si>
    <t>ENSG00000143842</t>
  </si>
  <si>
    <t>ENST00000367204_Acinonyx_jubatus_zoonomia</t>
  </si>
  <si>
    <t>408_8</t>
  </si>
  <si>
    <t>408_9</t>
  </si>
  <si>
    <t>ENSG00000156345</t>
  </si>
  <si>
    <t>4090_1</t>
  </si>
  <si>
    <t>ENSG00000134874</t>
  </si>
  <si>
    <t>ENST00000347108_Acinonyx_jubatus_zoonomia</t>
  </si>
  <si>
    <t>409_11</t>
  </si>
  <si>
    <t>ENSG00000166484</t>
  </si>
  <si>
    <t>ENST00000308406_Acinonyx_jubatus_zoonomia</t>
  </si>
  <si>
    <t>409_12</t>
  </si>
  <si>
    <t>ENSG00000087095</t>
  </si>
  <si>
    <t>409_2</t>
  </si>
  <si>
    <t>ENSG00000156711</t>
  </si>
  <si>
    <t>4096_3</t>
  </si>
  <si>
    <t>ENSG00000164674</t>
  </si>
  <si>
    <t>ENST00000297239_Acinonyx_jubatus_zoonomia</t>
  </si>
  <si>
    <t>4096_4</t>
  </si>
  <si>
    <t>ENSG00000142765</t>
  </si>
  <si>
    <t>ENST00000318074_Acinonyx_jubatus_zoonomia</t>
  </si>
  <si>
    <t>4096_5</t>
  </si>
  <si>
    <t>ENSG00000137501</t>
  </si>
  <si>
    <t>ENST00000316356_Acinonyx_jubatus_zoonomia</t>
  </si>
  <si>
    <t>4098_1</t>
  </si>
  <si>
    <t>ENSG00000089169</t>
  </si>
  <si>
    <t>ENST00000389385_Acinonyx_jubatus_zoonomia</t>
  </si>
  <si>
    <t>4098_2</t>
  </si>
  <si>
    <t>ENSG00000272636</t>
  </si>
  <si>
    <t>4098_3</t>
  </si>
  <si>
    <t>ENSG00000149927</t>
  </si>
  <si>
    <t>4099_10</t>
  </si>
  <si>
    <t>ENSG00000143858</t>
  </si>
  <si>
    <t>4099_3</t>
  </si>
  <si>
    <t>ENSG00000011347</t>
  </si>
  <si>
    <t>ENST00000263846_Acinonyx_jubatus_zoonomia</t>
  </si>
  <si>
    <t>409_9</t>
  </si>
  <si>
    <t>ENSG00000102882</t>
  </si>
  <si>
    <t>410_2</t>
  </si>
  <si>
    <t>ENSG00000105723</t>
  </si>
  <si>
    <t>ENST00000222330_Acinonyx_jubatus_zoonomia</t>
  </si>
  <si>
    <t>ENSG00000268643</t>
  </si>
  <si>
    <t>ENST00000594664_Acinonyx_jubatus_zoonomia</t>
  </si>
  <si>
    <t>410_3</t>
  </si>
  <si>
    <t>4110_1</t>
  </si>
  <si>
    <t>ENSG00000047056</t>
  </si>
  <si>
    <t>ENST00000263150_Acinonyx_jubatus_zoonomia</t>
  </si>
  <si>
    <t>4111_1</t>
  </si>
  <si>
    <t>ENSG00000155890</t>
  </si>
  <si>
    <t>ENST00000286349_Acinonyx_jubatus_zoonomia</t>
  </si>
  <si>
    <t>4114_1</t>
  </si>
  <si>
    <t>ENSG00000111344</t>
  </si>
  <si>
    <t>ENST00000261729_Acinonyx_jubatus_zoonomia</t>
  </si>
  <si>
    <t>4114_2</t>
  </si>
  <si>
    <t>ENSG00000105808</t>
  </si>
  <si>
    <t>ENSG00000170667</t>
  </si>
  <si>
    <t>4114_6</t>
  </si>
  <si>
    <t>ENSG00000185989</t>
  </si>
  <si>
    <t>4116_1</t>
  </si>
  <si>
    <t>ENSG00000145715</t>
  </si>
  <si>
    <t>ENST00000274376_Acinonyx_jubatus_zoonomia</t>
  </si>
  <si>
    <t>4116_3</t>
  </si>
  <si>
    <t>ENSG00000136848</t>
  </si>
  <si>
    <t>ENST00000259371_Acinonyx_jubatus_zoonomia</t>
  </si>
  <si>
    <t>4116_4</t>
  </si>
  <si>
    <t>ENSG00000197283</t>
  </si>
  <si>
    <t>ENST00000629380_Acinonyx_jubatus_zoonomia</t>
  </si>
  <si>
    <t>4118_1</t>
  </si>
  <si>
    <t>ENSG00000114125</t>
  </si>
  <si>
    <t>4120_2</t>
  </si>
  <si>
    <t>ENSG00000069849</t>
  </si>
  <si>
    <t>4122_1</t>
  </si>
  <si>
    <t>ENSG00000114126</t>
  </si>
  <si>
    <t>4127_1</t>
  </si>
  <si>
    <t>ENSG00000147119</t>
  </si>
  <si>
    <t>4127_2</t>
  </si>
  <si>
    <t>ENSG00000175040</t>
  </si>
  <si>
    <t>4127_3</t>
  </si>
  <si>
    <t>ENSG00000135702</t>
  </si>
  <si>
    <t>ENST00000565039_Acinonyx_jubatus_zoonomia</t>
  </si>
  <si>
    <t>ENSG00000183196</t>
  </si>
  <si>
    <t>ENST00000332272_Acinonyx_jubatus_zoonomia</t>
  </si>
  <si>
    <t>4127_6</t>
  </si>
  <si>
    <t>ENSG00000122863</t>
  </si>
  <si>
    <t>ENST00000373115_Acinonyx_jubatus_zoonomia</t>
  </si>
  <si>
    <t>4131_2</t>
  </si>
  <si>
    <t>ENSG00000147113</t>
  </si>
  <si>
    <t>4132_4</t>
  </si>
  <si>
    <t>ENSG00000163746</t>
  </si>
  <si>
    <t>In_file_4132_3</t>
  </si>
  <si>
    <t>4138_1</t>
  </si>
  <si>
    <t>ENSG00000114744</t>
  </si>
  <si>
    <t>4143_1</t>
  </si>
  <si>
    <t>ENSG00000108375</t>
  </si>
  <si>
    <t>4143_2</t>
  </si>
  <si>
    <t>ENSG00000183579</t>
  </si>
  <si>
    <t>4144_1</t>
  </si>
  <si>
    <t>ENSG00000070087</t>
  </si>
  <si>
    <t>4146_1</t>
  </si>
  <si>
    <t>ENSG00000196570</t>
  </si>
  <si>
    <t>ENST00000358571_Acinonyx_jubatus_zoonomia</t>
  </si>
  <si>
    <t>4148_1</t>
  </si>
  <si>
    <t>ENSG00000157514</t>
  </si>
  <si>
    <t>4150_1</t>
  </si>
  <si>
    <t>ENSG00000185955</t>
  </si>
  <si>
    <t>4160_1</t>
  </si>
  <si>
    <t>ENSG00000213906</t>
  </si>
  <si>
    <t>ENST00000528054_Acinonyx_jubatus_zoonomia</t>
  </si>
  <si>
    <t>416_13</t>
  </si>
  <si>
    <t>ENSG00000010219</t>
  </si>
  <si>
    <t>4162_2</t>
  </si>
  <si>
    <t>ENSG00000140829</t>
  </si>
  <si>
    <t>ENST00000268482_Acinonyx_jubatus_zoonomia</t>
  </si>
  <si>
    <t>4162_5</t>
  </si>
  <si>
    <t>ENSG00000101452</t>
  </si>
  <si>
    <t>4166_1</t>
  </si>
  <si>
    <t>ENSG00000174928</t>
  </si>
  <si>
    <t>416_6</t>
  </si>
  <si>
    <t>ENSG00000013441</t>
  </si>
  <si>
    <t>4167_1</t>
  </si>
  <si>
    <t>ENSG00000169359</t>
  </si>
  <si>
    <t>ENST00000359479_Acinonyx_jubatus_zoonomia</t>
  </si>
  <si>
    <t>416_7</t>
  </si>
  <si>
    <t>ENSG00000176444</t>
  </si>
  <si>
    <t>ENST00000355560_Acinonyx_jubatus_zoonomia</t>
  </si>
  <si>
    <t>4168_1</t>
  </si>
  <si>
    <t>ENSG00000163655</t>
  </si>
  <si>
    <t>4169_1</t>
  </si>
  <si>
    <t>ENSG00000114850</t>
  </si>
  <si>
    <t>416_9</t>
  </si>
  <si>
    <t>ENSG00000157540</t>
  </si>
  <si>
    <t>4178_1</t>
  </si>
  <si>
    <t>ENSG00000112237</t>
  </si>
  <si>
    <t>418_1</t>
  </si>
  <si>
    <t>ENSG00000101266</t>
  </si>
  <si>
    <t>ENSG00000254598</t>
  </si>
  <si>
    <t>418_2</t>
  </si>
  <si>
    <t>In_file_418_1</t>
  </si>
  <si>
    <t>4186_1</t>
  </si>
  <si>
    <t>ENSG00000185960</t>
  </si>
  <si>
    <t>ENST00000334060_Acinonyx_jubatus_zoonomia</t>
  </si>
  <si>
    <t>4188_1</t>
  </si>
  <si>
    <t>ENSG00000004848</t>
  </si>
  <si>
    <t>ENST00000379044_Acinonyx_jubatus_zoonomia</t>
  </si>
  <si>
    <t>4189_3</t>
  </si>
  <si>
    <t>ENSG00000156150</t>
  </si>
  <si>
    <t>4193_1</t>
  </si>
  <si>
    <t>ENSG00000109132</t>
  </si>
  <si>
    <t>4196_1</t>
  </si>
  <si>
    <t>ENSG00000165606</t>
  </si>
  <si>
    <t>4197_1</t>
  </si>
  <si>
    <t>ENSG00000069011</t>
  </si>
  <si>
    <t>ENST00000265340_Acinonyx_jubatus_zoonomia</t>
  </si>
  <si>
    <t>4197_2</t>
  </si>
  <si>
    <t>ENSG00000164093</t>
  </si>
  <si>
    <t>4197_3</t>
  </si>
  <si>
    <t>ENSG00000107859</t>
  </si>
  <si>
    <t>ENST00000370002_Acinonyx_jubatus_zoonomia</t>
  </si>
  <si>
    <t>4200_2</t>
  </si>
  <si>
    <t>ENSG00000167157</t>
  </si>
  <si>
    <t>4205_1</t>
  </si>
  <si>
    <t>ENSG00000171540</t>
  </si>
  <si>
    <t>4219_1</t>
  </si>
  <si>
    <t>ENSG00000180044</t>
  </si>
  <si>
    <t>4222_2</t>
  </si>
  <si>
    <t>ENSG00000108055</t>
  </si>
  <si>
    <t>ENST00000361804_Acinonyx_jubatus_zoonomia</t>
  </si>
  <si>
    <t>4223_1</t>
  </si>
  <si>
    <t>ENSG00000077327</t>
  </si>
  <si>
    <t>4224_1</t>
  </si>
  <si>
    <t>ENSG00000163590</t>
  </si>
  <si>
    <t>4229_1</t>
  </si>
  <si>
    <t>ENSG00000115241</t>
  </si>
  <si>
    <t>4233_2</t>
  </si>
  <si>
    <t>ENSG00000196338</t>
  </si>
  <si>
    <t>ENST00000358741_Acinonyx_jubatus_zoonomia</t>
  </si>
  <si>
    <t>4233_4</t>
  </si>
  <si>
    <t>ENSG00000146938</t>
  </si>
  <si>
    <t>ENSG00000165246</t>
  </si>
  <si>
    <t>4234_1</t>
  </si>
  <si>
    <t>ENSG00000042832</t>
  </si>
  <si>
    <t>4237_1</t>
  </si>
  <si>
    <t>ENSG00000114209</t>
  </si>
  <si>
    <t>4242_1</t>
  </si>
  <si>
    <t>ENSG00000158077</t>
  </si>
  <si>
    <t>ENSG00000179709</t>
  </si>
  <si>
    <t>ENST00000291971_Acinonyx_jubatus_zoonomia</t>
  </si>
  <si>
    <t>4242_6</t>
  </si>
  <si>
    <t>ENSG00000171487</t>
  </si>
  <si>
    <t>4242_7</t>
  </si>
  <si>
    <t>ENSG00000182261</t>
  </si>
  <si>
    <t>ENST00000328600_Acinonyx_jubatus_zoonomia</t>
  </si>
  <si>
    <t>4242_9</t>
  </si>
  <si>
    <t>ENSG00000142405</t>
  </si>
  <si>
    <t>4243_1</t>
  </si>
  <si>
    <t>ENSG00000167634</t>
  </si>
  <si>
    <t>ENST00000328092_Acinonyx_jubatus_zoonomia</t>
  </si>
  <si>
    <t>4247_1</t>
  </si>
  <si>
    <t>ENSG00000140853</t>
  </si>
  <si>
    <t>425_1</t>
  </si>
  <si>
    <t>ENSG00000166965</t>
  </si>
  <si>
    <t>4252_1</t>
  </si>
  <si>
    <t>ENSG00000008952</t>
  </si>
  <si>
    <t>4254_1</t>
  </si>
  <si>
    <t>ENSG00000136603</t>
  </si>
  <si>
    <t>4254_2</t>
  </si>
  <si>
    <t>ENSG00000157933</t>
  </si>
  <si>
    <t>ENST00000378536_Acinonyx_jubatus_zoonomia</t>
  </si>
  <si>
    <t>4256_1</t>
  </si>
  <si>
    <t>ENSG00000215474</t>
  </si>
  <si>
    <t>4256_2</t>
  </si>
  <si>
    <t>ENSG00000188779</t>
  </si>
  <si>
    <t>ENST00000341418_Acinonyx_jubatus_zoonomia</t>
  </si>
  <si>
    <t>4258_2</t>
  </si>
  <si>
    <t>ENSG00000129219</t>
  </si>
  <si>
    <t>4260_1</t>
  </si>
  <si>
    <t>ENSG00000117560</t>
  </si>
  <si>
    <t>ENST00000367721_Acinonyx_jubatus_zoonomia</t>
  </si>
  <si>
    <t>4264_1</t>
  </si>
  <si>
    <t>ENSG00000163939</t>
  </si>
  <si>
    <t>ENST00000296302_Acinonyx_jubatus_zoonomia</t>
  </si>
  <si>
    <t>4271_1</t>
  </si>
  <si>
    <t>ENSG00000070404</t>
  </si>
  <si>
    <t>ENST00000166139_Acinonyx_jubatus_zoonomia</t>
  </si>
  <si>
    <t>4274_1</t>
  </si>
  <si>
    <t>ENSG00000078808</t>
  </si>
  <si>
    <t>4275_1</t>
  </si>
  <si>
    <t>ENSG00000049449</t>
  </si>
  <si>
    <t>ENSG00000285283</t>
  </si>
  <si>
    <t>4275_4</t>
  </si>
  <si>
    <t>ENSG00000128595</t>
  </si>
  <si>
    <t>4275_5</t>
  </si>
  <si>
    <t>ENSG00000142552</t>
  </si>
  <si>
    <t>ENST00000598833_Acinonyx_jubatus_zoonomia</t>
  </si>
  <si>
    <t>4276_3</t>
  </si>
  <si>
    <t>ENSG00000004975</t>
  </si>
  <si>
    <t>4278_1</t>
  </si>
  <si>
    <t>ENSG00000100124</t>
  </si>
  <si>
    <t>ENST00000215941_Acinonyx_jubatus_zoonomia</t>
  </si>
  <si>
    <t>428_1</t>
  </si>
  <si>
    <t>ENSG00000005700</t>
  </si>
  <si>
    <t>4284_1</t>
  </si>
  <si>
    <t>ENSG00000105507</t>
  </si>
  <si>
    <t>4288_1</t>
  </si>
  <si>
    <t>ENSG00000100314</t>
  </si>
  <si>
    <t>429_1</t>
  </si>
  <si>
    <t>ENSG00000003393</t>
  </si>
  <si>
    <t>ENST00000264276_Acinonyx_jubatus_zoonomia</t>
  </si>
  <si>
    <t>4293_1</t>
  </si>
  <si>
    <t>ENSG00000177674</t>
  </si>
  <si>
    <t>ENST00000510878_Acinonyx_jubatus_zoonomia</t>
  </si>
  <si>
    <t>4296_1</t>
  </si>
  <si>
    <t>ENSG00000170967</t>
  </si>
  <si>
    <t>4296_2</t>
  </si>
  <si>
    <t>ENSG00000197312</t>
  </si>
  <si>
    <t>ENST00000480945_Acinonyx_jubatus_zoonomia</t>
  </si>
  <si>
    <t>4300_2</t>
  </si>
  <si>
    <t>ENSG00000236104</t>
  </si>
  <si>
    <t>ENST00000418724_Acinonyx_jubatus_zoonomia</t>
  </si>
  <si>
    <t>4302_1</t>
  </si>
  <si>
    <t>ENSG00000171448</t>
  </si>
  <si>
    <t>ENSG00000204366</t>
  </si>
  <si>
    <t>In_file_4302_3</t>
  </si>
  <si>
    <t>430_3</t>
  </si>
  <si>
    <t>ENSG00000117115</t>
  </si>
  <si>
    <t>4305_2</t>
  </si>
  <si>
    <t>ENSG00000161940</t>
  </si>
  <si>
    <t>ENST00000293805_Acinonyx_jubatus_zoonomia</t>
  </si>
  <si>
    <t>4310_2</t>
  </si>
  <si>
    <t>ENSG00000169991</t>
  </si>
  <si>
    <t>4313_1</t>
  </si>
  <si>
    <t>ENSG00000127463</t>
  </si>
  <si>
    <t>4324_1</t>
  </si>
  <si>
    <t>ENSG00000143147</t>
  </si>
  <si>
    <t>ENST00000546300_Acinonyx_jubatus_zoonomia</t>
  </si>
  <si>
    <t>4327_1</t>
  </si>
  <si>
    <t>ENSG00000188784</t>
  </si>
  <si>
    <t>ENST00000375116_Acinonyx_jubatus_zoonomia</t>
  </si>
  <si>
    <t>433_1</t>
  </si>
  <si>
    <t>ENSG00000105726</t>
  </si>
  <si>
    <t>ENST00000357324_Acinonyx_jubatus_zoonomia</t>
  </si>
  <si>
    <t>4332_1</t>
  </si>
  <si>
    <t>ENSG00000069764</t>
  </si>
  <si>
    <t>4333_1</t>
  </si>
  <si>
    <t>ENSG00000158786</t>
  </si>
  <si>
    <t>433_4</t>
  </si>
  <si>
    <t>ENSG00000187527</t>
  </si>
  <si>
    <t>ENST00000342358_Acinonyx_jubatus_zoonomia</t>
  </si>
  <si>
    <t>433_5</t>
  </si>
  <si>
    <t>ENSG00000159363</t>
  </si>
  <si>
    <t>ENST00000341676_Acinonyx_jubatus_zoonomia</t>
  </si>
  <si>
    <t>4343_1</t>
  </si>
  <si>
    <t>ENSG00000183114</t>
  </si>
  <si>
    <t>4344_1</t>
  </si>
  <si>
    <t>ENSG00000158825</t>
  </si>
  <si>
    <t>4346_1</t>
  </si>
  <si>
    <t>ENSG00000158828</t>
  </si>
  <si>
    <t>ENST00000321556_Acinonyx_jubatus_zoonomia</t>
  </si>
  <si>
    <t>4348_1</t>
  </si>
  <si>
    <t>ENSG00000189410</t>
  </si>
  <si>
    <t>ENST00000444387_Acinonyx_jubatus_zoonomia</t>
  </si>
  <si>
    <t>4350_2</t>
  </si>
  <si>
    <t>ENSG00000114867</t>
  </si>
  <si>
    <t>4358_1</t>
  </si>
  <si>
    <t>ENSG00000153930</t>
  </si>
  <si>
    <t>4359_1</t>
  </si>
  <si>
    <t>ENSG00000214226</t>
  </si>
  <si>
    <t>436_11</t>
  </si>
  <si>
    <t>ENSG00000074370</t>
  </si>
  <si>
    <t>4361_1</t>
  </si>
  <si>
    <t>ENSG00000137699</t>
  </si>
  <si>
    <t>436_12</t>
  </si>
  <si>
    <t>ENSG00000174437</t>
  </si>
  <si>
    <t>436_3</t>
  </si>
  <si>
    <t>ENSG00000067842</t>
  </si>
  <si>
    <t>In_file_436_1</t>
  </si>
  <si>
    <t>4364_1</t>
  </si>
  <si>
    <t>ENSG00000064601</t>
  </si>
  <si>
    <t>4366_1</t>
  </si>
  <si>
    <t>ENSG00000102317</t>
  </si>
  <si>
    <t>ENST00000376755_Acinonyx_jubatus_zoonomia</t>
  </si>
  <si>
    <t>4367_1</t>
  </si>
  <si>
    <t>ENSG00000132819</t>
  </si>
  <si>
    <t>ENST00000356208_Acinonyx_jubatus_zoonomia</t>
  </si>
  <si>
    <t>4371_1</t>
  </si>
  <si>
    <t>ENSG00000111786</t>
  </si>
  <si>
    <t>4371_2</t>
  </si>
  <si>
    <t>ENSG00000136450</t>
  </si>
  <si>
    <t>4372_1</t>
  </si>
  <si>
    <t>ENSG00000116350</t>
  </si>
  <si>
    <t>ENST00000373795_Acinonyx_jubatus_zoonomia</t>
  </si>
  <si>
    <t>4372_2</t>
  </si>
  <si>
    <t>ENSG00000124193</t>
  </si>
  <si>
    <t>ENST00000662078_Acinonyx_jubatus_zoonomia</t>
  </si>
  <si>
    <t>4375_1</t>
  </si>
  <si>
    <t>ENSG00000239306</t>
  </si>
  <si>
    <t>ENSG00000248643</t>
  </si>
  <si>
    <t>ENST00000500635_Acinonyx_jubatus_zoonomia</t>
  </si>
  <si>
    <t>4377_1</t>
  </si>
  <si>
    <t>ENSG00000264364</t>
  </si>
  <si>
    <t>4378_1</t>
  </si>
  <si>
    <t>ENSG00000100246</t>
  </si>
  <si>
    <t>ENST00000216068_Acinonyx_jubatus_zoonomia</t>
  </si>
  <si>
    <t>4380_2</t>
  </si>
  <si>
    <t>ENSG00000005379</t>
  </si>
  <si>
    <t>ENST00000268893_Acinonyx_jubatus_zoonomia</t>
  </si>
  <si>
    <t>4384_1</t>
  </si>
  <si>
    <t>ENSG00000099999</t>
  </si>
  <si>
    <t>ENST00000382363_Acinonyx_jubatus_zoonomia</t>
  </si>
  <si>
    <t>4385_1</t>
  </si>
  <si>
    <t>ENSG00000176160</t>
  </si>
  <si>
    <t>4386_2</t>
  </si>
  <si>
    <t>ENSG00000157077</t>
  </si>
  <si>
    <t>ENST00000287727_Acinonyx_jubatus_zoonomia</t>
  </si>
  <si>
    <t>4388_10</t>
  </si>
  <si>
    <t>ENSG00000138758</t>
  </si>
  <si>
    <t>4388_5</t>
  </si>
  <si>
    <t>ENSG00000184702</t>
  </si>
  <si>
    <t>4388_7</t>
  </si>
  <si>
    <t>ENSG00000168385</t>
  </si>
  <si>
    <t>4388_8</t>
  </si>
  <si>
    <t>ENSG00000122545</t>
  </si>
  <si>
    <t>4388_9</t>
  </si>
  <si>
    <t>ENSG00000125354</t>
  </si>
  <si>
    <t>ENST00000354228_Acinonyx_jubatus_zoonomia</t>
  </si>
  <si>
    <t>439_3</t>
  </si>
  <si>
    <t>ENSG00000130270</t>
  </si>
  <si>
    <t>ENST00000310127_Acinonyx_jubatus_zoonomia</t>
  </si>
  <si>
    <t>4395_1</t>
  </si>
  <si>
    <t>ENSG00000089289</t>
  </si>
  <si>
    <t>ENST00000342206_Acinonyx_jubatus_zoonomia</t>
  </si>
  <si>
    <t>ENSG00000266826</t>
  </si>
  <si>
    <t>ENST00000583666_Acinonyx_jubatus_zoonomia</t>
  </si>
  <si>
    <t>4399_1</t>
  </si>
  <si>
    <t>ENSG00000167447</t>
  </si>
  <si>
    <t>4399_2</t>
  </si>
  <si>
    <t>ENSG00000265303</t>
  </si>
  <si>
    <t>4401_1</t>
  </si>
  <si>
    <t>ENSG00000166793</t>
  </si>
  <si>
    <t>ENST00000534810_Acinonyx_jubatus_zoonomia</t>
  </si>
  <si>
    <t>4403_1</t>
  </si>
  <si>
    <t>ENSG00000119801</t>
  </si>
  <si>
    <t>4407_1</t>
  </si>
  <si>
    <t>ENSG00000062716</t>
  </si>
  <si>
    <t>4412_1</t>
  </si>
  <si>
    <t>ENSG00000141376</t>
  </si>
  <si>
    <t>ENST00000390652_Acinonyx_jubatus_zoonomia</t>
  </si>
  <si>
    <t>4413_13</t>
  </si>
  <si>
    <t>ENSG00000092607</t>
  </si>
  <si>
    <t>4413_14</t>
  </si>
  <si>
    <t>ENSG00000112837</t>
  </si>
  <si>
    <t>4413_15</t>
  </si>
  <si>
    <t>ENSG00000122145</t>
  </si>
  <si>
    <t>ENST00000373294_Acinonyx_jubatus_zoonomia</t>
  </si>
  <si>
    <t>4413_1</t>
  </si>
  <si>
    <t>In_file_4413_13</t>
  </si>
  <si>
    <t>ENSG00000136535</t>
  </si>
  <si>
    <t>4413_7</t>
  </si>
  <si>
    <t>ENSG00000121068</t>
  </si>
  <si>
    <t>ENST00000240328_Acinonyx_jubatus_zoonomia</t>
  </si>
  <si>
    <t>4413_9</t>
  </si>
  <si>
    <t>ENSG00000121075</t>
  </si>
  <si>
    <t>4420_1</t>
  </si>
  <si>
    <t>ENSG00000136492</t>
  </si>
  <si>
    <t>4422_1</t>
  </si>
  <si>
    <t>ENSG00000104884</t>
  </si>
  <si>
    <t>4423_1</t>
  </si>
  <si>
    <t>ENSG00000108506</t>
  </si>
  <si>
    <t>4424_2</t>
  </si>
  <si>
    <t>ENSG00000108510</t>
  </si>
  <si>
    <t>ENST00000397786_Acinonyx_jubatus_zoonomia</t>
  </si>
  <si>
    <t>4428_2</t>
  </si>
  <si>
    <t>ENSG00000198586</t>
  </si>
  <si>
    <t>4430_6</t>
  </si>
  <si>
    <t>ENSG00000140511</t>
  </si>
  <si>
    <t>ENST00000562889_Acinonyx_jubatus_zoonomia</t>
  </si>
  <si>
    <t>4430_8</t>
  </si>
  <si>
    <t>ENSG00000187664</t>
  </si>
  <si>
    <t>4430_9</t>
  </si>
  <si>
    <t>ENSG00000132692</t>
  </si>
  <si>
    <t>In_file_4430_2</t>
  </si>
  <si>
    <t>ENSG00000157766</t>
  </si>
  <si>
    <t>In_file_4430_3</t>
  </si>
  <si>
    <t>4435_1</t>
  </si>
  <si>
    <t>ENSG00000261210</t>
  </si>
  <si>
    <t>4437_2</t>
  </si>
  <si>
    <t>ENSG00000166527</t>
  </si>
  <si>
    <t>4438_2</t>
  </si>
  <si>
    <t>ENSG00000198178</t>
  </si>
  <si>
    <t>In_file_4438_1</t>
  </si>
  <si>
    <t>ENSG00000205846</t>
  </si>
  <si>
    <t>4446_1</t>
  </si>
  <si>
    <t>ENSG00000162144</t>
  </si>
  <si>
    <t>4448_2</t>
  </si>
  <si>
    <t>ENSG00000159640</t>
  </si>
  <si>
    <t>ENST00000290866_Acinonyx_jubatus_zoonomia</t>
  </si>
  <si>
    <t>4451_1</t>
  </si>
  <si>
    <t>ENSG00000136485</t>
  </si>
  <si>
    <t>4453_1</t>
  </si>
  <si>
    <t>ENSG00000108588</t>
  </si>
  <si>
    <t>4454_1</t>
  </si>
  <si>
    <t>ENSG00000136488</t>
  </si>
  <si>
    <t>In_file_4454_2</t>
  </si>
  <si>
    <t>ENSG00000213218</t>
  </si>
  <si>
    <t>ENSG00000259384</t>
  </si>
  <si>
    <t>ENSG00000285947</t>
  </si>
  <si>
    <t>4454_2</t>
  </si>
  <si>
    <t>ENSG00000204414</t>
  </si>
  <si>
    <t>4454_4</t>
  </si>
  <si>
    <t>4457_1</t>
  </si>
  <si>
    <t>ENSG00000007312</t>
  </si>
  <si>
    <t>4458_1</t>
  </si>
  <si>
    <t>ENSG00000172179</t>
  </si>
  <si>
    <t>4464_1</t>
  </si>
  <si>
    <t>ENSG00000175294</t>
  </si>
  <si>
    <t>ENST00000312106_Acinonyx_jubatus_zoonomia</t>
  </si>
  <si>
    <t>4465_1</t>
  </si>
  <si>
    <t>ENSG00000224383</t>
  </si>
  <si>
    <t>4467_3</t>
  </si>
  <si>
    <t>ENSG00000178607</t>
  </si>
  <si>
    <t>4469_1</t>
  </si>
  <si>
    <t>ENSG00000261371</t>
  </si>
  <si>
    <t>ENST00000563924_Acinonyx_jubatus_zoonomia</t>
  </si>
  <si>
    <t>4471_1</t>
  </si>
  <si>
    <t>ENSG00000173809</t>
  </si>
  <si>
    <t>ENST00000647536_Acinonyx_jubatus_zoonomia</t>
  </si>
  <si>
    <t>4472_1</t>
  </si>
  <si>
    <t>ENSG00000108469</t>
  </si>
  <si>
    <t>ENST00000317905_Acinonyx_jubatus_zoonomia</t>
  </si>
  <si>
    <t>4475_1</t>
  </si>
  <si>
    <t>ENSG00000182901</t>
  </si>
  <si>
    <t>4475_3</t>
  </si>
  <si>
    <t>ENSG00000108370</t>
  </si>
  <si>
    <t>4479_1</t>
  </si>
  <si>
    <t>ENSG00000169220</t>
  </si>
  <si>
    <t>ENST00000408923_Acinonyx_jubatus_zoonomia</t>
  </si>
  <si>
    <t>4480_1</t>
  </si>
  <si>
    <t>ENSG00000147509</t>
  </si>
  <si>
    <t>ENST00000297313_Acinonyx_jubatus_zoonomia</t>
  </si>
  <si>
    <t>4481_1</t>
  </si>
  <si>
    <t>ENSG00000116741</t>
  </si>
  <si>
    <t>4481_2</t>
  </si>
  <si>
    <t>ENSG00000117152</t>
  </si>
  <si>
    <t>ENST00000421743_Acinonyx_jubatus_zoonomia</t>
  </si>
  <si>
    <t>4481_3</t>
  </si>
  <si>
    <t>ENSG00000135824</t>
  </si>
  <si>
    <t>4482_1</t>
  </si>
  <si>
    <t>ENSG00000127074</t>
  </si>
  <si>
    <t>4482_2</t>
  </si>
  <si>
    <t>ENSG00000090104</t>
  </si>
  <si>
    <t>4485_1</t>
  </si>
  <si>
    <t>ENSG00000103126</t>
  </si>
  <si>
    <t>4488_1</t>
  </si>
  <si>
    <t>ENSG00000164061</t>
  </si>
  <si>
    <t>ENST00000296452_Acinonyx_jubatus_zoonomia</t>
  </si>
  <si>
    <t>4488_2</t>
  </si>
  <si>
    <t>ENSG00000186472</t>
  </si>
  <si>
    <t>ENST00000333891_Acinonyx_jubatus_zoonomia</t>
  </si>
  <si>
    <t>4490_1</t>
  </si>
  <si>
    <t>ENSG00000130477</t>
  </si>
  <si>
    <t>In_file_4490_3</t>
  </si>
  <si>
    <t>ENSG00000198722</t>
  </si>
  <si>
    <t>449_1</t>
  </si>
  <si>
    <t>ENSG00000197614</t>
  </si>
  <si>
    <t>4492_4</t>
  </si>
  <si>
    <t>ENSG00000176406</t>
  </si>
  <si>
    <t>ENST00000504942_Acinonyx_jubatus_zoonomia</t>
  </si>
  <si>
    <t>450_1</t>
  </si>
  <si>
    <t>ENSG00000058453</t>
  </si>
  <si>
    <t>ENSG00000226321</t>
  </si>
  <si>
    <t>In_file_450_2</t>
  </si>
  <si>
    <t>4504_1</t>
  </si>
  <si>
    <t>ENSG00000101040</t>
  </si>
  <si>
    <t>ENST00000352431_Acinonyx_jubatus_zoonomia</t>
  </si>
  <si>
    <t>4505_1</t>
  </si>
  <si>
    <t>ENSG00000015171</t>
  </si>
  <si>
    <t>4506_1</t>
  </si>
  <si>
    <t>ENSG00000186665</t>
  </si>
  <si>
    <t>4507_1</t>
  </si>
  <si>
    <t>ENSG00000174945</t>
  </si>
  <si>
    <t>ENSG00000196704</t>
  </si>
  <si>
    <t>ENST00000359783_Acinonyx_jubatus_zoonomia</t>
  </si>
  <si>
    <t>4507_2</t>
  </si>
  <si>
    <t>4509_5</t>
  </si>
  <si>
    <t>ENSG00000170190</t>
  </si>
  <si>
    <t>ENST00000329783_Acinonyx_jubatus_zoonomia</t>
  </si>
  <si>
    <t>4512_2</t>
  </si>
  <si>
    <t>ENSG00000147100</t>
  </si>
  <si>
    <t>4513_1</t>
  </si>
  <si>
    <t>ENSG00000100156</t>
  </si>
  <si>
    <t>ENSG00000141526</t>
  </si>
  <si>
    <t>4517_1</t>
  </si>
  <si>
    <t>ENSG00000141580</t>
  </si>
  <si>
    <t>4518_1</t>
  </si>
  <si>
    <t>ENSG00000243279</t>
  </si>
  <si>
    <t>ENST00000553851_Acinonyx_jubatus_zoonomia</t>
  </si>
  <si>
    <t>4520_3</t>
  </si>
  <si>
    <t>ENSG00000108950</t>
  </si>
  <si>
    <t>4522_1</t>
  </si>
  <si>
    <t>ENSG00000133195</t>
  </si>
  <si>
    <t>4525_1</t>
  </si>
  <si>
    <t>ENSG00000182518</t>
  </si>
  <si>
    <t>ENST00000332132_Acinonyx_jubatus_zoonomia</t>
  </si>
  <si>
    <t>4531_1</t>
  </si>
  <si>
    <t>ENSG00000014164</t>
  </si>
  <si>
    <t>ENST00000262577_Acinonyx_jubatus_zoonomia</t>
  </si>
  <si>
    <t>4553_1</t>
  </si>
  <si>
    <t>ENSG00000163982</t>
  </si>
  <si>
    <t>ENST00000296358_Acinonyx_jubatus_zoonomia</t>
  </si>
  <si>
    <t>4555_2</t>
  </si>
  <si>
    <t>ENSG00000109089</t>
  </si>
  <si>
    <t>ENST00000337231_Acinonyx_jubatus_zoonomia</t>
  </si>
  <si>
    <t>45_5</t>
  </si>
  <si>
    <t>ENSG00000188191</t>
  </si>
  <si>
    <t>4560_2</t>
  </si>
  <si>
    <t>ENSG00000205309</t>
  </si>
  <si>
    <t>ENST00000389022_Acinonyx_jubatus_zoonomia</t>
  </si>
  <si>
    <t>4565_1</t>
  </si>
  <si>
    <t>ENSG00000134030</t>
  </si>
  <si>
    <t>4570_1</t>
  </si>
  <si>
    <t>ENSG00000204323</t>
  </si>
  <si>
    <t>4572_1</t>
  </si>
  <si>
    <t>ENSG00000108479</t>
  </si>
  <si>
    <t>ENST00000225614_Acinonyx_jubatus_zoonomia</t>
  </si>
  <si>
    <t>4574_2</t>
  </si>
  <si>
    <t>ENSG00000132478</t>
  </si>
  <si>
    <t>ENST00000589666_Acinonyx_jubatus_zoonomia</t>
  </si>
  <si>
    <t>4577_1</t>
  </si>
  <si>
    <t>ENSG00000132471</t>
  </si>
  <si>
    <t>ENST00000254806_Acinonyx_jubatus_zoonomia</t>
  </si>
  <si>
    <t>4581_1</t>
  </si>
  <si>
    <t>ENSG00000188878</t>
  </si>
  <si>
    <t>4589_1</t>
  </si>
  <si>
    <t>ENSG00000129646</t>
  </si>
  <si>
    <t>4593_1</t>
  </si>
  <si>
    <t>ENSG00000063176</t>
  </si>
  <si>
    <t>In_file_4593_3</t>
  </si>
  <si>
    <t>4601_1</t>
  </si>
  <si>
    <t>ENSG00000070731</t>
  </si>
  <si>
    <t>ENST00000225276_Acinonyx_jubatus_zoonomia</t>
  </si>
  <si>
    <t>4604_5</t>
  </si>
  <si>
    <t>ENSG00000113532</t>
  </si>
  <si>
    <t>4610_1</t>
  </si>
  <si>
    <t>ENSG00000161547</t>
  </si>
  <si>
    <t>ENST00000359995_Acinonyx_jubatus_zoonomia</t>
  </si>
  <si>
    <t>ENSG00000263465</t>
  </si>
  <si>
    <t>ENST00000587424_Acinonyx_jubatus_zoonomia</t>
  </si>
  <si>
    <t>4612_2</t>
  </si>
  <si>
    <t>ENSG00000167889</t>
  </si>
  <si>
    <t>ENST00000301618_Acinonyx_jubatus_zoonomia</t>
  </si>
  <si>
    <t>4613_2</t>
  </si>
  <si>
    <t>ENSG00000129657</t>
  </si>
  <si>
    <t>ENST00000392476_Acinonyx_jubatus_zoonomia</t>
  </si>
  <si>
    <t>4613_3</t>
  </si>
  <si>
    <t>ENSG00000100003</t>
  </si>
  <si>
    <t>ENSG00000249590</t>
  </si>
  <si>
    <t>ENST00000439023_Acinonyx_jubatus_zoonomia</t>
  </si>
  <si>
    <t>4613_5</t>
  </si>
  <si>
    <t>ENSG00000133488</t>
  </si>
  <si>
    <t>ENST00000255858_Acinonyx_jubatus_zoonomia</t>
  </si>
  <si>
    <t>ENSG00000214491</t>
  </si>
  <si>
    <t>ENST00000402034_Acinonyx_jubatus_zoonomia</t>
  </si>
  <si>
    <t>4616_1</t>
  </si>
  <si>
    <t>ENSG00000141391</t>
  </si>
  <si>
    <t>ENST00000336990_Acinonyx_jubatus_zoonomia</t>
  </si>
  <si>
    <t>4617_1</t>
  </si>
  <si>
    <t>ENSG00000090905</t>
  </si>
  <si>
    <t>ENST00000315183_Acinonyx_jubatus_zoonomia</t>
  </si>
  <si>
    <t>4617_3</t>
  </si>
  <si>
    <t>ENSG00000078687</t>
  </si>
  <si>
    <t>ENST00000636222_Acinonyx_jubatus_zoonomia</t>
  </si>
  <si>
    <t>462_2</t>
  </si>
  <si>
    <t>ENSG00000172534</t>
  </si>
  <si>
    <t>4623_1</t>
  </si>
  <si>
    <t>ENSG00000087157</t>
  </si>
  <si>
    <t>ENST00000262764_Acinonyx_jubatus_zoonomia</t>
  </si>
  <si>
    <t>4624_13</t>
  </si>
  <si>
    <t>ENSG00000114841</t>
  </si>
  <si>
    <t>ENST00000420323_Acinonyx_jubatus_zoonomia</t>
  </si>
  <si>
    <t>4624_2</t>
  </si>
  <si>
    <t>ENSG00000197102</t>
  </si>
  <si>
    <t>ENST00000360184_Acinonyx_jubatus_zoonomia</t>
  </si>
  <si>
    <t>4624_4</t>
  </si>
  <si>
    <t>ENSG00000007174</t>
  </si>
  <si>
    <t>ENST00000262442_Acinonyx_jubatus_zoonomia</t>
  </si>
  <si>
    <t>ENSG00000187775</t>
  </si>
  <si>
    <t>ENST00000389840_Acinonyx_jubatus_zoonomia</t>
  </si>
  <si>
    <t>4624_9</t>
  </si>
  <si>
    <t>ENSG00000124721</t>
  </si>
  <si>
    <t>4625_1</t>
  </si>
  <si>
    <t>ENSG00000187240</t>
  </si>
  <si>
    <t>ENST00000334267_Acinonyx_jubatus_zoonomia</t>
  </si>
  <si>
    <t>4628_2</t>
  </si>
  <si>
    <t>ENSG00000157150</t>
  </si>
  <si>
    <t>4637_1</t>
  </si>
  <si>
    <t>ENSG00000173894</t>
  </si>
  <si>
    <t>4638_1</t>
  </si>
  <si>
    <t>ENSG00000141519</t>
  </si>
  <si>
    <t>ENST00000397545_Acinonyx_jubatus_zoonomia</t>
  </si>
  <si>
    <t>4640_3</t>
  </si>
  <si>
    <t>ENSG00000147606</t>
  </si>
  <si>
    <t>ENST00000276609_Acinonyx_jubatus_zoonomia</t>
  </si>
  <si>
    <t>4640_6</t>
  </si>
  <si>
    <t>ENSG00000091138</t>
  </si>
  <si>
    <t>ENST00000340010_Acinonyx_jubatus_zoonomia</t>
  </si>
  <si>
    <t>464_1</t>
  </si>
  <si>
    <t>ENSG00000198844</t>
  </si>
  <si>
    <t>464_2</t>
  </si>
  <si>
    <t>ENSG00000130762</t>
  </si>
  <si>
    <t>ENST00000378378_Acinonyx_jubatus_zoonomia</t>
  </si>
  <si>
    <t>4643_1</t>
  </si>
  <si>
    <t>ENSG00000173821</t>
  </si>
  <si>
    <t>ENST00000508628_Acinonyx_jubatus_zoonomia</t>
  </si>
  <si>
    <t>464_3</t>
  </si>
  <si>
    <t>ENSG00000066248</t>
  </si>
  <si>
    <t>ENST00000264051_Acinonyx_jubatus_zoonomia</t>
  </si>
  <si>
    <t>4645_1</t>
  </si>
  <si>
    <t>ENSG00000141564</t>
  </si>
  <si>
    <t>4646_2</t>
  </si>
  <si>
    <t>ENSG00000175866</t>
  </si>
  <si>
    <t>ENST00000321300_Acinonyx_jubatus_zoonomia</t>
  </si>
  <si>
    <t>4649_1</t>
  </si>
  <si>
    <t>ENSG00000141577</t>
  </si>
  <si>
    <t>4650_1</t>
  </si>
  <si>
    <t>ENSG00000167302</t>
  </si>
  <si>
    <t>4651_1</t>
  </si>
  <si>
    <t>ENSG00000224877</t>
  </si>
  <si>
    <t>4652_1</t>
  </si>
  <si>
    <t>ENSG00000157637</t>
  </si>
  <si>
    <t>4653_1</t>
  </si>
  <si>
    <t>ENSG00000266074</t>
  </si>
  <si>
    <t>ENST00000307745_Acinonyx_jubatus_zoonomia</t>
  </si>
  <si>
    <t>4655_4</t>
  </si>
  <si>
    <t>ENSG00000186765</t>
  </si>
  <si>
    <t>ENST00000334850_Acinonyx_jubatus_zoonomia</t>
  </si>
  <si>
    <t>4658_1</t>
  </si>
  <si>
    <t>ENSG00000185504</t>
  </si>
  <si>
    <t>ENST00000327787_Acinonyx_jubatus_zoonomia</t>
  </si>
  <si>
    <t>4660_3</t>
  </si>
  <si>
    <t>ENSG00000168397</t>
  </si>
  <si>
    <t>4660_4</t>
  </si>
  <si>
    <t>ENSG00000101844</t>
  </si>
  <si>
    <t>ENST00000345734_Acinonyx_jubatus_zoonomia</t>
  </si>
  <si>
    <t>4664_5</t>
  </si>
  <si>
    <t>ENSG00000072958</t>
  </si>
  <si>
    <t>4666_1</t>
  </si>
  <si>
    <t>ENSG00000213339</t>
  </si>
  <si>
    <t>4668_1</t>
  </si>
  <si>
    <t>ENSG00000214212</t>
  </si>
  <si>
    <t>4669_1</t>
  </si>
  <si>
    <t>ENSG00000130733</t>
  </si>
  <si>
    <t>ENST00000253031_Acinonyx_jubatus_zoonomia</t>
  </si>
  <si>
    <t>4670_1</t>
  </si>
  <si>
    <t>ENSG00000142444</t>
  </si>
  <si>
    <t>4672_1</t>
  </si>
  <si>
    <t>ENSG00000167775</t>
  </si>
  <si>
    <t>ENST00000301458_Acinonyx_jubatus_zoonomia</t>
  </si>
  <si>
    <t>4675_1</t>
  </si>
  <si>
    <t>ENSG00000116641</t>
  </si>
  <si>
    <t>ENST00000251157_Acinonyx_jubatus_zoonomia</t>
  </si>
  <si>
    <t>4675_2</t>
  </si>
  <si>
    <t>ENSG00000130158</t>
  </si>
  <si>
    <t>ENST00000294618_Acinonyx_jubatus_zoonomia</t>
  </si>
  <si>
    <t>4675_5</t>
  </si>
  <si>
    <t>ENSG00000147251</t>
  </si>
  <si>
    <t>ENST00000276202_Acinonyx_jubatus_zoonomia</t>
  </si>
  <si>
    <t>4681_1</t>
  </si>
  <si>
    <t>ENSG00000187266</t>
  </si>
  <si>
    <t>4683_1</t>
  </si>
  <si>
    <t>ENSG00000198003</t>
  </si>
  <si>
    <t>4686_3</t>
  </si>
  <si>
    <t>ENSG00000107105</t>
  </si>
  <si>
    <t>4686_4</t>
  </si>
  <si>
    <t>ENSG00000196361</t>
  </si>
  <si>
    <t>In_file_4686_1</t>
  </si>
  <si>
    <t>4687_2</t>
  </si>
  <si>
    <t>ENSG00000144642</t>
  </si>
  <si>
    <t>4690_1</t>
  </si>
  <si>
    <t>ENSG00000143368</t>
  </si>
  <si>
    <t>ENST00000271628_Acinonyx_jubatus_zoonomia</t>
  </si>
  <si>
    <t>4693_1</t>
  </si>
  <si>
    <t>ENSG00000179950</t>
  </si>
  <si>
    <t>ENST00000349157_Acinonyx_jubatus_zoonomia</t>
  </si>
  <si>
    <t>4696_2</t>
  </si>
  <si>
    <t>ENSG00000158710</t>
  </si>
  <si>
    <t>4697_1</t>
  </si>
  <si>
    <t>ENSG00000064042</t>
  </si>
  <si>
    <t>4699_1</t>
  </si>
  <si>
    <t>ENSG00000102575</t>
  </si>
  <si>
    <t>ENST00000218758_Acinonyx_jubatus_zoonomia</t>
  </si>
  <si>
    <t>4704_1</t>
  </si>
  <si>
    <t>ENSG00000172748</t>
  </si>
  <si>
    <t>4705_1</t>
  </si>
  <si>
    <t>ENSG00000104774</t>
  </si>
  <si>
    <t>In_file_4705_2</t>
  </si>
  <si>
    <t>ENSG00000269590</t>
  </si>
  <si>
    <t>ENST00000597961_Acinonyx_jubatus_zoonomia</t>
  </si>
  <si>
    <t>4706_2</t>
  </si>
  <si>
    <t>ENSG00000196547</t>
  </si>
  <si>
    <t>ENST00000360468_Acinonyx_jubatus_zoonomia</t>
  </si>
  <si>
    <t>4707_1</t>
  </si>
  <si>
    <t>ENSG00000105583</t>
  </si>
  <si>
    <t>ENST00000222190_Acinonyx_jubatus_zoonomia</t>
  </si>
  <si>
    <t>4710_1</t>
  </si>
  <si>
    <t>ENSG00000283980</t>
  </si>
  <si>
    <t>4713_1</t>
  </si>
  <si>
    <t>ENSG00000186469</t>
  </si>
  <si>
    <t>4715_1</t>
  </si>
  <si>
    <t>ENSG00000174021</t>
  </si>
  <si>
    <t>ENST00000370641_Acinonyx_jubatus_zoonomia</t>
  </si>
  <si>
    <t>4718_1</t>
  </si>
  <si>
    <t>ENSG00000162188</t>
  </si>
  <si>
    <t>4720_2</t>
  </si>
  <si>
    <t>ENSG00000105576</t>
  </si>
  <si>
    <t>In_file_4720_1</t>
  </si>
  <si>
    <t>4722_1</t>
  </si>
  <si>
    <t>ENSG00000123144</t>
  </si>
  <si>
    <t>ENST00000242784_Acinonyx_jubatus_zoonomia</t>
  </si>
  <si>
    <t>4723_1</t>
  </si>
  <si>
    <t>ENSG00000198356</t>
  </si>
  <si>
    <t>ENST00000357332_Acinonyx_jubatus_zoonomia</t>
  </si>
  <si>
    <t>4724_4</t>
  </si>
  <si>
    <t>ENSG00000127325</t>
  </si>
  <si>
    <t>4726_2</t>
  </si>
  <si>
    <t>ENSG00000134709</t>
  </si>
  <si>
    <t>ENST00000371208_Acinonyx_jubatus_zoonomia</t>
  </si>
  <si>
    <t>4727_1</t>
  </si>
  <si>
    <t>ENSG00000168522</t>
  </si>
  <si>
    <t>4728_2</t>
  </si>
  <si>
    <t>ENSG00000015133</t>
  </si>
  <si>
    <t>ENST00000389857_Acinonyx_jubatus_zoonomia</t>
  </si>
  <si>
    <t>4730_2</t>
  </si>
  <si>
    <t>ENSG00000123131</t>
  </si>
  <si>
    <t>4730_3</t>
  </si>
  <si>
    <t>ENSG00000117450</t>
  </si>
  <si>
    <t>4730_4</t>
  </si>
  <si>
    <t>ENSG00000167815</t>
  </si>
  <si>
    <t>4731_1</t>
  </si>
  <si>
    <t>ENSG00000117592</t>
  </si>
  <si>
    <t>473_1</t>
  </si>
  <si>
    <t>ENSG00000170776</t>
  </si>
  <si>
    <t>ENST00000361243_Acinonyx_jubatus_zoonomia</t>
  </si>
  <si>
    <t>4733_1</t>
  </si>
  <si>
    <t>ENSG00000104889</t>
  </si>
  <si>
    <t>4734_1</t>
  </si>
  <si>
    <t>ENSG00000105612</t>
  </si>
  <si>
    <t>ENST00000222219_Acinonyx_jubatus_zoonomia</t>
  </si>
  <si>
    <t>4735_1</t>
  </si>
  <si>
    <t>ENSG00000161860</t>
  </si>
  <si>
    <t>4736_1</t>
  </si>
  <si>
    <t>ENSG00000179115</t>
  </si>
  <si>
    <t>4744_3</t>
  </si>
  <si>
    <t>ENSG00000008441</t>
  </si>
  <si>
    <t>ENST00000592199_Acinonyx_jubatus_zoonomia</t>
  </si>
  <si>
    <t>4749_1</t>
  </si>
  <si>
    <t>ENSG00000160888</t>
  </si>
  <si>
    <t>4756_1</t>
  </si>
  <si>
    <t>ENSG00000187556</t>
  </si>
  <si>
    <t>4758_1</t>
  </si>
  <si>
    <t>ENSG00000188613</t>
  </si>
  <si>
    <t>ENST00000425699_Acinonyx_jubatus_zoonomia</t>
  </si>
  <si>
    <t>4761_1</t>
  </si>
  <si>
    <t>ENSG00000132024</t>
  </si>
  <si>
    <t>ENST00000318003_Acinonyx_jubatus_zoonomia</t>
  </si>
  <si>
    <t>4765_4</t>
  </si>
  <si>
    <t>ENSG00000080298</t>
  </si>
  <si>
    <t>4769_2</t>
  </si>
  <si>
    <t>ENSG00000143390</t>
  </si>
  <si>
    <t>ENST00000290524_Acinonyx_jubatus_zoonomia</t>
  </si>
  <si>
    <t>4770_1</t>
  </si>
  <si>
    <t>ENSG00000171136</t>
  </si>
  <si>
    <t>ENST00000431365_Acinonyx_jubatus_zoonomia</t>
  </si>
  <si>
    <t>477_1</t>
  </si>
  <si>
    <t>ENSG00000263264</t>
  </si>
  <si>
    <t>ENST00000671891_Acinonyx_jubatus_zoonomia</t>
  </si>
  <si>
    <t>4776_1</t>
  </si>
  <si>
    <t>ENSG00000187867</t>
  </si>
  <si>
    <t>4781_1</t>
  </si>
  <si>
    <t>ENSG00000188032</t>
  </si>
  <si>
    <t>ENST00000548523_Acinonyx_jubatus_zoonomia</t>
  </si>
  <si>
    <t>4784_2</t>
  </si>
  <si>
    <t>ENSG00000105011</t>
  </si>
  <si>
    <t>4786_1</t>
  </si>
  <si>
    <t>ENSG00000050628</t>
  </si>
  <si>
    <t>4788_1</t>
  </si>
  <si>
    <t>ENSG00000179855</t>
  </si>
  <si>
    <t>ENST00000644946_Acinonyx_jubatus_zoonomia</t>
  </si>
  <si>
    <t>4788_2</t>
  </si>
  <si>
    <t>ENSG00000123159</t>
  </si>
  <si>
    <t>4788_3</t>
  </si>
  <si>
    <t>ENSG00000137960</t>
  </si>
  <si>
    <t>ENST00000370759_Acinonyx_jubatus_zoonomia</t>
  </si>
  <si>
    <t>4790_1</t>
  </si>
  <si>
    <t>ENSG00000099797</t>
  </si>
  <si>
    <t>4790_2</t>
  </si>
  <si>
    <t>ENSG00000205678</t>
  </si>
  <si>
    <t>4791_1</t>
  </si>
  <si>
    <t>ENSG00000277893</t>
  </si>
  <si>
    <t>4797_1</t>
  </si>
  <si>
    <t>ENSG00000105135</t>
  </si>
  <si>
    <t>ENST00000263383_Acinonyx_jubatus_zoonomia</t>
  </si>
  <si>
    <t>4798_1</t>
  </si>
  <si>
    <t>ENSG00000172031</t>
  </si>
  <si>
    <t>4800_1</t>
  </si>
  <si>
    <t>ENSG00000120915</t>
  </si>
  <si>
    <t>ENST00000517536_Acinonyx_jubatus_zoonomia</t>
  </si>
  <si>
    <t>4803_1</t>
  </si>
  <si>
    <t>ENSG00000011451</t>
  </si>
  <si>
    <t>ENST00000263381_Acinonyx_jubatus_zoonomia</t>
  </si>
  <si>
    <t>4804_1</t>
  </si>
  <si>
    <t>ENSG00000161031</t>
  </si>
  <si>
    <t>ENST00000340880_Acinonyx_jubatus_zoonomia</t>
  </si>
  <si>
    <t>4810_1</t>
  </si>
  <si>
    <t>ENSG00000183476</t>
  </si>
  <si>
    <t>ENST00000328828_Acinonyx_jubatus_zoonomia</t>
  </si>
  <si>
    <t>481_1</t>
  </si>
  <si>
    <t>ENSG00000159784</t>
  </si>
  <si>
    <t>ENST00000409578_Acinonyx_jubatus_zoonomia</t>
  </si>
  <si>
    <t>4812_1</t>
  </si>
  <si>
    <t>ENSG00000105058</t>
  </si>
  <si>
    <t>4815_1</t>
  </si>
  <si>
    <t>ENSG00000105085</t>
  </si>
  <si>
    <t>4820_12</t>
  </si>
  <si>
    <t>ENSG00000160111</t>
  </si>
  <si>
    <t>4820_1</t>
  </si>
  <si>
    <t>ENSG00000106804</t>
  </si>
  <si>
    <t>ENST00000223642_Acinonyx_jubatus_zoonomia</t>
  </si>
  <si>
    <t>4820_5</t>
  </si>
  <si>
    <t>ENSG00000126838</t>
  </si>
  <si>
    <t>4826_1</t>
  </si>
  <si>
    <t>ENSG00000169297</t>
  </si>
  <si>
    <t>4832_1</t>
  </si>
  <si>
    <t>ENSG00000074855</t>
  </si>
  <si>
    <t>ENST00000159087_Acinonyx_jubatus_zoonomia</t>
  </si>
  <si>
    <t>4833_3</t>
  </si>
  <si>
    <t>ENSG00000146205</t>
  </si>
  <si>
    <t>ENST00000274979_Acinonyx_jubatus_zoonomia</t>
  </si>
  <si>
    <t>4833_6</t>
  </si>
  <si>
    <t>ENSG00000134343</t>
  </si>
  <si>
    <t>ENST00000672621_Acinonyx_jubatus_zoonomia</t>
  </si>
  <si>
    <t>483_3</t>
  </si>
  <si>
    <t>ENSG00000184908</t>
  </si>
  <si>
    <t>ENSG00000186510</t>
  </si>
  <si>
    <t>4835_1</t>
  </si>
  <si>
    <t>ENSG00000130299</t>
  </si>
  <si>
    <t>4836_1</t>
  </si>
  <si>
    <t>ENSG00000130300</t>
  </si>
  <si>
    <t>4837_1</t>
  </si>
  <si>
    <t>ENSG00000269720</t>
  </si>
  <si>
    <t>ENST00000636079_Acinonyx_jubatus_zoonomia</t>
  </si>
  <si>
    <t>4841_1</t>
  </si>
  <si>
    <t>ENSG00000196814</t>
  </si>
  <si>
    <t>4842_3</t>
  </si>
  <si>
    <t>ENSG00000130479</t>
  </si>
  <si>
    <t>484_5</t>
  </si>
  <si>
    <t>ENSG00000073464</t>
  </si>
  <si>
    <t>4846_1</t>
  </si>
  <si>
    <t>ENSG00000140368</t>
  </si>
  <si>
    <t>4849_1</t>
  </si>
  <si>
    <t>ENSG00000248099</t>
  </si>
  <si>
    <t>ENST00000317306_Acinonyx_jubatus_zoonomia</t>
  </si>
  <si>
    <t>4851_1</t>
  </si>
  <si>
    <t>ENSG00000105640</t>
  </si>
  <si>
    <t>4852_1</t>
  </si>
  <si>
    <t>ENSG00000007080</t>
  </si>
  <si>
    <t>4853_2</t>
  </si>
  <si>
    <t>ENSG00000080709</t>
  </si>
  <si>
    <t>In_file_4853_1</t>
  </si>
  <si>
    <t>4858_1</t>
  </si>
  <si>
    <t>ENSG00000105647</t>
  </si>
  <si>
    <t>ENST00000222254_Acinonyx_jubatus_zoonomia</t>
  </si>
  <si>
    <t>4858_2</t>
  </si>
  <si>
    <t>ENSG00000145675</t>
  </si>
  <si>
    <t>ENST00000521381_Acinonyx_jubatus_zoonomia</t>
  </si>
  <si>
    <t>4858_3</t>
  </si>
  <si>
    <t>ENSG00000278139</t>
  </si>
  <si>
    <t>ENST00000540385_Acinonyx_jubatus_zoonomia</t>
  </si>
  <si>
    <t>4858_4</t>
  </si>
  <si>
    <t>ENSG00000117461</t>
  </si>
  <si>
    <t>4862_1</t>
  </si>
  <si>
    <t>ENSG00000250719</t>
  </si>
  <si>
    <t>ENST00000506599_Acinonyx_jubatus_zoonomia</t>
  </si>
  <si>
    <t>4864_1</t>
  </si>
  <si>
    <t>ENSG00000216490</t>
  </si>
  <si>
    <t>4866_1</t>
  </si>
  <si>
    <t>ENSG00000176894</t>
  </si>
  <si>
    <t>ENST00000543589_Acinonyx_jubatus_zoonomia</t>
  </si>
  <si>
    <t>4867_1</t>
  </si>
  <si>
    <t>ENSG00000156968</t>
  </si>
  <si>
    <t>ENSG00000261130</t>
  </si>
  <si>
    <t>4868_1</t>
  </si>
  <si>
    <t>ENSG00000115204</t>
  </si>
  <si>
    <t>4870_1</t>
  </si>
  <si>
    <t>ENSG00000130517</t>
  </si>
  <si>
    <t>ENST00000269919_Acinonyx_jubatus_zoonomia</t>
  </si>
  <si>
    <t>ENSG00000183571</t>
  </si>
  <si>
    <t>ENST00000637120_Acinonyx_jubatus_zoonomia</t>
  </si>
  <si>
    <t>487_1</t>
  </si>
  <si>
    <t>ENSG00000116809</t>
  </si>
  <si>
    <t>ENST00000375733_Acinonyx_jubatus_zoonomia</t>
  </si>
  <si>
    <t>4872_3</t>
  </si>
  <si>
    <t>ENSG00000125965</t>
  </si>
  <si>
    <t>4873_5</t>
  </si>
  <si>
    <t>ENSG00000101144</t>
  </si>
  <si>
    <t>4874_2</t>
  </si>
  <si>
    <t>ENSG00000263761</t>
  </si>
  <si>
    <t>4879_1</t>
  </si>
  <si>
    <t>ENSG00000130385</t>
  </si>
  <si>
    <t>4881_1</t>
  </si>
  <si>
    <t>ENSG00000163083</t>
  </si>
  <si>
    <t>ENST00000295228_Acinonyx_jubatus_zoonomia</t>
  </si>
  <si>
    <t>4881_2</t>
  </si>
  <si>
    <t>ENSG00000122641</t>
  </si>
  <si>
    <t>4881_4</t>
  </si>
  <si>
    <t>ENSG00000139269</t>
  </si>
  <si>
    <t>4884_1</t>
  </si>
  <si>
    <t>ENSG00000145687</t>
  </si>
  <si>
    <t>4884_3</t>
  </si>
  <si>
    <t>ENSG00000130511</t>
  </si>
  <si>
    <t>ENST00000270061_Acinonyx_jubatus_zoonomia</t>
  </si>
  <si>
    <t>4888_1</t>
  </si>
  <si>
    <t>ENSG00000105656</t>
  </si>
  <si>
    <t>4894_1</t>
  </si>
  <si>
    <t>ENSG00000129559</t>
  </si>
  <si>
    <t>4896_1</t>
  </si>
  <si>
    <t>ENSG00000105696</t>
  </si>
  <si>
    <t>4898_1</t>
  </si>
  <si>
    <t>ENSG00000160741</t>
  </si>
  <si>
    <t>ENST00000368630_Acinonyx_jubatus_zoonomia</t>
  </si>
  <si>
    <t>4901_1</t>
  </si>
  <si>
    <t>ENSG00000135414</t>
  </si>
  <si>
    <t>4901_2</t>
  </si>
  <si>
    <t>ENSG00000138379</t>
  </si>
  <si>
    <t>490_1</t>
  </si>
  <si>
    <t>ENSG00000162775</t>
  </si>
  <si>
    <t>ENST00000487146_Acinonyx_jubatus_zoonomia</t>
  </si>
  <si>
    <t>4906_1</t>
  </si>
  <si>
    <t>ENSG00000105669</t>
  </si>
  <si>
    <t>ENST00000262812_Acinonyx_jubatus_zoonomia</t>
  </si>
  <si>
    <t>4907_2</t>
  </si>
  <si>
    <t>ENSG00000103942</t>
  </si>
  <si>
    <t>ENST00000304231_Acinonyx_jubatus_zoonomia</t>
  </si>
  <si>
    <t>4909_1</t>
  </si>
  <si>
    <t>ENSG00000064607</t>
  </si>
  <si>
    <t>ENST00000600377_Acinonyx_jubatus_zoonomia</t>
  </si>
  <si>
    <t>4912_1</t>
  </si>
  <si>
    <t>ENSG00000254901</t>
  </si>
  <si>
    <t>491_2</t>
  </si>
  <si>
    <t>ENSG00000174740</t>
  </si>
  <si>
    <t>491_3</t>
  </si>
  <si>
    <t>ENSG00000101104</t>
  </si>
  <si>
    <t>491_4</t>
  </si>
  <si>
    <t>ENSG00000184388</t>
  </si>
  <si>
    <t>ENSG00000186288</t>
  </si>
  <si>
    <t>491_7</t>
  </si>
  <si>
    <t>ENSG00000090621</t>
  </si>
  <si>
    <t>492_1</t>
  </si>
  <si>
    <t>ENSG00000151846</t>
  </si>
  <si>
    <t>4922_2</t>
  </si>
  <si>
    <t>ENSG00000213996</t>
  </si>
  <si>
    <t>4926_2</t>
  </si>
  <si>
    <t>ENSG00000250067</t>
  </si>
  <si>
    <t>ENSG00000258674</t>
  </si>
  <si>
    <t>ENST00000555938_Acinonyx_jubatus_zoonomia</t>
  </si>
  <si>
    <t>4928_2</t>
  </si>
  <si>
    <t>ENSG00000185630</t>
  </si>
  <si>
    <t>ENST00000627490_Acinonyx_jubatus_zoonomia</t>
  </si>
  <si>
    <t>493_1</t>
  </si>
  <si>
    <t>ENSG00000129474</t>
  </si>
  <si>
    <t>4932_1</t>
  </si>
  <si>
    <t>ENSG00000196214</t>
  </si>
  <si>
    <t>ENST00000439461_Acinonyx_jubatus_zoonomia</t>
  </si>
  <si>
    <t>ENSG00000198633</t>
  </si>
  <si>
    <t>ENST00000301085_Acinonyx_jubatus_zoonomia</t>
  </si>
  <si>
    <t>4934_1</t>
  </si>
  <si>
    <t>ENSG00000197782</t>
  </si>
  <si>
    <t>493_7</t>
  </si>
  <si>
    <t>ENSG00000144791</t>
  </si>
  <si>
    <t>In_file_493_2</t>
  </si>
  <si>
    <t>ENSG00000162458</t>
  </si>
  <si>
    <t>4938_1</t>
  </si>
  <si>
    <t>ENSG00000267360</t>
  </si>
  <si>
    <t>4942_1</t>
  </si>
  <si>
    <t>ENSG00000187135</t>
  </si>
  <si>
    <t>4943_1</t>
  </si>
  <si>
    <t>ENSG00000170419</t>
  </si>
  <si>
    <t>4946_1</t>
  </si>
  <si>
    <t>ENSG00000175895</t>
  </si>
  <si>
    <t>4946_2</t>
  </si>
  <si>
    <t>ENSG00000166289</t>
  </si>
  <si>
    <t>49_4</t>
  </si>
  <si>
    <t>ENSG00000142798</t>
  </si>
  <si>
    <t>ENST00000374695_Acinonyx_jubatus_zoonomia</t>
  </si>
  <si>
    <t>4951_1</t>
  </si>
  <si>
    <t>ENSG00000105176</t>
  </si>
  <si>
    <t>4953_1</t>
  </si>
  <si>
    <t>ENSG00000171940</t>
  </si>
  <si>
    <t>ENST00000302342_Acinonyx_jubatus_zoonomia</t>
  </si>
  <si>
    <t>4953_2</t>
  </si>
  <si>
    <t>ENSG00000101493</t>
  </si>
  <si>
    <t>ENST00000443185_Acinonyx_jubatus_zoonomia</t>
  </si>
  <si>
    <t>4957_4</t>
  </si>
  <si>
    <t>ENSG00000156162</t>
  </si>
  <si>
    <t>4958_1</t>
  </si>
  <si>
    <t>ENSG00000105185</t>
  </si>
  <si>
    <t>496_1</t>
  </si>
  <si>
    <t>ENSG00000122367</t>
  </si>
  <si>
    <t>4964_2</t>
  </si>
  <si>
    <t>ENSG00000182218</t>
  </si>
  <si>
    <t>ENST00000330710_Acinonyx_jubatus_zoonomia</t>
  </si>
  <si>
    <t>4966_1</t>
  </si>
  <si>
    <t>ENSG00000116996</t>
  </si>
  <si>
    <t>ENSG00000149506</t>
  </si>
  <si>
    <t>4969_1</t>
  </si>
  <si>
    <t>ENSG00000119965</t>
  </si>
  <si>
    <t>4971_1</t>
  </si>
  <si>
    <t>ENSG00000188816</t>
  </si>
  <si>
    <t>4971_2</t>
  </si>
  <si>
    <t>ENSG00000188620</t>
  </si>
  <si>
    <t>ENSG00000215612</t>
  </si>
  <si>
    <t>4972_1</t>
  </si>
  <si>
    <t>ENSG00000109705</t>
  </si>
  <si>
    <t>ENST00000382438_Acinonyx_jubatus_zoonomia</t>
  </si>
  <si>
    <t>497_2</t>
  </si>
  <si>
    <t>ENSG00000112214</t>
  </si>
  <si>
    <t>ENST00000326771_Acinonyx_jubatus_zoonomia</t>
  </si>
  <si>
    <t>4973_1</t>
  </si>
  <si>
    <t>ENSG00000180053</t>
  </si>
  <si>
    <t>ENST00000325017_Acinonyx_jubatus_zoonomia</t>
  </si>
  <si>
    <t>4973_2</t>
  </si>
  <si>
    <t>ENSG00000119919</t>
  </si>
  <si>
    <t>4973_3</t>
  </si>
  <si>
    <t>ENSG00000183072</t>
  </si>
  <si>
    <t>ENST00000329198_Acinonyx_jubatus_zoonomia</t>
  </si>
  <si>
    <t>497_3</t>
  </si>
  <si>
    <t>ENSG00000183386</t>
  </si>
  <si>
    <t>497_4</t>
  </si>
  <si>
    <t>ENSG00000022267</t>
  </si>
  <si>
    <t>ENST00000539015_Acinonyx_jubatus_zoonomia</t>
  </si>
  <si>
    <t>4975_1</t>
  </si>
  <si>
    <t>ENSG00000136327</t>
  </si>
  <si>
    <t>ENST00000258829_Acinonyx_jubatus_zoonomia</t>
  </si>
  <si>
    <t>4976_2</t>
  </si>
  <si>
    <t>ENSG00000136352</t>
  </si>
  <si>
    <t>ENST00000354822_Acinonyx_jubatus_zoonomia</t>
  </si>
  <si>
    <t>4978_3</t>
  </si>
  <si>
    <t>ENSG00000165066</t>
  </si>
  <si>
    <t>4982_1</t>
  </si>
  <si>
    <t>ENSG00000152804</t>
  </si>
  <si>
    <t>4983_1</t>
  </si>
  <si>
    <t>ENSG00000154473</t>
  </si>
  <si>
    <t>4990_2</t>
  </si>
  <si>
    <t>ENSG00000107902</t>
  </si>
  <si>
    <t>4995_2</t>
  </si>
  <si>
    <t>ENSG00000163322</t>
  </si>
  <si>
    <t>4997_2</t>
  </si>
  <si>
    <t>ENSG00000169918</t>
  </si>
  <si>
    <t>ENST00000307050_Acinonyx_jubatus_zoonomia</t>
  </si>
  <si>
    <t>4998_1</t>
  </si>
  <si>
    <t>ENSG00000159692</t>
  </si>
  <si>
    <t>In_file_4998_2</t>
  </si>
  <si>
    <t>5000_1</t>
  </si>
  <si>
    <t>ENSG00000137106</t>
  </si>
  <si>
    <t>5002_1</t>
  </si>
  <si>
    <t>ENSG00000107938</t>
  </si>
  <si>
    <t>ENST00000337623_Acinonyx_jubatus_zoonomia</t>
  </si>
  <si>
    <t>5003_1</t>
  </si>
  <si>
    <t>ENSG00000188690</t>
  </si>
  <si>
    <t>5005_1</t>
  </si>
  <si>
    <t>ENSG00000069399</t>
  </si>
  <si>
    <t>ENST00000164227_Acinonyx_jubatus_zoonomia</t>
  </si>
  <si>
    <t>5007_1</t>
  </si>
  <si>
    <t>ENSG00000116127</t>
  </si>
  <si>
    <t>5008_3</t>
  </si>
  <si>
    <t>ENSG00000134516</t>
  </si>
  <si>
    <t>ENST00000520908_Acinonyx_jubatus_zoonomia</t>
  </si>
  <si>
    <t>5008_4</t>
  </si>
  <si>
    <t>ENSG00000128512</t>
  </si>
  <si>
    <t>ENST00000428084_Acinonyx_jubatus_zoonomia</t>
  </si>
  <si>
    <t>5008_5</t>
  </si>
  <si>
    <t>ENSG00000088538</t>
  </si>
  <si>
    <t>5013_1</t>
  </si>
  <si>
    <t>ENSG00000214285</t>
  </si>
  <si>
    <t>5017_1</t>
  </si>
  <si>
    <t>ENSG00000164330</t>
  </si>
  <si>
    <t>ENST00000313708_Acinonyx_jubatus_zoonomia</t>
  </si>
  <si>
    <t>5017_4</t>
  </si>
  <si>
    <t>ENSG00000108001</t>
  </si>
  <si>
    <t>5018_1</t>
  </si>
  <si>
    <t>ENSG00000108010</t>
  </si>
  <si>
    <t>5020_1</t>
  </si>
  <si>
    <t>ENSG00000176769</t>
  </si>
  <si>
    <t>5020_2</t>
  </si>
  <si>
    <t>ENSG00000113649</t>
  </si>
  <si>
    <t>ENST00000296702_Acinonyx_jubatus_zoonomia</t>
  </si>
  <si>
    <t>5022_1</t>
  </si>
  <si>
    <t>ENSG00000175470</t>
  </si>
  <si>
    <t>5023_1</t>
  </si>
  <si>
    <t>ENSG00000104765</t>
  </si>
  <si>
    <t>5024_2</t>
  </si>
  <si>
    <t>ENSG00000152969</t>
  </si>
  <si>
    <t>5024_3</t>
  </si>
  <si>
    <t>ENSG00000188385</t>
  </si>
  <si>
    <t>ENST00000666210_Acinonyx_jubatus_zoonomia</t>
  </si>
  <si>
    <t>5025_1</t>
  </si>
  <si>
    <t>ENSG00000072832</t>
  </si>
  <si>
    <t>5025_3</t>
  </si>
  <si>
    <t>ENSG00000092964</t>
  </si>
  <si>
    <t>5025_4</t>
  </si>
  <si>
    <t>ENSG00000113657</t>
  </si>
  <si>
    <t>ENST00000343218_Acinonyx_jubatus_zoonomia</t>
  </si>
  <si>
    <t>5025_6</t>
  </si>
  <si>
    <t>ENSG00000157851</t>
  </si>
  <si>
    <t>50_2</t>
  </si>
  <si>
    <t>ENSG00000126217</t>
  </si>
  <si>
    <t>ENST00000375608_Acinonyx_jubatus_zoonomia</t>
  </si>
  <si>
    <t>5031_1</t>
  </si>
  <si>
    <t>ENSG00000185610</t>
  </si>
  <si>
    <t>5032_1</t>
  </si>
  <si>
    <t>ENSG00000109851</t>
  </si>
  <si>
    <t>ENST00000524983_Acinonyx_jubatus_zoonomia</t>
  </si>
  <si>
    <t>5033_1</t>
  </si>
  <si>
    <t>ENSG00000171811</t>
  </si>
  <si>
    <t>ENST00000368586_Acinonyx_jubatus_zoonomia</t>
  </si>
  <si>
    <t>5034_1</t>
  </si>
  <si>
    <t>ENSG00000171798</t>
  </si>
  <si>
    <t>ENST00000304613_Acinonyx_jubatus_zoonomia</t>
  </si>
  <si>
    <t>5035_1</t>
  </si>
  <si>
    <t>ENSG00000171794</t>
  </si>
  <si>
    <t>50_3</t>
  </si>
  <si>
    <t>ENSG00000101977</t>
  </si>
  <si>
    <t>ENST00000520602_Acinonyx_jubatus_zoonomia</t>
  </si>
  <si>
    <t>5041_1</t>
  </si>
  <si>
    <t>ENSG00000170091</t>
  </si>
  <si>
    <t>5043_1</t>
  </si>
  <si>
    <t>ENSG00000198130</t>
  </si>
  <si>
    <t>ENST00000359678_Acinonyx_jubatus_zoonomia</t>
  </si>
  <si>
    <t>504_6</t>
  </si>
  <si>
    <t>ENSG00000102078</t>
  </si>
  <si>
    <t>5047_1</t>
  </si>
  <si>
    <t>ENSG00000148824</t>
  </si>
  <si>
    <t>ENST00000317502_Acinonyx_jubatus_zoonomia</t>
  </si>
  <si>
    <t>5051_2</t>
  </si>
  <si>
    <t>ENSG00000146005</t>
  </si>
  <si>
    <t>ENST00000274710_Acinonyx_jubatus_zoonomia</t>
  </si>
  <si>
    <t>5053_3</t>
  </si>
  <si>
    <t>ENSG00000012817</t>
  </si>
  <si>
    <t>ENSG00000126012</t>
  </si>
  <si>
    <t>5054_2</t>
  </si>
  <si>
    <t>ENSG00000107077</t>
  </si>
  <si>
    <t>In_file_5056_1</t>
  </si>
  <si>
    <t>5055_1</t>
  </si>
  <si>
    <t>ENSG00000127663</t>
  </si>
  <si>
    <t>In_file_5054_6</t>
  </si>
  <si>
    <t>50_5</t>
  </si>
  <si>
    <t>ENSG00000160145</t>
  </si>
  <si>
    <t>In_file_50_6</t>
  </si>
  <si>
    <t>5061_1</t>
  </si>
  <si>
    <t>ENSG00000070047</t>
  </si>
  <si>
    <t>In_file_5059_1</t>
  </si>
  <si>
    <t>5062_1</t>
  </si>
  <si>
    <t>ENSG00000120647</t>
  </si>
  <si>
    <t>5063_2</t>
  </si>
  <si>
    <t>ENSG00000182272</t>
  </si>
  <si>
    <t>5064_1</t>
  </si>
  <si>
    <t>ENSG00000131669</t>
  </si>
  <si>
    <t>5072_3</t>
  </si>
  <si>
    <t>ENSG00000157445</t>
  </si>
  <si>
    <t>5075_1</t>
  </si>
  <si>
    <t>ENSG00000151065</t>
  </si>
  <si>
    <t>ENST00000280665_Acinonyx_jubatus_zoonomia</t>
  </si>
  <si>
    <t>5077_1</t>
  </si>
  <si>
    <t>ENSG00000162341</t>
  </si>
  <si>
    <t>508_1</t>
  </si>
  <si>
    <t>ENSG00000262660</t>
  </si>
  <si>
    <t>ENSG00000262814</t>
  </si>
  <si>
    <t>5084_3</t>
  </si>
  <si>
    <t>ENSG00000166402</t>
  </si>
  <si>
    <t>5084_4</t>
  </si>
  <si>
    <t>ENSG00000078246</t>
  </si>
  <si>
    <t>ENST00000397132_Acinonyx_jubatus_zoonomia</t>
  </si>
  <si>
    <t>5087_2</t>
  </si>
  <si>
    <t>ENSG00000074219</t>
  </si>
  <si>
    <t>In_file_5087_1</t>
  </si>
  <si>
    <t>5088_1</t>
  </si>
  <si>
    <t>ENSG00000143119</t>
  </si>
  <si>
    <t>5088_3</t>
  </si>
  <si>
    <t>ENSG00000011105</t>
  </si>
  <si>
    <t>5090_1</t>
  </si>
  <si>
    <t>ENSG00000156298</t>
  </si>
  <si>
    <t>ENST00000286824_Acinonyx_jubatus_zoonomia</t>
  </si>
  <si>
    <t>ENSG00000250349</t>
  </si>
  <si>
    <t>ENST00000465127_Acinonyx_jubatus_zoonomia</t>
  </si>
  <si>
    <t>509_1</t>
  </si>
  <si>
    <t>ENSG00000164933</t>
  </si>
  <si>
    <t>ENSG00000285982</t>
  </si>
  <si>
    <t>5094_1</t>
  </si>
  <si>
    <t>ENSG00000085117</t>
  </si>
  <si>
    <t>5100_1</t>
  </si>
  <si>
    <t>ENSG00000010278</t>
  </si>
  <si>
    <t>5102_1</t>
  </si>
  <si>
    <t>ENSG00000140391</t>
  </si>
  <si>
    <t>510_3</t>
  </si>
  <si>
    <t>ENSG00000140107</t>
  </si>
  <si>
    <t>ENST00000361529_Acinonyx_jubatus_zoonomia</t>
  </si>
  <si>
    <t>5106_1</t>
  </si>
  <si>
    <t>ENSG00000118972</t>
  </si>
  <si>
    <t>5113_2</t>
  </si>
  <si>
    <t>ENSG00000225950</t>
  </si>
  <si>
    <t>51_1</t>
  </si>
  <si>
    <t>ENSG00000163395</t>
  </si>
  <si>
    <t>ENST00000295591_Acinonyx_jubatus_zoonomia</t>
  </si>
  <si>
    <t>5121_2</t>
  </si>
  <si>
    <t>ENSG00000105679</t>
  </si>
  <si>
    <t>5121_3</t>
  </si>
  <si>
    <t>ENSG00000111640</t>
  </si>
  <si>
    <t>ENST00000229239_Acinonyx_jubatus_zoonomia</t>
  </si>
  <si>
    <t>5125_2</t>
  </si>
  <si>
    <t>ENSG00000160094</t>
  </si>
  <si>
    <t>5128_1</t>
  </si>
  <si>
    <t>ENSG00000144524</t>
  </si>
  <si>
    <t>5130_1</t>
  </si>
  <si>
    <t>ENSG00000010610</t>
  </si>
  <si>
    <t>ENST00000011653_Acinonyx_jubatus_zoonomia</t>
  </si>
  <si>
    <t>5131_1</t>
  </si>
  <si>
    <t>ENSG00000110811</t>
  </si>
  <si>
    <t>5138_1</t>
  </si>
  <si>
    <t>ENSG00000111678</t>
  </si>
  <si>
    <t>5141_2</t>
  </si>
  <si>
    <t>ENSG00000172197</t>
  </si>
  <si>
    <t>514_1</t>
  </si>
  <si>
    <t>ENSG00000100075</t>
  </si>
  <si>
    <t>5145_1</t>
  </si>
  <si>
    <t>ENSG00000111732</t>
  </si>
  <si>
    <t>ENSG00000128383</t>
  </si>
  <si>
    <t>In_file_5147_1</t>
  </si>
  <si>
    <t>5147_1</t>
  </si>
  <si>
    <t>ENSG00000128394</t>
  </si>
  <si>
    <t>ENST00000308521_Acinonyx_jubatus_zoonomia</t>
  </si>
  <si>
    <t>ENSG00000179750</t>
  </si>
  <si>
    <t>ENSG00000239713</t>
  </si>
  <si>
    <t>ENSG00000243811</t>
  </si>
  <si>
    <t>ENST00000216099_Acinonyx_jubatus_zoonomia</t>
  </si>
  <si>
    <t>ENSG00000244509</t>
  </si>
  <si>
    <t>ENSG00000284554</t>
  </si>
  <si>
    <t>ENST00000381568_Acinonyx_jubatus_zoonomia</t>
  </si>
  <si>
    <t>5149_1</t>
  </si>
  <si>
    <t>ENSG00000124701</t>
  </si>
  <si>
    <t>5150_2</t>
  </si>
  <si>
    <t>ENSG00000092969</t>
  </si>
  <si>
    <t>515_2</t>
  </si>
  <si>
    <t>ENSG00000177542</t>
  </si>
  <si>
    <t>ENST00000320230_Acinonyx_jubatus_zoonomia</t>
  </si>
  <si>
    <t>515_3</t>
  </si>
  <si>
    <t>ENSG00000004864</t>
  </si>
  <si>
    <t>515_4</t>
  </si>
  <si>
    <t>ENSG00000115840</t>
  </si>
  <si>
    <t>5159_1</t>
  </si>
  <si>
    <t>ENSG00000172935</t>
  </si>
  <si>
    <t>5161_1</t>
  </si>
  <si>
    <t>ENSG00000256797</t>
  </si>
  <si>
    <t>ENST00000535540_Acinonyx_jubatus_zoonomia</t>
  </si>
  <si>
    <t>516_1</t>
  </si>
  <si>
    <t>ENSG00000183032</t>
  </si>
  <si>
    <t>517_1</t>
  </si>
  <si>
    <t>ENSG00000151729</t>
  </si>
  <si>
    <t>517_3</t>
  </si>
  <si>
    <t>ENSG00000151475</t>
  </si>
  <si>
    <t>ENST00000281154_Acinonyx_jubatus_zoonomia</t>
  </si>
  <si>
    <t>5174_2</t>
  </si>
  <si>
    <t>ENSG00000166532</t>
  </si>
  <si>
    <t>517_4</t>
  </si>
  <si>
    <t>ENSG00000005022</t>
  </si>
  <si>
    <t>5178_1</t>
  </si>
  <si>
    <t>ENSG00000205809</t>
  </si>
  <si>
    <t>ENST00000536833_Acinonyx_jubatus_zoonomia</t>
  </si>
  <si>
    <t>5179_1</t>
  </si>
  <si>
    <t>ENSG00000134545</t>
  </si>
  <si>
    <t>ENST00000347831_Acinonyx_jubatus_zoonomia</t>
  </si>
  <si>
    <t>ENSG00000183542</t>
  </si>
  <si>
    <t>ENSG00000205810</t>
  </si>
  <si>
    <t>ENSG00000255641</t>
  </si>
  <si>
    <t>ENST00000539033_Acinonyx_jubatus_zoonomia</t>
  </si>
  <si>
    <t>5188_2</t>
  </si>
  <si>
    <t>ENSG00000084774</t>
  </si>
  <si>
    <t>ENST00000264705_Acinonyx_jubatus_zoonomia</t>
  </si>
  <si>
    <t>519_1</t>
  </si>
  <si>
    <t>ENSG00000116786</t>
  </si>
  <si>
    <t>5192_1</t>
  </si>
  <si>
    <t>ENSG00000163794</t>
  </si>
  <si>
    <t>5197_1</t>
  </si>
  <si>
    <t>ENSG00000157992</t>
  </si>
  <si>
    <t>5206_1</t>
  </si>
  <si>
    <t>ENSG00000171174</t>
  </si>
  <si>
    <t>5208_2</t>
  </si>
  <si>
    <t>ENSG00000075426</t>
  </si>
  <si>
    <t>5209_1</t>
  </si>
  <si>
    <t>ENSG00000175592</t>
  </si>
  <si>
    <t>ENST00000312562_Acinonyx_jubatus_zoonomia</t>
  </si>
  <si>
    <t>5210_1</t>
  </si>
  <si>
    <t>ENSG00000125740</t>
  </si>
  <si>
    <t>ENST00000353609_Acinonyx_jubatus_zoonomia</t>
  </si>
  <si>
    <t>5229_1</t>
  </si>
  <si>
    <t>ENSG00000128039</t>
  </si>
  <si>
    <t>5231_1</t>
  </si>
  <si>
    <t>ENSG00000162961</t>
  </si>
  <si>
    <t>5232_2</t>
  </si>
  <si>
    <t>ENSG00000278685</t>
  </si>
  <si>
    <t>5234_2</t>
  </si>
  <si>
    <t>ENSG00000145740</t>
  </si>
  <si>
    <t>ENST00000396591_Acinonyx_jubatus_zoonomia</t>
  </si>
  <si>
    <t>5238_1</t>
  </si>
  <si>
    <t>ENSG00000101197</t>
  </si>
  <si>
    <t>5239_1</t>
  </si>
  <si>
    <t>ENSG00000119820</t>
  </si>
  <si>
    <t>52_3</t>
  </si>
  <si>
    <t>ENSG00000142661</t>
  </si>
  <si>
    <t>ENST00000374434_Acinonyx_jubatus_zoonomia</t>
  </si>
  <si>
    <t>5241_1</t>
  </si>
  <si>
    <t>ENSG00000018699</t>
  </si>
  <si>
    <t>5243_3</t>
  </si>
  <si>
    <t>ENSG00000130244</t>
  </si>
  <si>
    <t>ENST00000252530_Acinonyx_jubatus_zoonomia</t>
  </si>
  <si>
    <t>5245_1</t>
  </si>
  <si>
    <t>ENSG00000101938</t>
  </si>
  <si>
    <t>ENST00000372042_Acinonyx_jubatus_zoonomia</t>
  </si>
  <si>
    <t>5246_1</t>
  </si>
  <si>
    <t>ENSG00000171055</t>
  </si>
  <si>
    <t>5246_2</t>
  </si>
  <si>
    <t>ENSG00000149557</t>
  </si>
  <si>
    <t>5253_2</t>
  </si>
  <si>
    <t>ENSG00000011478</t>
  </si>
  <si>
    <t>5256_2</t>
  </si>
  <si>
    <t>ENSG00000198513</t>
  </si>
  <si>
    <t>5259_2</t>
  </si>
  <si>
    <t>ENSG00000117569</t>
  </si>
  <si>
    <t>ENST00000370197_Acinonyx_jubatus_zoonomia</t>
  </si>
  <si>
    <t>5259_4</t>
  </si>
  <si>
    <t>ENSG00000104824</t>
  </si>
  <si>
    <t>5259_5</t>
  </si>
  <si>
    <t>ENSG00000143889</t>
  </si>
  <si>
    <t>5261_1</t>
  </si>
  <si>
    <t>ENSG00000188529</t>
  </si>
  <si>
    <t>5261_2</t>
  </si>
  <si>
    <t>ENSG00000154548</t>
  </si>
  <si>
    <t>526_5</t>
  </si>
  <si>
    <t>ENSG00000132002</t>
  </si>
  <si>
    <t>ENST00000254322_Acinonyx_jubatus_zoonomia</t>
  </si>
  <si>
    <t>5272_1</t>
  </si>
  <si>
    <t>ENSG00000118160</t>
  </si>
  <si>
    <t>5274_1</t>
  </si>
  <si>
    <t>ENSG00000206530</t>
  </si>
  <si>
    <t>5279_2</t>
  </si>
  <si>
    <t>ENSG00000167771</t>
  </si>
  <si>
    <t>5282_1</t>
  </si>
  <si>
    <t>ENSG00000152518</t>
  </si>
  <si>
    <t>ENST00000282388_Acinonyx_jubatus_zoonomia</t>
  </si>
  <si>
    <t>5284_1</t>
  </si>
  <si>
    <t>ENSG00000115970</t>
  </si>
  <si>
    <t>ENST00000405006_Acinonyx_jubatus_zoonomia</t>
  </si>
  <si>
    <t>5287_1</t>
  </si>
  <si>
    <t>ENSG00000138079</t>
  </si>
  <si>
    <t>ENST00000260649_Acinonyx_jubatus_zoonomia</t>
  </si>
  <si>
    <t>5288_1</t>
  </si>
  <si>
    <t>ENSG00000168003</t>
  </si>
  <si>
    <t>ENST00000377889_Acinonyx_jubatus_zoonomia</t>
  </si>
  <si>
    <t>5291_1</t>
  </si>
  <si>
    <t>ENSG00000143919</t>
  </si>
  <si>
    <t>5292_6</t>
  </si>
  <si>
    <t>ENSG00000177045</t>
  </si>
  <si>
    <t>ENST00000317578_Acinonyx_jubatus_zoonomia</t>
  </si>
  <si>
    <t>5293_1</t>
  </si>
  <si>
    <t>ENSG00000126778</t>
  </si>
  <si>
    <t>5294_1</t>
  </si>
  <si>
    <t>ENSG00000068784</t>
  </si>
  <si>
    <t>5296_1</t>
  </si>
  <si>
    <t>ENSG00000284701</t>
  </si>
  <si>
    <t>ENST00000434431_Acinonyx_jubatus_zoonomia</t>
  </si>
  <si>
    <t>530_2</t>
  </si>
  <si>
    <t>ENSG00000164031</t>
  </si>
  <si>
    <t>5307_3</t>
  </si>
  <si>
    <t>ENSG00000113318</t>
  </si>
  <si>
    <t>ENST00000265081_Acinonyx_jubatus_zoonomia</t>
  </si>
  <si>
    <t>5314_1</t>
  </si>
  <si>
    <t>ENSG00000128965</t>
  </si>
  <si>
    <t>ENST00000444189_Acinonyx_jubatus_zoonomia</t>
  </si>
  <si>
    <t>531_4</t>
  </si>
  <si>
    <t>ENSG00000105993</t>
  </si>
  <si>
    <t>5315_1</t>
  </si>
  <si>
    <t>ENSG00000068912</t>
  </si>
  <si>
    <t>531_5</t>
  </si>
  <si>
    <t>ENSG00000172404</t>
  </si>
  <si>
    <t>ENST00000307221_Acinonyx_jubatus_zoonomia</t>
  </si>
  <si>
    <t>5316_1</t>
  </si>
  <si>
    <t>ENSG00000135506</t>
  </si>
  <si>
    <t>ENST00000257966_Acinonyx_jubatus_zoonomia</t>
  </si>
  <si>
    <t>53_1</t>
  </si>
  <si>
    <t>ENSG00000101825</t>
  </si>
  <si>
    <t>ENST00000217939_Acinonyx_jubatus_zoonomia</t>
  </si>
  <si>
    <t>5321_1</t>
  </si>
  <si>
    <t>ENSG00000119335</t>
  </si>
  <si>
    <t>ENSG00000230667</t>
  </si>
  <si>
    <t>5321_2</t>
  </si>
  <si>
    <t>ENSG00000184205</t>
  </si>
  <si>
    <t>ENST00000375442_Acinonyx_jubatus_zoonomia</t>
  </si>
  <si>
    <t>5321_8</t>
  </si>
  <si>
    <t>ENSG00000187189</t>
  </si>
  <si>
    <t>5324_2</t>
  </si>
  <si>
    <t>ENSG00000100139</t>
  </si>
  <si>
    <t>ENST00000215957_Acinonyx_jubatus_zoonomia</t>
  </si>
  <si>
    <t>5327_1</t>
  </si>
  <si>
    <t>ENSG00000214872</t>
  </si>
  <si>
    <t>5329_2</t>
  </si>
  <si>
    <t>ENSG00000173442</t>
  </si>
  <si>
    <t>ENST00000309295_Acinonyx_jubatus_zoonomia</t>
  </si>
  <si>
    <t>5331_1</t>
  </si>
  <si>
    <t>ENSG00000115310</t>
  </si>
  <si>
    <t>5335_1</t>
  </si>
  <si>
    <t>ENSG00000102178</t>
  </si>
  <si>
    <t>5342_2</t>
  </si>
  <si>
    <t>ENSG00000175602</t>
  </si>
  <si>
    <t>5342_3</t>
  </si>
  <si>
    <t>ENSG00000055813</t>
  </si>
  <si>
    <t>5342_4</t>
  </si>
  <si>
    <t>ENSG00000205476</t>
  </si>
  <si>
    <t>5343_1</t>
  </si>
  <si>
    <t>ENSG00000105053</t>
  </si>
  <si>
    <t>ENST00000316763_Acinonyx_jubatus_zoonomia</t>
  </si>
  <si>
    <t>5345_2</t>
  </si>
  <si>
    <t>ENSG00000119866</t>
  </si>
  <si>
    <t>5350_1</t>
  </si>
  <si>
    <t>ENSG00000237651</t>
  </si>
  <si>
    <t>5360_2</t>
  </si>
  <si>
    <t>ENSG00000197329</t>
  </si>
  <si>
    <t>5362_1</t>
  </si>
  <si>
    <t>ENSG00000100151</t>
  </si>
  <si>
    <t>5368_1</t>
  </si>
  <si>
    <t>ENSG00000131981</t>
  </si>
  <si>
    <t>5369_1</t>
  </si>
  <si>
    <t>ENSG00000178934</t>
  </si>
  <si>
    <t>ENSG00000205076</t>
  </si>
  <si>
    <t>537_1</t>
  </si>
  <si>
    <t>ENSG00000244115</t>
  </si>
  <si>
    <t>5372_1</t>
  </si>
  <si>
    <t>ENSG00000115902</t>
  </si>
  <si>
    <t>5372_4</t>
  </si>
  <si>
    <t>ENSG00000079215</t>
  </si>
  <si>
    <t>ENST00000265113_Acinonyx_jubatus_zoonomia</t>
  </si>
  <si>
    <t>5372_5</t>
  </si>
  <si>
    <t>ENSG00000105143</t>
  </si>
  <si>
    <t>5373_1</t>
  </si>
  <si>
    <t>ENSG00000105281</t>
  </si>
  <si>
    <t>In_file_5372_2</t>
  </si>
  <si>
    <t>5377_2</t>
  </si>
  <si>
    <t>ENSG00000196405</t>
  </si>
  <si>
    <t>ENST00000402714_Acinonyx_jubatus_zoonomia</t>
  </si>
  <si>
    <t>5390_1</t>
  </si>
  <si>
    <t>ENSG00000169604</t>
  </si>
  <si>
    <t>ENST00000303714_Acinonyx_jubatus_zoonomia</t>
  </si>
  <si>
    <t>5390_2</t>
  </si>
  <si>
    <t>ENSG00000163297</t>
  </si>
  <si>
    <t>5397_1</t>
  </si>
  <si>
    <t>ENSG00000087338</t>
  </si>
  <si>
    <t>ENSG00000244234</t>
  </si>
  <si>
    <t>ENST00000463439_Acinonyx_jubatus_zoonomia</t>
  </si>
  <si>
    <t>5400_1</t>
  </si>
  <si>
    <t>ENSG00000124380</t>
  </si>
  <si>
    <t>5401_2</t>
  </si>
  <si>
    <t>ENSG00000119950</t>
  </si>
  <si>
    <t>5401_3</t>
  </si>
  <si>
    <t>ENSG00000123933</t>
  </si>
  <si>
    <t>ENST00000337190_Acinonyx_jubatus_zoonomia</t>
  </si>
  <si>
    <t>5406_1</t>
  </si>
  <si>
    <t>ENSG00000115998</t>
  </si>
  <si>
    <t>5409_1</t>
  </si>
  <si>
    <t>ENSG00000147274</t>
  </si>
  <si>
    <t>ENST00000431446_Acinonyx_jubatus_zoonomia</t>
  </si>
  <si>
    <t>ENSG00000170748</t>
  </si>
  <si>
    <t>ENSG00000175718</t>
  </si>
  <si>
    <t>5411_1</t>
  </si>
  <si>
    <t>In_file_5409_1</t>
  </si>
  <si>
    <t>54_11</t>
  </si>
  <si>
    <t>ENSG00000184144</t>
  </si>
  <si>
    <t>ENST00000640428_Acinonyx_jubatus_zoonomia</t>
  </si>
  <si>
    <t>54_12</t>
  </si>
  <si>
    <t>ENSG00000154134</t>
  </si>
  <si>
    <t>ENST00000397801_Acinonyx_jubatus_zoonomia</t>
  </si>
  <si>
    <t>54_14</t>
  </si>
  <si>
    <t>ENSG00000169855</t>
  </si>
  <si>
    <t>ENST00000464233_Acinonyx_jubatus_zoonomia</t>
  </si>
  <si>
    <t>5415_1</t>
  </si>
  <si>
    <t>ENSG00000126254</t>
  </si>
  <si>
    <t>ENST00000262633_Acinonyx_jubatus_zoonomia</t>
  </si>
  <si>
    <t>54_16</t>
  </si>
  <si>
    <t>ENSG00000069188</t>
  </si>
  <si>
    <t>ENST00000392650_Acinonyx_jubatus_zoonomia</t>
  </si>
  <si>
    <t>5417_1</t>
  </si>
  <si>
    <t>ENSG00000145882</t>
  </si>
  <si>
    <t>ENST00000274569_Acinonyx_jubatus_zoonomia</t>
  </si>
  <si>
    <t>5418_1</t>
  </si>
  <si>
    <t>ENSG00000143977</t>
  </si>
  <si>
    <t>5419_1</t>
  </si>
  <si>
    <t>ENSG00000130332</t>
  </si>
  <si>
    <t>5429_1</t>
  </si>
  <si>
    <t>ENSG00000144043</t>
  </si>
  <si>
    <t>ENSG00000258881</t>
  </si>
  <si>
    <t>5433_1</t>
  </si>
  <si>
    <t>ENSG00000124374</t>
  </si>
  <si>
    <t>5435_4</t>
  </si>
  <si>
    <t>ENSG00000115155</t>
  </si>
  <si>
    <t>ENST00000403946_Acinonyx_jubatus_zoonomia</t>
  </si>
  <si>
    <t>5441_1</t>
  </si>
  <si>
    <t>ENSG00000156675</t>
  </si>
  <si>
    <t>544_1</t>
  </si>
  <si>
    <t>ENSG00000204397</t>
  </si>
  <si>
    <t>ENSG00000255221</t>
  </si>
  <si>
    <t>ENSG00000255501</t>
  </si>
  <si>
    <t>5443_1</t>
  </si>
  <si>
    <t>ENSG00000135617</t>
  </si>
  <si>
    <t>5444_1</t>
  </si>
  <si>
    <t>ENSG00000163013</t>
  </si>
  <si>
    <t>ENST00000295133_Acinonyx_jubatus_zoonomia</t>
  </si>
  <si>
    <t>5453_1</t>
  </si>
  <si>
    <t>ENSG00000187833</t>
  </si>
  <si>
    <t>ENST00000409561_Acinonyx_jubatus_zoonomia</t>
  </si>
  <si>
    <t>5457_1</t>
  </si>
  <si>
    <t>ENSG00000164867</t>
  </si>
  <si>
    <t>ENST00000297494_Acinonyx_jubatus_zoonomia</t>
  </si>
  <si>
    <t>5457_6</t>
  </si>
  <si>
    <t>ENSG00000127948</t>
  </si>
  <si>
    <t>ENST00000461988_Acinonyx_jubatus_zoonomia</t>
  </si>
  <si>
    <t>5458_1</t>
  </si>
  <si>
    <t>ENSG00000284976</t>
  </si>
  <si>
    <t>ENST00000645271_Acinonyx_jubatus_zoonomia</t>
  </si>
  <si>
    <t>5459_4</t>
  </si>
  <si>
    <t>ENSG00000107731</t>
  </si>
  <si>
    <t>546_1</t>
  </si>
  <si>
    <t>ENSG00000142634</t>
  </si>
  <si>
    <t>5462_1</t>
  </si>
  <si>
    <t>ENSG00000212124</t>
  </si>
  <si>
    <t>ENSG00000212126</t>
  </si>
  <si>
    <t>ENSG00000212127</t>
  </si>
  <si>
    <t>ENSG00000226761</t>
  </si>
  <si>
    <t>ENST00000533467_Acinonyx_jubatus_zoonomia</t>
  </si>
  <si>
    <t>ENSG00000255374</t>
  </si>
  <si>
    <t>ENST00000531678_Acinonyx_jubatus_zoonomia</t>
  </si>
  <si>
    <t>ENSG00000255837</t>
  </si>
  <si>
    <t>ENST00000538986_Acinonyx_jubatus_zoonomia</t>
  </si>
  <si>
    <t>ENSG00000256188</t>
  </si>
  <si>
    <t>ENSG00000256436</t>
  </si>
  <si>
    <t>ENST00000390675_Acinonyx_jubatus_zoonomia</t>
  </si>
  <si>
    <t>5464_1</t>
  </si>
  <si>
    <t>ENSG00000257138</t>
  </si>
  <si>
    <t>ENST00000547270_Acinonyx_jubatus_zoonomia</t>
  </si>
  <si>
    <t>5465_1</t>
  </si>
  <si>
    <t>ENSG00000185899</t>
  </si>
  <si>
    <t>ENST00000332690_Acinonyx_jubatus_zoonomia</t>
  </si>
  <si>
    <t>ENSG00000221855</t>
  </si>
  <si>
    <t>ENST00000408916_Acinonyx_jubatus_zoonomia</t>
  </si>
  <si>
    <t>5468_1</t>
  </si>
  <si>
    <t>ENSG00000127364</t>
  </si>
  <si>
    <t>5472_2</t>
  </si>
  <si>
    <t>ENSG00000164236</t>
  </si>
  <si>
    <t>ENST00000296657_Acinonyx_jubatus_zoonomia</t>
  </si>
  <si>
    <t>5476_1</t>
  </si>
  <si>
    <t>ENSG00000057294</t>
  </si>
  <si>
    <t>In_file_5474_5</t>
  </si>
  <si>
    <t>5477_2</t>
  </si>
  <si>
    <t>ENSG00000154124</t>
  </si>
  <si>
    <t>548_1</t>
  </si>
  <si>
    <t>ENSG00000142621</t>
  </si>
  <si>
    <t>ENST00000358897_Acinonyx_jubatus_zoonomia</t>
  </si>
  <si>
    <t>5482_1</t>
  </si>
  <si>
    <t>ENSG00000064995</t>
  </si>
  <si>
    <t>ENSG00000249662</t>
  </si>
  <si>
    <t>ENSG00000283740</t>
  </si>
  <si>
    <t>5482_2</t>
  </si>
  <si>
    <t>ENSG00000249156</t>
  </si>
  <si>
    <t>In_file_5482_1</t>
  </si>
  <si>
    <t>ENSG00000250782</t>
  </si>
  <si>
    <t>ENSG00000283776</t>
  </si>
  <si>
    <t>ENSG00000283967</t>
  </si>
  <si>
    <t>ENSG00000283988</t>
  </si>
  <si>
    <t>ENSG00000284042</t>
  </si>
  <si>
    <t>ENSG00000284234</t>
  </si>
  <si>
    <t>ENSG00000284283</t>
  </si>
  <si>
    <t>In_file_5482_5</t>
  </si>
  <si>
    <t>ENSG00000284356</t>
  </si>
  <si>
    <t>ENSG00000284373</t>
  </si>
  <si>
    <t>ENSG00000284439</t>
  </si>
  <si>
    <t>ENSG00000284465</t>
  </si>
  <si>
    <t>5482_3</t>
  </si>
  <si>
    <t>In_file_5482_2</t>
  </si>
  <si>
    <t>5486_1</t>
  </si>
  <si>
    <t>ENSG00000133983</t>
  </si>
  <si>
    <t>5487_1</t>
  </si>
  <si>
    <t>ENSG00000113384</t>
  </si>
  <si>
    <t>5487_2</t>
  </si>
  <si>
    <t>ENSG00000143457</t>
  </si>
  <si>
    <t>5488_1</t>
  </si>
  <si>
    <t>ENSG00000113387</t>
  </si>
  <si>
    <t>5497_1</t>
  </si>
  <si>
    <t>ENSG00000113456</t>
  </si>
  <si>
    <t>54_9</t>
  </si>
  <si>
    <t>ENSG00000149972</t>
  </si>
  <si>
    <t>5502_12</t>
  </si>
  <si>
    <t>ENSG00000109181</t>
  </si>
  <si>
    <t>ENSG00000173610</t>
  </si>
  <si>
    <t>5506_2</t>
  </si>
  <si>
    <t>ENSG00000031823</t>
  </si>
  <si>
    <t>ENST00000034275_Acinonyx_jubatus_zoonomia</t>
  </si>
  <si>
    <t>5511_1</t>
  </si>
  <si>
    <t>ENSG00000168621</t>
  </si>
  <si>
    <t>ENST00000381826_Acinonyx_jubatus_zoonomia</t>
  </si>
  <si>
    <t>5513_1</t>
  </si>
  <si>
    <t>ENSG00000125650</t>
  </si>
  <si>
    <t>5517_1</t>
  </si>
  <si>
    <t>ENSG00000164327</t>
  </si>
  <si>
    <t>5519_1</t>
  </si>
  <si>
    <t>ENSG00000133246</t>
  </si>
  <si>
    <t>5523_1</t>
  </si>
  <si>
    <t>ENSG00000144366</t>
  </si>
  <si>
    <t>5524_1</t>
  </si>
  <si>
    <t>ENSG00000113638</t>
  </si>
  <si>
    <t>5525_1</t>
  </si>
  <si>
    <t>ENSG00000171522</t>
  </si>
  <si>
    <t>5528_1</t>
  </si>
  <si>
    <t>ENSG00000145592</t>
  </si>
  <si>
    <t>ENST00000509877_Acinonyx_jubatus_zoonomia</t>
  </si>
  <si>
    <t>55_2</t>
  </si>
  <si>
    <t>ENSG00000005381</t>
  </si>
  <si>
    <t>ENSG00000121053</t>
  </si>
  <si>
    <t>ENST00000225371_Acinonyx_jubatus_zoonomia</t>
  </si>
  <si>
    <t>553_1</t>
  </si>
  <si>
    <t>ENSG00000110841</t>
  </si>
  <si>
    <t>5533_1</t>
  </si>
  <si>
    <t>ENSG00000179832</t>
  </si>
  <si>
    <t>ENST00000326134_Acinonyx_jubatus_zoonomia</t>
  </si>
  <si>
    <t>5533_2</t>
  </si>
  <si>
    <t>ENSG00000185038</t>
  </si>
  <si>
    <t>ENST00000389758_Acinonyx_jubatus_zoonomia</t>
  </si>
  <si>
    <t>5533_3</t>
  </si>
  <si>
    <t>ENSG00000171495</t>
  </si>
  <si>
    <t>ENST00000399564_Acinonyx_jubatus_zoonomia</t>
  </si>
  <si>
    <t>5539_1</t>
  </si>
  <si>
    <t>ENSG00000180644</t>
  </si>
  <si>
    <t>ENST00000638674_Acinonyx_jubatus_zoonomia</t>
  </si>
  <si>
    <t>5553_1</t>
  </si>
  <si>
    <t>ENSG00000112992</t>
  </si>
  <si>
    <t>5557_1</t>
  </si>
  <si>
    <t>ENSG00000151883</t>
  </si>
  <si>
    <t>ENST00000281631_Acinonyx_jubatus_zoonomia</t>
  </si>
  <si>
    <t>5557_2</t>
  </si>
  <si>
    <t>ENSG00000137817</t>
  </si>
  <si>
    <t>5558_2</t>
  </si>
  <si>
    <t>ENSG00000048540</t>
  </si>
  <si>
    <t>5558_3</t>
  </si>
  <si>
    <t>ENSG00000166407</t>
  </si>
  <si>
    <t>5558_4</t>
  </si>
  <si>
    <t>ENSG00000143013</t>
  </si>
  <si>
    <t>5560_1</t>
  </si>
  <si>
    <t>ENSG00000164172</t>
  </si>
  <si>
    <t>5567_1</t>
  </si>
  <si>
    <t>ENSG00000234602</t>
  </si>
  <si>
    <t>ENST00000513312_Acinonyx_jubatus_zoonomia</t>
  </si>
  <si>
    <t>5568_1</t>
  </si>
  <si>
    <t>ENSG00000112312</t>
  </si>
  <si>
    <t>5569_1</t>
  </si>
  <si>
    <t>ENSG00000112249</t>
  </si>
  <si>
    <t>ENST00000369162_Acinonyx_jubatus_zoonomia</t>
  </si>
  <si>
    <t>557_1</t>
  </si>
  <si>
    <t>ENSG00000152582</t>
  </si>
  <si>
    <t>5579_1</t>
  </si>
  <si>
    <t>ENSG00000024526</t>
  </si>
  <si>
    <t>5579_2</t>
  </si>
  <si>
    <t>ENSG00000035499</t>
  </si>
  <si>
    <t>ENST00000265036_Acinonyx_jubatus_zoonomia</t>
  </si>
  <si>
    <t>5582_1</t>
  </si>
  <si>
    <t>ENSG00000197977</t>
  </si>
  <si>
    <t>ENST00000354666_Acinonyx_jubatus_zoonomia</t>
  </si>
  <si>
    <t>5582_4</t>
  </si>
  <si>
    <t>ENSG00000066322</t>
  </si>
  <si>
    <t>5586_1</t>
  </si>
  <si>
    <t>ENSG00000134574</t>
  </si>
  <si>
    <t>ENST00000256996_Acinonyx_jubatus_zoonomia</t>
  </si>
  <si>
    <t>5588_1</t>
  </si>
  <si>
    <t>ENSG00000188725</t>
  </si>
  <si>
    <t>ENST00000339020_Acinonyx_jubatus_zoonomia</t>
  </si>
  <si>
    <t>5591_1</t>
  </si>
  <si>
    <t>ENSG00000086200</t>
  </si>
  <si>
    <t>559_14</t>
  </si>
  <si>
    <t>ENSG00000168661</t>
  </si>
  <si>
    <t>ENST00000303586_Acinonyx_jubatus_zoonomia</t>
  </si>
  <si>
    <t>ENSG00000189144</t>
  </si>
  <si>
    <t>ENST00000536220_Acinonyx_jubatus_zoonomia</t>
  </si>
  <si>
    <t>ENSG00000196267</t>
  </si>
  <si>
    <t>In_file_568_14</t>
  </si>
  <si>
    <t>ENSG00000198182</t>
  </si>
  <si>
    <t>ENSG00000204611</t>
  </si>
  <si>
    <t>ENST00000600228_Acinonyx_jubatus_zoonomia</t>
  </si>
  <si>
    <t>559_15</t>
  </si>
  <si>
    <t>ENSG00000130684</t>
  </si>
  <si>
    <t>In_file_643_1</t>
  </si>
  <si>
    <t>ENSG00000196458</t>
  </si>
  <si>
    <t>ENST00000360187_Acinonyx_jubatus_zoonomia</t>
  </si>
  <si>
    <t>ENSG00000198040</t>
  </si>
  <si>
    <t>ENST00000535439_Acinonyx_jubatus_zoonomia</t>
  </si>
  <si>
    <t>5592_1</t>
  </si>
  <si>
    <t>ENSG00000165370</t>
  </si>
  <si>
    <t>ENST00000298110_Acinonyx_jubatus_zoonomia</t>
  </si>
  <si>
    <t>5596_1</t>
  </si>
  <si>
    <t>ENSG00000145642</t>
  </si>
  <si>
    <t>559_7</t>
  </si>
  <si>
    <t>ENSG00000147118</t>
  </si>
  <si>
    <t>559_8</t>
  </si>
  <si>
    <t>ENSG00000189180</t>
  </si>
  <si>
    <t>In_file_5818_1</t>
  </si>
  <si>
    <t>ENSG00000196597</t>
  </si>
  <si>
    <t>ENSG00000196693</t>
  </si>
  <si>
    <t>ENSG00000198185</t>
  </si>
  <si>
    <t>ENSG00000274349</t>
  </si>
  <si>
    <t>5600_5</t>
  </si>
  <si>
    <t>ENSG00000125430</t>
  </si>
  <si>
    <t>ENSG00000153976</t>
  </si>
  <si>
    <t>5608_1</t>
  </si>
  <si>
    <t>ENSG00000169189</t>
  </si>
  <si>
    <t>5611_1</t>
  </si>
  <si>
    <t>ENSG00000103522</t>
  </si>
  <si>
    <t>5613_1</t>
  </si>
  <si>
    <t>ENSG00000047578</t>
  </si>
  <si>
    <t>5622_1</t>
  </si>
  <si>
    <t>ENSG00000184730</t>
  </si>
  <si>
    <t>5623_1</t>
  </si>
  <si>
    <t>ENSG00000197272</t>
  </si>
  <si>
    <t>5627_1</t>
  </si>
  <si>
    <t>ENSG00000168488</t>
  </si>
  <si>
    <t>ENST00000325215_Acinonyx_jubatus_zoonomia</t>
  </si>
  <si>
    <t>5629_1</t>
  </si>
  <si>
    <t>ENSG00000160999</t>
  </si>
  <si>
    <t>5631_1</t>
  </si>
  <si>
    <t>ENSG00000177548</t>
  </si>
  <si>
    <t>ENST00000357573_Acinonyx_jubatus_zoonomia</t>
  </si>
  <si>
    <t>5632_1</t>
  </si>
  <si>
    <t>ENSG00000029725</t>
  </si>
  <si>
    <t>5633_1</t>
  </si>
  <si>
    <t>ENSG00000177455</t>
  </si>
  <si>
    <t>5636_2</t>
  </si>
  <si>
    <t>ENSG00000169682</t>
  </si>
  <si>
    <t>5638_1</t>
  </si>
  <si>
    <t>ENSG00000132207</t>
  </si>
  <si>
    <t>ENSG00000181625</t>
  </si>
  <si>
    <t>5640_1</t>
  </si>
  <si>
    <t>ENSG00000103485</t>
  </si>
  <si>
    <t>ENST00000395384_Acinonyx_jubatus_zoonomia</t>
  </si>
  <si>
    <t>5643_1</t>
  </si>
  <si>
    <t>ENSG00000174992</t>
  </si>
  <si>
    <t>5650_1</t>
  </si>
  <si>
    <t>ENSG00000013364</t>
  </si>
  <si>
    <t>5655_1</t>
  </si>
  <si>
    <t>ENSG00000149929</t>
  </si>
  <si>
    <t>ENST00000279392_Acinonyx_jubatus_zoonomia</t>
  </si>
  <si>
    <t>5658_1</t>
  </si>
  <si>
    <t>ENSG00000139973</t>
  </si>
  <si>
    <t>5659_1</t>
  </si>
  <si>
    <t>ENSG00000167194</t>
  </si>
  <si>
    <t>ENST00000569198_Acinonyx_jubatus_zoonomia</t>
  </si>
  <si>
    <t>5661_1</t>
  </si>
  <si>
    <t>ENSG00000149926</t>
  </si>
  <si>
    <t>ENST00000561666_Acinonyx_jubatus_zoonomia</t>
  </si>
  <si>
    <t>566_1</t>
  </si>
  <si>
    <t>ENSG00000214029</t>
  </si>
  <si>
    <t>ENST00000650709_Acinonyx_jubatus_zoonomia</t>
  </si>
  <si>
    <t>ENSG00000256223</t>
  </si>
  <si>
    <t>5665_1</t>
  </si>
  <si>
    <t>ENSG00000169957</t>
  </si>
  <si>
    <t>5666_1</t>
  </si>
  <si>
    <t>ENSG00000156858</t>
  </si>
  <si>
    <t>ENST00000300835_Acinonyx_jubatus_zoonomia</t>
  </si>
  <si>
    <t>5668_1</t>
  </si>
  <si>
    <t>ENSG00000241878</t>
  </si>
  <si>
    <t>5673_1</t>
  </si>
  <si>
    <t>ENSG00000281991</t>
  </si>
  <si>
    <t>5674_1</t>
  </si>
  <si>
    <t>ENSG00000106635</t>
  </si>
  <si>
    <t>5675_1</t>
  </si>
  <si>
    <t>ENSG00000110987</t>
  </si>
  <si>
    <t>5678_1</t>
  </si>
  <si>
    <t>ENSG00000175938</t>
  </si>
  <si>
    <t>5681_3</t>
  </si>
  <si>
    <t>ENSG00000166900</t>
  </si>
  <si>
    <t>568_14</t>
  </si>
  <si>
    <t>ENSG00000167555</t>
  </si>
  <si>
    <t>In_file_591_1</t>
  </si>
  <si>
    <t>ENSG00000170949</t>
  </si>
  <si>
    <t>ENSG00000196247</t>
  </si>
  <si>
    <t>ENSG00000197497</t>
  </si>
  <si>
    <t>ENSG00000197608</t>
  </si>
  <si>
    <t>ENSG00000221923</t>
  </si>
  <si>
    <t>ENST00000422689_Acinonyx_jubatus_zoonomia</t>
  </si>
  <si>
    <t>568_16</t>
  </si>
  <si>
    <t>ENSG00000105750</t>
  </si>
  <si>
    <t>ENSG00000182141</t>
  </si>
  <si>
    <t>In_file_593_1</t>
  </si>
  <si>
    <t>ENSG00000184635</t>
  </si>
  <si>
    <t>ENSG00000196268</t>
  </si>
  <si>
    <t>ENSG00000198039</t>
  </si>
  <si>
    <t>ENSG00000256771</t>
  </si>
  <si>
    <t>5683_1</t>
  </si>
  <si>
    <t>ENSG00000117758</t>
  </si>
  <si>
    <t>568_3</t>
  </si>
  <si>
    <t>ENSG00000278318</t>
  </si>
  <si>
    <t>ENST00000613197_Acinonyx_jubatus_zoonomia</t>
  </si>
  <si>
    <t>5690_1</t>
  </si>
  <si>
    <t>ENSG00000111775</t>
  </si>
  <si>
    <t>5691_4</t>
  </si>
  <si>
    <t>ENSG00000163637</t>
  </si>
  <si>
    <t>ENST00000295902_Acinonyx_jubatus_zoonomia</t>
  </si>
  <si>
    <t>5692_1</t>
  </si>
  <si>
    <t>ENSG00000278224</t>
  </si>
  <si>
    <t>5699_1</t>
  </si>
  <si>
    <t>ENSG00000155330</t>
  </si>
  <si>
    <t>570_1</t>
  </si>
  <si>
    <t>ENSG00000169131</t>
  </si>
  <si>
    <t>In_file_570_2</t>
  </si>
  <si>
    <t>ENSG00000178338</t>
  </si>
  <si>
    <t>5702_2</t>
  </si>
  <si>
    <t>ENSG00000067177</t>
  </si>
  <si>
    <t>5702_3</t>
  </si>
  <si>
    <t>ENSG00000044446</t>
  </si>
  <si>
    <t>ENST00000379942_Acinonyx_jubatus_zoonomia</t>
  </si>
  <si>
    <t>5705_2</t>
  </si>
  <si>
    <t>ENSG00000149289</t>
  </si>
  <si>
    <t>5705_3</t>
  </si>
  <si>
    <t>ENSG00000102053</t>
  </si>
  <si>
    <t>ENST00000338957_Acinonyx_jubatus_zoonomia</t>
  </si>
  <si>
    <t>5705_5</t>
  </si>
  <si>
    <t>ENSG00000178199</t>
  </si>
  <si>
    <t>5711_1</t>
  </si>
  <si>
    <t>ENSG00000167208</t>
  </si>
  <si>
    <t>ENST00000423026_Acinonyx_jubatus_zoonomia</t>
  </si>
  <si>
    <t>571_2</t>
  </si>
  <si>
    <t>ENSG00000178229</t>
  </si>
  <si>
    <t>In_file_571_4</t>
  </si>
  <si>
    <t>5716_4</t>
  </si>
  <si>
    <t>ENSG00000165821</t>
  </si>
  <si>
    <t>ENST00000546363_Acinonyx_jubatus_zoonomia</t>
  </si>
  <si>
    <t>5718_1</t>
  </si>
  <si>
    <t>ENSG00000103460</t>
  </si>
  <si>
    <t>5718_3</t>
  </si>
  <si>
    <t>ENSG00000124191</t>
  </si>
  <si>
    <t>5720_1</t>
  </si>
  <si>
    <t>ENSG00000166971</t>
  </si>
  <si>
    <t>5721_1</t>
  </si>
  <si>
    <t>ENSG00000103494</t>
  </si>
  <si>
    <t>ENST00000262135_Acinonyx_jubatus_zoonomia</t>
  </si>
  <si>
    <t>572_3</t>
  </si>
  <si>
    <t>ENSG00000186230</t>
  </si>
  <si>
    <t>ENSG00000186272</t>
  </si>
  <si>
    <t>ENST00000601808_Acinonyx_jubatus_zoonomia</t>
  </si>
  <si>
    <t>5725_1</t>
  </si>
  <si>
    <t>ENSG00000162298</t>
  </si>
  <si>
    <t>ENST00000294256_Acinonyx_jubatus_zoonomia</t>
  </si>
  <si>
    <t>5731_1</t>
  </si>
  <si>
    <t>ENSG00000122557</t>
  </si>
  <si>
    <t>573_1</t>
  </si>
  <si>
    <t>ENSG00000171817</t>
  </si>
  <si>
    <t>5735_1</t>
  </si>
  <si>
    <t>ENSG00000196218</t>
  </si>
  <si>
    <t>ENST00000355481_Acinonyx_jubatus_zoonomia</t>
  </si>
  <si>
    <t>573_6</t>
  </si>
  <si>
    <t>ENSG00000130844</t>
  </si>
  <si>
    <t>5740_1</t>
  </si>
  <si>
    <t>ENSG00000088682</t>
  </si>
  <si>
    <t>5743_3</t>
  </si>
  <si>
    <t>ENSG00000101134</t>
  </si>
  <si>
    <t>5747_2</t>
  </si>
  <si>
    <t>ENSG00000135736</t>
  </si>
  <si>
    <t>ENST00000258214_Acinonyx_jubatus_zoonomia</t>
  </si>
  <si>
    <t>5750_1</t>
  </si>
  <si>
    <t>ENSG00000166188</t>
  </si>
  <si>
    <t>ENST00000299237_Acinonyx_jubatus_zoonomia</t>
  </si>
  <si>
    <t>5758_1</t>
  </si>
  <si>
    <t>ENSG00000166546</t>
  </si>
  <si>
    <t>5759_1</t>
  </si>
  <si>
    <t>ENSG00000166548</t>
  </si>
  <si>
    <t>5760_1</t>
  </si>
  <si>
    <t>ENSG00000114956</t>
  </si>
  <si>
    <t>5769_1</t>
  </si>
  <si>
    <t>ENSG00000067955</t>
  </si>
  <si>
    <t>5770_1</t>
  </si>
  <si>
    <t>ENSG00000125149</t>
  </si>
  <si>
    <t>5773_1</t>
  </si>
  <si>
    <t>ENSG00000025156</t>
  </si>
  <si>
    <t>5773_3</t>
  </si>
  <si>
    <t>ENSG00000185122</t>
  </si>
  <si>
    <t>5775_2</t>
  </si>
  <si>
    <t>ENSG00000133740</t>
  </si>
  <si>
    <t>5778_1</t>
  </si>
  <si>
    <t>ENSG00000155849</t>
  </si>
  <si>
    <t>5783_2</t>
  </si>
  <si>
    <t>ENSG00000124092</t>
  </si>
  <si>
    <t>ENST00000423479_Acinonyx_jubatus_zoonomia</t>
  </si>
  <si>
    <t>5784_1</t>
  </si>
  <si>
    <t>ENSG00000020256</t>
  </si>
  <si>
    <t>ENST00000371518_Acinonyx_jubatus_zoonomia</t>
  </si>
  <si>
    <t>5785_2</t>
  </si>
  <si>
    <t>ENSG00000186648</t>
  </si>
  <si>
    <t>ENST00000342740_Acinonyx_jubatus_zoonomia</t>
  </si>
  <si>
    <t>5785_3</t>
  </si>
  <si>
    <t>ENSG00000159753</t>
  </si>
  <si>
    <t>5790_1</t>
  </si>
  <si>
    <t>ENSG00000124171</t>
  </si>
  <si>
    <t>5793_2</t>
  </si>
  <si>
    <t>ENSG00000141084</t>
  </si>
  <si>
    <t>5795_1</t>
  </si>
  <si>
    <t>ENSG00000102898</t>
  </si>
  <si>
    <t>5798_2</t>
  </si>
  <si>
    <t>ENSG00000204264</t>
  </si>
  <si>
    <t>ENST00000374881_Acinonyx_jubatus_zoonomia</t>
  </si>
  <si>
    <t>5800_1</t>
  </si>
  <si>
    <t>ENSG00000143106</t>
  </si>
  <si>
    <t>5801_2</t>
  </si>
  <si>
    <t>ENSG00000106588</t>
  </si>
  <si>
    <t>5801_4</t>
  </si>
  <si>
    <t>ENSG00000101182</t>
  </si>
  <si>
    <t>5802_1</t>
  </si>
  <si>
    <t>ENSG00000129084</t>
  </si>
  <si>
    <t>5803_1</t>
  </si>
  <si>
    <t>ENSG00000100902</t>
  </si>
  <si>
    <t>5805_1</t>
  </si>
  <si>
    <t>ENSG00000167264</t>
  </si>
  <si>
    <t>5806_3</t>
  </si>
  <si>
    <t>ENSG00000101096</t>
  </si>
  <si>
    <t>5811_2</t>
  </si>
  <si>
    <t>ENSG00000096746</t>
  </si>
  <si>
    <t>5811_3</t>
  </si>
  <si>
    <t>ENSG00000169813</t>
  </si>
  <si>
    <t>5811_5</t>
  </si>
  <si>
    <t>ENSG00000169045</t>
  </si>
  <si>
    <t>5812_1</t>
  </si>
  <si>
    <t>ENSG00000244462</t>
  </si>
  <si>
    <t>5812_2</t>
  </si>
  <si>
    <t>ENSG00000183808</t>
  </si>
  <si>
    <t>ENST00000399300_Acinonyx_jubatus_zoonomia</t>
  </si>
  <si>
    <t>58_13</t>
  </si>
  <si>
    <t>ENSG00000144724</t>
  </si>
  <si>
    <t>ENST00000295874_Acinonyx_jubatus_zoonomia</t>
  </si>
  <si>
    <t>5814_1</t>
  </si>
  <si>
    <t>ENSG00000103056</t>
  </si>
  <si>
    <t>5816_1</t>
  </si>
  <si>
    <t>ENSG00000105497</t>
  </si>
  <si>
    <t>ENSG00000197779</t>
  </si>
  <si>
    <t>58_20</t>
  </si>
  <si>
    <t>ENSG00000142949</t>
  </si>
  <si>
    <t>In_file_58_16</t>
  </si>
  <si>
    <t>ENSG00000196090</t>
  </si>
  <si>
    <t>ENST00000356100_Acinonyx_jubatus_zoonomia</t>
  </si>
  <si>
    <t>58_21</t>
  </si>
  <si>
    <t>ENSG00000110786</t>
  </si>
  <si>
    <t>ENST00000358540_Acinonyx_jubatus_zoonomia</t>
  </si>
  <si>
    <t>5823_1</t>
  </si>
  <si>
    <t>In_file_5816_1</t>
  </si>
  <si>
    <t>58_23</t>
  </si>
  <si>
    <t>ENSG00000143851</t>
  </si>
  <si>
    <t>ENST00000477554_Acinonyx_jubatus_zoonomia</t>
  </si>
  <si>
    <t>5824_1</t>
  </si>
  <si>
    <t>In_file_4704_1</t>
  </si>
  <si>
    <t>ENSG00000214534</t>
  </si>
  <si>
    <t>5827_1</t>
  </si>
  <si>
    <t>ENSG00000256825</t>
  </si>
  <si>
    <t>ENST00000540096_Acinonyx_jubatus_zoonomia</t>
  </si>
  <si>
    <t>5829_3</t>
  </si>
  <si>
    <t>ENSG00000103044</t>
  </si>
  <si>
    <t>ENST00000219322_Acinonyx_jubatus_zoonomia</t>
  </si>
  <si>
    <t>58_2</t>
  </si>
  <si>
    <t>ENSG00000139304</t>
  </si>
  <si>
    <t>ENST00000616559_Acinonyx_jubatus_zoonomia</t>
  </si>
  <si>
    <t>5834_2</t>
  </si>
  <si>
    <t>ENSG00000168807</t>
  </si>
  <si>
    <t>5838_1</t>
  </si>
  <si>
    <t>ENSG00000213380</t>
  </si>
  <si>
    <t>ENSG00000260371</t>
  </si>
  <si>
    <t>5839_1</t>
  </si>
  <si>
    <t>ENSG00000272617</t>
  </si>
  <si>
    <t>58_3</t>
  </si>
  <si>
    <t>ENSG00000127329</t>
  </si>
  <si>
    <t>5849_1</t>
  </si>
  <si>
    <t>ENSG00000104517</t>
  </si>
  <si>
    <t>ENST00000220959_Acinonyx_jubatus_zoonomia</t>
  </si>
  <si>
    <t>58_4</t>
  </si>
  <si>
    <t>ENSG00000149177</t>
  </si>
  <si>
    <t>ENST00000418331_Acinonyx_jubatus_zoonomia</t>
  </si>
  <si>
    <t>5850_3</t>
  </si>
  <si>
    <t>ENSG00000123453</t>
  </si>
  <si>
    <t>585_10</t>
  </si>
  <si>
    <t>ENSG00000131115</t>
  </si>
  <si>
    <t>In_file_568_2</t>
  </si>
  <si>
    <t>ENSG00000159915</t>
  </si>
  <si>
    <t>5851_1</t>
  </si>
  <si>
    <t>ENSG00000223496</t>
  </si>
  <si>
    <t>ENST00000435634_Acinonyx_jubatus_zoonomia</t>
  </si>
  <si>
    <t>5853_1</t>
  </si>
  <si>
    <t>ENSG00000124608</t>
  </si>
  <si>
    <t>5858_1</t>
  </si>
  <si>
    <t>ENSG00000170873</t>
  </si>
  <si>
    <t>5859_1</t>
  </si>
  <si>
    <t>ENSG00000103043</t>
  </si>
  <si>
    <t>5861_1</t>
  </si>
  <si>
    <t>ENSG00000104327</t>
  </si>
  <si>
    <t>ENST00000265431_Acinonyx_jubatus_zoonomia</t>
  </si>
  <si>
    <t>5864_1</t>
  </si>
  <si>
    <t>ENSG00000197363</t>
  </si>
  <si>
    <t>ENST00000525105_Acinonyx_jubatus_zoonomia</t>
  </si>
  <si>
    <t>5865_1</t>
  </si>
  <si>
    <t>ENSG00000240747</t>
  </si>
  <si>
    <t>ENSG00000273291</t>
  </si>
  <si>
    <t>5870_1</t>
  </si>
  <si>
    <t>ENSG00000110455</t>
  </si>
  <si>
    <t>In_file_5870_3</t>
  </si>
  <si>
    <t>587_1</t>
  </si>
  <si>
    <t>ENSG00000083817</t>
  </si>
  <si>
    <t>ENSG00000083828</t>
  </si>
  <si>
    <t>ENSG00000105136</t>
  </si>
  <si>
    <t>ENSG00000152439</t>
  </si>
  <si>
    <t>In_file_6640_1</t>
  </si>
  <si>
    <t>5872_2</t>
  </si>
  <si>
    <t>ENSG00000224470</t>
  </si>
  <si>
    <t>587_2</t>
  </si>
  <si>
    <t>ENSG00000179909</t>
  </si>
  <si>
    <t>ENST00000512439_Acinonyx_jubatus_zoonomia</t>
  </si>
  <si>
    <t>5876_2</t>
  </si>
  <si>
    <t>ENSG00000136367</t>
  </si>
  <si>
    <t>ENST00000419474_Acinonyx_jubatus_zoonomia</t>
  </si>
  <si>
    <t>5876_3</t>
  </si>
  <si>
    <t>ENSG00000140836</t>
  </si>
  <si>
    <t>ENST00000268489_Acinonyx_jubatus_zoonomia</t>
  </si>
  <si>
    <t>5882_1</t>
  </si>
  <si>
    <t>ENSG00000103089</t>
  </si>
  <si>
    <t>ENST00000219368_Acinonyx_jubatus_zoonomia</t>
  </si>
  <si>
    <t>5886_1</t>
  </si>
  <si>
    <t>ENSG00000186187</t>
  </si>
  <si>
    <t>5889_1</t>
  </si>
  <si>
    <t>ENSG00000180902</t>
  </si>
  <si>
    <t>58_8</t>
  </si>
  <si>
    <t>ENSG00000169410</t>
  </si>
  <si>
    <t>5892_1</t>
  </si>
  <si>
    <t>ENSG00000172878</t>
  </si>
  <si>
    <t>5892_2</t>
  </si>
  <si>
    <t>ENSG00000164024</t>
  </si>
  <si>
    <t>5899_1</t>
  </si>
  <si>
    <t>ENSG00000115935</t>
  </si>
  <si>
    <t>5900_3</t>
  </si>
  <si>
    <t>ENSG00000267281</t>
  </si>
  <si>
    <t>590_1</t>
  </si>
  <si>
    <t>ENSG00000130818</t>
  </si>
  <si>
    <t>ENSG00000171466</t>
  </si>
  <si>
    <t>ENSG00000171469</t>
  </si>
  <si>
    <t>ENSG00000174652</t>
  </si>
  <si>
    <t>ENSG00000196605</t>
  </si>
  <si>
    <t>ENST00000397902_Acinonyx_jubatus_zoonomia</t>
  </si>
  <si>
    <t>5904_1</t>
  </si>
  <si>
    <t>ENSG00000173171</t>
  </si>
  <si>
    <t>ENST00000316721_Acinonyx_jubatus_zoonomia</t>
  </si>
  <si>
    <t>5907_2</t>
  </si>
  <si>
    <t>ENSG00000180228</t>
  </si>
  <si>
    <t>5908_1</t>
  </si>
  <si>
    <t>ENSG00000124214</t>
  </si>
  <si>
    <t>5909_1</t>
  </si>
  <si>
    <t>ENSG00000204311</t>
  </si>
  <si>
    <t>5911_2</t>
  </si>
  <si>
    <t>ENSG00000106086</t>
  </si>
  <si>
    <t>591_1</t>
  </si>
  <si>
    <t>ENSG00000197928</t>
  </si>
  <si>
    <t>ENSG00000198464</t>
  </si>
  <si>
    <t>ENSG00000213799</t>
  </si>
  <si>
    <t>ENSG00000214652</t>
  </si>
  <si>
    <t>ENST00000456806_Acinonyx_jubatus_zoonomia</t>
  </si>
  <si>
    <t>ENSG00000258405</t>
  </si>
  <si>
    <t>591_2</t>
  </si>
  <si>
    <t>ENSG00000160336</t>
  </si>
  <si>
    <t>ENSG00000167562</t>
  </si>
  <si>
    <t>ENSG00000170954</t>
  </si>
  <si>
    <t>ENST00000595174_Acinonyx_jubatus_zoonomia</t>
  </si>
  <si>
    <t>ENSG00000180257</t>
  </si>
  <si>
    <t>ENSG00000182986</t>
  </si>
  <si>
    <t>ENSG00000189190</t>
  </si>
  <si>
    <t>ENSG00000196417</t>
  </si>
  <si>
    <t>ENST00000594030_Acinonyx_jubatus_zoonomia</t>
  </si>
  <si>
    <t>ENSG00000197385</t>
  </si>
  <si>
    <t>ENSG00000198346</t>
  </si>
  <si>
    <t>ENSG00000198482</t>
  </si>
  <si>
    <t>ENSG00000198538</t>
  </si>
  <si>
    <t>ENSG00000203326</t>
  </si>
  <si>
    <t>ENSG00000204604</t>
  </si>
  <si>
    <t>ENSG00000213020</t>
  </si>
  <si>
    <t>ENSG00000213793</t>
  </si>
  <si>
    <t>5914_1</t>
  </si>
  <si>
    <t>ENSG00000078140</t>
  </si>
  <si>
    <t>5917_1</t>
  </si>
  <si>
    <t>ENSG00000186591</t>
  </si>
  <si>
    <t>5920_3</t>
  </si>
  <si>
    <t>ENSG00000164600</t>
  </si>
  <si>
    <t>ENST00000297142_Acinonyx_jubatus_zoonomia</t>
  </si>
  <si>
    <t>5921_1</t>
  </si>
  <si>
    <t>ENSG00000178403</t>
  </si>
  <si>
    <t>ENST00000313341_Acinonyx_jubatus_zoonomia</t>
  </si>
  <si>
    <t>592_1</t>
  </si>
  <si>
    <t>ENSG00000180855</t>
  </si>
  <si>
    <t>In_file_601_1</t>
  </si>
  <si>
    <t>ENSG00000188868</t>
  </si>
  <si>
    <t>ENSG00000196466</t>
  </si>
  <si>
    <t>ENSG00000196646</t>
  </si>
  <si>
    <t>ENSG00000196757</t>
  </si>
  <si>
    <t>ENST00000254321_Acinonyx_jubatus_zoonomia</t>
  </si>
  <si>
    <t>ENSG00000197044</t>
  </si>
  <si>
    <t>ENST00000357901_Acinonyx_jubatus_zoonomia</t>
  </si>
  <si>
    <t>ENSG00000197647</t>
  </si>
  <si>
    <t>ENST00000344980_Acinonyx_jubatus_zoonomia</t>
  </si>
  <si>
    <t>ENSG00000197857</t>
  </si>
  <si>
    <t>In_file_592_3</t>
  </si>
  <si>
    <t>ENSG00000197933</t>
  </si>
  <si>
    <t>ENSG00000198429</t>
  </si>
  <si>
    <t>ENST00000429654_Acinonyx_jubatus_zoonomia</t>
  </si>
  <si>
    <t>ENSG00000249709</t>
  </si>
  <si>
    <t>ENSG00000257446</t>
  </si>
  <si>
    <t>ENST00000547628_Acinonyx_jubatus_zoonomia</t>
  </si>
  <si>
    <t>5922_1</t>
  </si>
  <si>
    <t>ENSG00000181965</t>
  </si>
  <si>
    <t>ENST00000314744_Acinonyx_jubatus_zoonomia</t>
  </si>
  <si>
    <t>592_4</t>
  </si>
  <si>
    <t>ENSG00000177599</t>
  </si>
  <si>
    <t>ENSG00000188033</t>
  </si>
  <si>
    <t>In_file_598_1</t>
  </si>
  <si>
    <t>ENSG00000188321</t>
  </si>
  <si>
    <t>ENST00000587557_Acinonyx_jubatus_zoonomia</t>
  </si>
  <si>
    <t>ENSG00000196826</t>
  </si>
  <si>
    <t>ENST00000428311_Acinonyx_jubatus_zoonomia</t>
  </si>
  <si>
    <t>ENSG00000198342</t>
  </si>
  <si>
    <t>ENST00000242804_Acinonyx_jubatus_zoonomia</t>
  </si>
  <si>
    <t>59_2</t>
  </si>
  <si>
    <t>ENSG00000204179</t>
  </si>
  <si>
    <t>593_1</t>
  </si>
  <si>
    <t>ENSG00000181450</t>
  </si>
  <si>
    <t>ENSG00000256229</t>
  </si>
  <si>
    <t>5941_1</t>
  </si>
  <si>
    <t>ENSG00000185615</t>
  </si>
  <si>
    <t>ENST00000219406_Acinonyx_jubatus_zoonomia</t>
  </si>
  <si>
    <t>5943_1</t>
  </si>
  <si>
    <t>ENSG00000065485</t>
  </si>
  <si>
    <t>5950_1</t>
  </si>
  <si>
    <t>ENSG00000157978</t>
  </si>
  <si>
    <t>5951_1</t>
  </si>
  <si>
    <t>ENSG00000105245</t>
  </si>
  <si>
    <t>ENST00000252891_Acinonyx_jubatus_zoonomia</t>
  </si>
  <si>
    <t>5956_1</t>
  </si>
  <si>
    <t>ENSG00000138381</t>
  </si>
  <si>
    <t>ENSG00000286165</t>
  </si>
  <si>
    <t>5959_1</t>
  </si>
  <si>
    <t>ENSG00000169126</t>
  </si>
  <si>
    <t>5965_1</t>
  </si>
  <si>
    <t>ENSG00000187699</t>
  </si>
  <si>
    <t>5967_1</t>
  </si>
  <si>
    <t>ENSG00000151690</t>
  </si>
  <si>
    <t>5969_1</t>
  </si>
  <si>
    <t>ENSG00000166881</t>
  </si>
  <si>
    <t>5970_1</t>
  </si>
  <si>
    <t>ENSG00000138386</t>
  </si>
  <si>
    <t>5973_2</t>
  </si>
  <si>
    <t>ENSG00000173559</t>
  </si>
  <si>
    <t>5975_1</t>
  </si>
  <si>
    <t>ENSG00000104635</t>
  </si>
  <si>
    <t>5975_4</t>
  </si>
  <si>
    <t>ENSG00000147804</t>
  </si>
  <si>
    <t>ENST00000301305_Acinonyx_jubatus_zoonomia</t>
  </si>
  <si>
    <t>5984_1</t>
  </si>
  <si>
    <t>ENSG00000115520</t>
  </si>
  <si>
    <t>5987_1</t>
  </si>
  <si>
    <t>ENSG00000115540</t>
  </si>
  <si>
    <t>ENST00000323303_Acinonyx_jubatus_zoonomia</t>
  </si>
  <si>
    <t>ENSG00000270757</t>
  </si>
  <si>
    <t>ENST00000604458_Acinonyx_jubatus_zoonomia</t>
  </si>
  <si>
    <t>5987_2</t>
  </si>
  <si>
    <t>5994_1</t>
  </si>
  <si>
    <t>ENSG00000092345</t>
  </si>
  <si>
    <t>ENSG00000187191</t>
  </si>
  <si>
    <t>ENSG00000188120</t>
  </si>
  <si>
    <t>ENSG00000205916</t>
  </si>
  <si>
    <t>ENSG00000205944</t>
  </si>
  <si>
    <t>6002_1</t>
  </si>
  <si>
    <t>ENSG00000136261</t>
  </si>
  <si>
    <t>ENST00000258761_Acinonyx_jubatus_zoonomia</t>
  </si>
  <si>
    <t>6002_2</t>
  </si>
  <si>
    <t>ENSG00000082153</t>
  </si>
  <si>
    <t>6007_1</t>
  </si>
  <si>
    <t>ENSG00000119013</t>
  </si>
  <si>
    <t>601_1</t>
  </si>
  <si>
    <t>ENSG00000171291</t>
  </si>
  <si>
    <t>ENSG00000171295</t>
  </si>
  <si>
    <t>ENST00000304060_Acinonyx_jubatus_zoonomia</t>
  </si>
  <si>
    <t>ENSG00000181896</t>
  </si>
  <si>
    <t>In_file_592_1</t>
  </si>
  <si>
    <t>ENSG00000197054</t>
  </si>
  <si>
    <t>ENSG00000257591</t>
  </si>
  <si>
    <t>ENSG00000267179</t>
  </si>
  <si>
    <t>ENSG00000277462</t>
  </si>
  <si>
    <t>6012_2</t>
  </si>
  <si>
    <t>ENSG00000101361</t>
  </si>
  <si>
    <t>6026_1</t>
  </si>
  <si>
    <t>ENSG00000283267</t>
  </si>
  <si>
    <t>60_2</t>
  </si>
  <si>
    <t>ENSG00000152104</t>
  </si>
  <si>
    <t>ENST00000366956_Acinonyx_jubatus_zoonomia</t>
  </si>
  <si>
    <t>6031_3</t>
  </si>
  <si>
    <t>ENSG00000168582</t>
  </si>
  <si>
    <t>6032_1</t>
  </si>
  <si>
    <t>ENSG00000127377</t>
  </si>
  <si>
    <t>6042_1</t>
  </si>
  <si>
    <t>ENSG00000163820</t>
  </si>
  <si>
    <t>6044_1</t>
  </si>
  <si>
    <t>ENSG00000047849</t>
  </si>
  <si>
    <t>ENST00000395734_Acinonyx_jubatus_zoonomia</t>
  </si>
  <si>
    <t>6045_1</t>
  </si>
  <si>
    <t>ENSG00000197713</t>
  </si>
  <si>
    <t>ENSG00000235376</t>
  </si>
  <si>
    <t>ENST00000441178_Acinonyx_jubatus_zoonomia</t>
  </si>
  <si>
    <t>6048_2</t>
  </si>
  <si>
    <t>ENSG00000132434</t>
  </si>
  <si>
    <t>6048_3</t>
  </si>
  <si>
    <t>ENSG00000147036</t>
  </si>
  <si>
    <t>6049_2</t>
  </si>
  <si>
    <t>ENSG00000174453</t>
  </si>
  <si>
    <t>605_1</t>
  </si>
  <si>
    <t>ENSG00000188629</t>
  </si>
  <si>
    <t>In_file_4702_1</t>
  </si>
  <si>
    <t>ENSG00000270011</t>
  </si>
  <si>
    <t>6062_1</t>
  </si>
  <si>
    <t>ENSG00000163125</t>
  </si>
  <si>
    <t>ENST00000369068_Acinonyx_jubatus_zoonomia</t>
  </si>
  <si>
    <t>6063_1</t>
  </si>
  <si>
    <t>ENSG00000166948</t>
  </si>
  <si>
    <t>6063_7</t>
  </si>
  <si>
    <t>ENSG00000198959</t>
  </si>
  <si>
    <t>ENST00000361475_Acinonyx_jubatus_zoonomia</t>
  </si>
  <si>
    <t>6068_2</t>
  </si>
  <si>
    <t>ENSG00000186191</t>
  </si>
  <si>
    <t>ENST00000375483_Acinonyx_jubatus_zoonomia</t>
  </si>
  <si>
    <t>6068_3</t>
  </si>
  <si>
    <t>ENSG00000186190</t>
  </si>
  <si>
    <t>6072_1</t>
  </si>
  <si>
    <t>ENSG00000123643</t>
  </si>
  <si>
    <t>6072_4</t>
  </si>
  <si>
    <t>ENSG00000180773</t>
  </si>
  <si>
    <t>607_2</t>
  </si>
  <si>
    <t>ENSG00000177842</t>
  </si>
  <si>
    <t>In_file_607_1</t>
  </si>
  <si>
    <t>ENSG00000177873</t>
  </si>
  <si>
    <t>6073_2</t>
  </si>
  <si>
    <t>ENSG00000088808</t>
  </si>
  <si>
    <t>ENST00000202556_Acinonyx_jubatus_zoonomia</t>
  </si>
  <si>
    <t>6074_1</t>
  </si>
  <si>
    <t>ENSG00000182676</t>
  </si>
  <si>
    <t>6076_1</t>
  </si>
  <si>
    <t>ENSG00000105523</t>
  </si>
  <si>
    <t>ENST00000263266_Acinonyx_jubatus_zoonomia</t>
  </si>
  <si>
    <t>6076_5</t>
  </si>
  <si>
    <t>ENSG00000180921</t>
  </si>
  <si>
    <t>6077_1</t>
  </si>
  <si>
    <t>ENSG00000147689</t>
  </si>
  <si>
    <t>6078_2</t>
  </si>
  <si>
    <t>ENSG00000184428</t>
  </si>
  <si>
    <t>ENSG00000198900</t>
  </si>
  <si>
    <t>6081_3</t>
  </si>
  <si>
    <t>ENSG00000132793</t>
  </si>
  <si>
    <t>ENST00000373257_Acinonyx_jubatus_zoonomia</t>
  </si>
  <si>
    <t>6082_1</t>
  </si>
  <si>
    <t>ENSG00000183798</t>
  </si>
  <si>
    <t>6083_1</t>
  </si>
  <si>
    <t>ENSG00000138080</t>
  </si>
  <si>
    <t>6085_1</t>
  </si>
  <si>
    <t>ENSG00000186998</t>
  </si>
  <si>
    <t>ENST00000334018_Acinonyx_jubatus_zoonomia</t>
  </si>
  <si>
    <t>6086_1</t>
  </si>
  <si>
    <t>ENSG00000101052</t>
  </si>
  <si>
    <t>6087_1</t>
  </si>
  <si>
    <t>ENSG00000101057</t>
  </si>
  <si>
    <t>ENST00000217026_Acinonyx_jubatus_zoonomia</t>
  </si>
  <si>
    <t>6087_3</t>
  </si>
  <si>
    <t>ENSG00000185697</t>
  </si>
  <si>
    <t>6090_1</t>
  </si>
  <si>
    <t>ENSG00000170627</t>
  </si>
  <si>
    <t>ENST00000305879_Acinonyx_jubatus_zoonomia</t>
  </si>
  <si>
    <t>6092_2</t>
  </si>
  <si>
    <t>ENSG00000124194</t>
  </si>
  <si>
    <t>6094_1</t>
  </si>
  <si>
    <t>ENSG00000139914</t>
  </si>
  <si>
    <t>609_5</t>
  </si>
  <si>
    <t>ENSG00000196652</t>
  </si>
  <si>
    <t>6097_2</t>
  </si>
  <si>
    <t>ENSG00000164300</t>
  </si>
  <si>
    <t>6097_3</t>
  </si>
  <si>
    <t>ENSG00000132824</t>
  </si>
  <si>
    <t>6101_4</t>
  </si>
  <si>
    <t>ENSG00000118523</t>
  </si>
  <si>
    <t>6104_1</t>
  </si>
  <si>
    <t>ENSG00000134308</t>
  </si>
  <si>
    <t>In_file_6104_7</t>
  </si>
  <si>
    <t>6104_3</t>
  </si>
  <si>
    <t>ENSG00000170027</t>
  </si>
  <si>
    <t>6104_6</t>
  </si>
  <si>
    <t>ENSG00000175793</t>
  </si>
  <si>
    <t>611_1</t>
  </si>
  <si>
    <t>ENSG00000158691</t>
  </si>
  <si>
    <t>6114_1</t>
  </si>
  <si>
    <t>ENSG00000124145</t>
  </si>
  <si>
    <t>6115_1</t>
  </si>
  <si>
    <t>ENSG00000169439</t>
  </si>
  <si>
    <t>6117_1</t>
  </si>
  <si>
    <t>ENSG00000204070</t>
  </si>
  <si>
    <t>6119_1</t>
  </si>
  <si>
    <t>ENSG00000244274</t>
  </si>
  <si>
    <t>6135_1</t>
  </si>
  <si>
    <t>ENSG00000124257</t>
  </si>
  <si>
    <t>6138_2</t>
  </si>
  <si>
    <t>ENSG00000107954</t>
  </si>
  <si>
    <t>In_file_6138_3</t>
  </si>
  <si>
    <t>6139_1</t>
  </si>
  <si>
    <t>ENSG00000100982</t>
  </si>
  <si>
    <t>6140_1</t>
  </si>
  <si>
    <t>ENSG00000198026</t>
  </si>
  <si>
    <t>ENST00000322927_Acinonyx_jubatus_zoonomia</t>
  </si>
  <si>
    <t>614_3</t>
  </si>
  <si>
    <t>ENSG00000186496</t>
  </si>
  <si>
    <t>ENST00000306346_Acinonyx_jubatus_zoonomia</t>
  </si>
  <si>
    <t>614_5</t>
  </si>
  <si>
    <t>ENSG00000166529</t>
  </si>
  <si>
    <t>ENSG00000167840</t>
  </si>
  <si>
    <t>ENST00000250076_Acinonyx_jubatus_zoonomia</t>
  </si>
  <si>
    <t>6149_3</t>
  </si>
  <si>
    <t>ENSG00000196562</t>
  </si>
  <si>
    <t>In_file_6149_1</t>
  </si>
  <si>
    <t>6150_1</t>
  </si>
  <si>
    <t>ENSG00000109452</t>
  </si>
  <si>
    <t>6156_1</t>
  </si>
  <si>
    <t>ENSG00000133704</t>
  </si>
  <si>
    <t>ENST00000256079_Acinonyx_jubatus_zoonomia</t>
  </si>
  <si>
    <t>6163_1</t>
  </si>
  <si>
    <t>ENSG00000092067</t>
  </si>
  <si>
    <t>6166_1</t>
  </si>
  <si>
    <t>ENSG00000042062</t>
  </si>
  <si>
    <t>ENST00000327979_Acinonyx_jubatus_zoonomia</t>
  </si>
  <si>
    <t>6169_1</t>
  </si>
  <si>
    <t>ENSG00000124217</t>
  </si>
  <si>
    <t>ENST00000244051_Acinonyx_jubatus_zoonomia</t>
  </si>
  <si>
    <t>6171_1</t>
  </si>
  <si>
    <t>ENSG00000033178</t>
  </si>
  <si>
    <t>ENST00000322244_Acinonyx_jubatus_zoonomia</t>
  </si>
  <si>
    <t>6171_3</t>
  </si>
  <si>
    <t>ENSG00000130985</t>
  </si>
  <si>
    <t>617_2</t>
  </si>
  <si>
    <t>ENSG00000006704</t>
  </si>
  <si>
    <t>ENST00000265755_Acinonyx_jubatus_zoonomia</t>
  </si>
  <si>
    <t>6174_1</t>
  </si>
  <si>
    <t>ENSG00000124098</t>
  </si>
  <si>
    <t>6182_4</t>
  </si>
  <si>
    <t>ENSG00000008196</t>
  </si>
  <si>
    <t>ENST00000393655_Acinonyx_jubatus_zoonomia</t>
  </si>
  <si>
    <t>6187_1</t>
  </si>
  <si>
    <t>ENSG00000124256</t>
  </si>
  <si>
    <t>ENST00000371173_Acinonyx_jubatus_zoonomia</t>
  </si>
  <si>
    <t>6192_1</t>
  </si>
  <si>
    <t>ENSG00000101558</t>
  </si>
  <si>
    <t>6195_1</t>
  </si>
  <si>
    <t>ENSG00000215440</t>
  </si>
  <si>
    <t>6200_1</t>
  </si>
  <si>
    <t>ENSG00000186314</t>
  </si>
  <si>
    <t>ENST00000334744_Acinonyx_jubatus_zoonomia</t>
  </si>
  <si>
    <t>6201_1</t>
  </si>
  <si>
    <t>ENSG00000124203</t>
  </si>
  <si>
    <t>In_file_6202_1</t>
  </si>
  <si>
    <t>620_1</t>
  </si>
  <si>
    <t>ENSG00000147130</t>
  </si>
  <si>
    <t>ENST00000314425_Acinonyx_jubatus_zoonomia</t>
  </si>
  <si>
    <t>6207_1</t>
  </si>
  <si>
    <t>ENSG00000127129</t>
  </si>
  <si>
    <t>6211_1</t>
  </si>
  <si>
    <t>ENSG00000196074</t>
  </si>
  <si>
    <t>ENST00000357552_Acinonyx_jubatus_zoonomia</t>
  </si>
  <si>
    <t>6213_2</t>
  </si>
  <si>
    <t>ENSG00000235194</t>
  </si>
  <si>
    <t>6217_1</t>
  </si>
  <si>
    <t>ENSG00000196227</t>
  </si>
  <si>
    <t>6218_1</t>
  </si>
  <si>
    <t>ENSG00000167186</t>
  </si>
  <si>
    <t>62_1</t>
  </si>
  <si>
    <t>ENSG00000054356</t>
  </si>
  <si>
    <t>62_2</t>
  </si>
  <si>
    <t>ENSG00000155093</t>
  </si>
  <si>
    <t>ENST00000389413_Acinonyx_jubatus_zoonomia</t>
  </si>
  <si>
    <t>6233_1</t>
  </si>
  <si>
    <t>ENSG00000148300</t>
  </si>
  <si>
    <t>ENST00000371935_Acinonyx_jubatus_zoonomia</t>
  </si>
  <si>
    <t>6234_3</t>
  </si>
  <si>
    <t>ENSG00000188215</t>
  </si>
  <si>
    <t>6235_1</t>
  </si>
  <si>
    <t>ENSG00000137692</t>
  </si>
  <si>
    <t>6243_1</t>
  </si>
  <si>
    <t>ENSG00000185716</t>
  </si>
  <si>
    <t>6245_1</t>
  </si>
  <si>
    <t>ENSG00000058600</t>
  </si>
  <si>
    <t>6249_1</t>
  </si>
  <si>
    <t>ENSG00000004779</t>
  </si>
  <si>
    <t>6251_1</t>
  </si>
  <si>
    <t>ENSG00000166847</t>
  </si>
  <si>
    <t>6253_1</t>
  </si>
  <si>
    <t>ENSG00000205629</t>
  </si>
  <si>
    <t>6258_1</t>
  </si>
  <si>
    <t>ENSG00000171222</t>
  </si>
  <si>
    <t>6261_1</t>
  </si>
  <si>
    <t>ENSG00000243789</t>
  </si>
  <si>
    <t>6262_2</t>
  </si>
  <si>
    <t>ENSG00000168970</t>
  </si>
  <si>
    <t>ENST00000382448_Acinonyx_jubatus_zoonomia</t>
  </si>
  <si>
    <t>ENSG00000243708</t>
  </si>
  <si>
    <t>ENST00000452633_Acinonyx_jubatus_zoonomia</t>
  </si>
  <si>
    <t>6262_6</t>
  </si>
  <si>
    <t>ENSG00000168907</t>
  </si>
  <si>
    <t>ENST00000397272_Acinonyx_jubatus_zoonomia</t>
  </si>
  <si>
    <t>6264_1</t>
  </si>
  <si>
    <t>ENSG00000214978</t>
  </si>
  <si>
    <t>6265_1</t>
  </si>
  <si>
    <t>ENSG00000185290</t>
  </si>
  <si>
    <t>6268_1</t>
  </si>
  <si>
    <t>ENSG00000180035</t>
  </si>
  <si>
    <t>6277_1</t>
  </si>
  <si>
    <t>ENSG00000140941</t>
  </si>
  <si>
    <t>ENSG00000258102</t>
  </si>
  <si>
    <t>6277_2</t>
  </si>
  <si>
    <t>ENSG00000101460</t>
  </si>
  <si>
    <t>ENST00000374837_Acinonyx_jubatus_zoonomia</t>
  </si>
  <si>
    <t>6281_1</t>
  </si>
  <si>
    <t>ENSG00000198931</t>
  </si>
  <si>
    <t>ENST00000567713_Acinonyx_jubatus_zoonomia</t>
  </si>
  <si>
    <t>6289_1</t>
  </si>
  <si>
    <t>ENSG00000141252</t>
  </si>
  <si>
    <t>6295_1</t>
  </si>
  <si>
    <t>ENSG00000174238</t>
  </si>
  <si>
    <t>6296_2</t>
  </si>
  <si>
    <t>ENSG00000091622</t>
  </si>
  <si>
    <t>In_file_6296_1</t>
  </si>
  <si>
    <t>6296_3</t>
  </si>
  <si>
    <t>ENSG00000090975</t>
  </si>
  <si>
    <t>In_file_6296_4</t>
  </si>
  <si>
    <t>6296_4</t>
  </si>
  <si>
    <t>ENSG00000110697</t>
  </si>
  <si>
    <t>ENST00000356404_Acinonyx_jubatus_zoonomia</t>
  </si>
  <si>
    <t>6299_1</t>
  </si>
  <si>
    <t>ENSG00000149150</t>
  </si>
  <si>
    <t>6300_1</t>
  </si>
  <si>
    <t>ENSG00000134802</t>
  </si>
  <si>
    <t>ENSG00000254979</t>
  </si>
  <si>
    <t>630_1</t>
  </si>
  <si>
    <t>ENSG00000103199</t>
  </si>
  <si>
    <t>6303_1</t>
  </si>
  <si>
    <t>ENSG00000167705</t>
  </si>
  <si>
    <t>6312_1</t>
  </si>
  <si>
    <t>ENSG00000262664</t>
  </si>
  <si>
    <t>6316_1</t>
  </si>
  <si>
    <t>ENSG00000167720</t>
  </si>
  <si>
    <t>ENST00000344595_Acinonyx_jubatus_zoonomia</t>
  </si>
  <si>
    <t>6323_1</t>
  </si>
  <si>
    <t>ENSG00000132361</t>
  </si>
  <si>
    <t>ENST00000574426_Acinonyx_jubatus_zoonomia</t>
  </si>
  <si>
    <t>6326_1</t>
  </si>
  <si>
    <t>ENSG00000111199</t>
  </si>
  <si>
    <t>ENST00000261740_Acinonyx_jubatus_zoonomia</t>
  </si>
  <si>
    <t>6329_1</t>
  </si>
  <si>
    <t>ENSG00000127774</t>
  </si>
  <si>
    <t>ENST00000248378_Acinonyx_jubatus_zoonomia</t>
  </si>
  <si>
    <t>6330_5</t>
  </si>
  <si>
    <t>ENSG00000099957</t>
  </si>
  <si>
    <t>6337_1</t>
  </si>
  <si>
    <t>ENSG00000167741</t>
  </si>
  <si>
    <t>6338_1</t>
  </si>
  <si>
    <t>ENSG00000179593</t>
  </si>
  <si>
    <t>6338_2</t>
  </si>
  <si>
    <t>ENSG00000179477</t>
  </si>
  <si>
    <t>6338_4</t>
  </si>
  <si>
    <t>ENSG00000012779</t>
  </si>
  <si>
    <t>6339_1</t>
  </si>
  <si>
    <t>ENSG00000120500</t>
  </si>
  <si>
    <t>ENST00000307959_Acinonyx_jubatus_zoonomia</t>
  </si>
  <si>
    <t>6340_1</t>
  </si>
  <si>
    <t>ENSG00000161920</t>
  </si>
  <si>
    <t>634_1</t>
  </si>
  <si>
    <t>ENSG00000140987</t>
  </si>
  <si>
    <t>ENST00000396852_Acinonyx_jubatus_zoonomia</t>
  </si>
  <si>
    <t>ENSG00000162086</t>
  </si>
  <si>
    <t>634_2</t>
  </si>
  <si>
    <t>ENSG00000186376</t>
  </si>
  <si>
    <t>ENST00000370764_Acinonyx_jubatus_zoonomia</t>
  </si>
  <si>
    <t>6346_1</t>
  </si>
  <si>
    <t>ENSG00000133874</t>
  </si>
  <si>
    <t>6348_1</t>
  </si>
  <si>
    <t>ENSG00000091640</t>
  </si>
  <si>
    <t>ENST00000206020_Acinonyx_jubatus_zoonomia</t>
  </si>
  <si>
    <t>6352_1</t>
  </si>
  <si>
    <t>ENSG00000108559</t>
  </si>
  <si>
    <t>ENST00000573584_Acinonyx_jubatus_zoonomia</t>
  </si>
  <si>
    <t>6353_1</t>
  </si>
  <si>
    <t>ENSG00000072849</t>
  </si>
  <si>
    <t>6354_1</t>
  </si>
  <si>
    <t>ENSG00000136986</t>
  </si>
  <si>
    <t>6356_2</t>
  </si>
  <si>
    <t>ENSG00000075035</t>
  </si>
  <si>
    <t>In_file_6356_1</t>
  </si>
  <si>
    <t>636_1</t>
  </si>
  <si>
    <t>ENSG00000162714</t>
  </si>
  <si>
    <t>6363_1</t>
  </si>
  <si>
    <t>ENSG00000129235</t>
  </si>
  <si>
    <t>6364_1</t>
  </si>
  <si>
    <t>ENSG00000108590</t>
  </si>
  <si>
    <t>6366_2</t>
  </si>
  <si>
    <t>ENSG00000163060</t>
  </si>
  <si>
    <t>6366_5</t>
  </si>
  <si>
    <t>ENSG00000167858</t>
  </si>
  <si>
    <t>6369_1</t>
  </si>
  <si>
    <t>ENSG00000104863</t>
  </si>
  <si>
    <t>6370_1</t>
  </si>
  <si>
    <t>ENSG00000067840</t>
  </si>
  <si>
    <t>ENST00000164640_Acinonyx_jubatus_zoonomia</t>
  </si>
  <si>
    <t>6379_1</t>
  </si>
  <si>
    <t>ENSG00000205544</t>
  </si>
  <si>
    <t>6382_1</t>
  </si>
  <si>
    <t>ENSG00000184560</t>
  </si>
  <si>
    <t>In_file_6383_1</t>
  </si>
  <si>
    <t>6387_1</t>
  </si>
  <si>
    <t>ENSG00000068654</t>
  </si>
  <si>
    <t>ENST00000263857_Acinonyx_jubatus_zoonomia</t>
  </si>
  <si>
    <t>6391_1</t>
  </si>
  <si>
    <t>ENSG00000102524</t>
  </si>
  <si>
    <t>639_1</t>
  </si>
  <si>
    <t>ENSG00000169951</t>
  </si>
  <si>
    <t>ENSG00000169955</t>
  </si>
  <si>
    <t>6392_4</t>
  </si>
  <si>
    <t>ENSG00000163904</t>
  </si>
  <si>
    <t>6394_2</t>
  </si>
  <si>
    <t>ENSG00000129245</t>
  </si>
  <si>
    <t>6398_1</t>
  </si>
  <si>
    <t>ENSG00000090776</t>
  </si>
  <si>
    <t>6398_2</t>
  </si>
  <si>
    <t>ENSG00000125266</t>
  </si>
  <si>
    <t>6398_3</t>
  </si>
  <si>
    <t>ENSG00000108947</t>
  </si>
  <si>
    <t>6400_2</t>
  </si>
  <si>
    <t>ENSG00000099617</t>
  </si>
  <si>
    <t>ENST00000215368_Acinonyx_jubatus_zoonomia</t>
  </si>
  <si>
    <t>6401_1</t>
  </si>
  <si>
    <t>ENSG00000143590</t>
  </si>
  <si>
    <t>ENSG00000251246</t>
  </si>
  <si>
    <t>In_file_6402_1</t>
  </si>
  <si>
    <t>6405_1</t>
  </si>
  <si>
    <t>ENSG00000182224</t>
  </si>
  <si>
    <t>6412_1</t>
  </si>
  <si>
    <t>ENSG00000196544</t>
  </si>
  <si>
    <t>ENST00000389017_Acinonyx_jubatus_zoonomia</t>
  </si>
  <si>
    <t>6413_3</t>
  </si>
  <si>
    <t>ENSG00000100994</t>
  </si>
  <si>
    <t>ENST00000216962_Acinonyx_jubatus_zoonomia</t>
  </si>
  <si>
    <t>6414_1</t>
  </si>
  <si>
    <t>ENSG00000101003</t>
  </si>
  <si>
    <t>64_14</t>
  </si>
  <si>
    <t>ENSG00000165694</t>
  </si>
  <si>
    <t>6415_2</t>
  </si>
  <si>
    <t>ENSG00000101004</t>
  </si>
  <si>
    <t>642_1</t>
  </si>
  <si>
    <t>ENSG00000156853</t>
  </si>
  <si>
    <t>6424_1</t>
  </si>
  <si>
    <t>ENSG00000232119</t>
  </si>
  <si>
    <t>6424_2</t>
  </si>
  <si>
    <t>ENSG00000101898</t>
  </si>
  <si>
    <t>6425_1</t>
  </si>
  <si>
    <t>ENSG00000125968</t>
  </si>
  <si>
    <t>ENST00000376112_Acinonyx_jubatus_zoonomia</t>
  </si>
  <si>
    <t>6427_1</t>
  </si>
  <si>
    <t>ENSG00000117318</t>
  </si>
  <si>
    <t>ENST00000374561_Acinonyx_jubatus_zoonomia</t>
  </si>
  <si>
    <t>6433_2</t>
  </si>
  <si>
    <t>ENSG00000206579</t>
  </si>
  <si>
    <t>6434_1</t>
  </si>
  <si>
    <t>ENSG00000158156</t>
  </si>
  <si>
    <t>ENST00000373884_Acinonyx_jubatus_zoonomia</t>
  </si>
  <si>
    <t>6438_3</t>
  </si>
  <si>
    <t>ENSG00000118495</t>
  </si>
  <si>
    <t>64_3</t>
  </si>
  <si>
    <t>ENSG00000095203</t>
  </si>
  <si>
    <t>6440_1</t>
  </si>
  <si>
    <t>ENSG00000143970</t>
  </si>
  <si>
    <t>6440_2</t>
  </si>
  <si>
    <t>ENSG00000171456</t>
  </si>
  <si>
    <t>6441_2</t>
  </si>
  <si>
    <t>ENSG00000101746</t>
  </si>
  <si>
    <t>ENST00000261592_Acinonyx_jubatus_zoonomia</t>
  </si>
  <si>
    <t>6443_2</t>
  </si>
  <si>
    <t>ENSG00000101367</t>
  </si>
  <si>
    <t>6446_1</t>
  </si>
  <si>
    <t>ENSG00000164744</t>
  </si>
  <si>
    <t>6446_4</t>
  </si>
  <si>
    <t>ENSG00000167098</t>
  </si>
  <si>
    <t>6446_5</t>
  </si>
  <si>
    <t>ENSG00000061656</t>
  </si>
  <si>
    <t>ENST00000374273_Acinonyx_jubatus_zoonomia</t>
  </si>
  <si>
    <t>6450_1</t>
  </si>
  <si>
    <t>ENSG00000131059</t>
  </si>
  <si>
    <t>6454_1</t>
  </si>
  <si>
    <t>ENSG00000149609</t>
  </si>
  <si>
    <t>ENST00000375222_Acinonyx_jubatus_zoonomia</t>
  </si>
  <si>
    <t>6458_2</t>
  </si>
  <si>
    <t>ENSG00000092199</t>
  </si>
  <si>
    <t>ENSG00000179172</t>
  </si>
  <si>
    <t>ENSG00000179412</t>
  </si>
  <si>
    <t>ENSG00000184672</t>
  </si>
  <si>
    <t>In_file_6459_1</t>
  </si>
  <si>
    <t>ENSG00000275774</t>
  </si>
  <si>
    <t>ENSG00000277058</t>
  </si>
  <si>
    <t>6459_1</t>
  </si>
  <si>
    <t>6461_1</t>
  </si>
  <si>
    <t>ENSG00000101440</t>
  </si>
  <si>
    <t>ENST00000374954_Acinonyx_jubatus_zoonomia</t>
  </si>
  <si>
    <t>6463_2</t>
  </si>
  <si>
    <t>ENSG00000158467</t>
  </si>
  <si>
    <t>6464_1</t>
  </si>
  <si>
    <t>ENSG00000101464</t>
  </si>
  <si>
    <t>6467_1</t>
  </si>
  <si>
    <t>ENSG00000131067</t>
  </si>
  <si>
    <t>ENST00000336431_Acinonyx_jubatus_zoonomia</t>
  </si>
  <si>
    <t>6468_2</t>
  </si>
  <si>
    <t>ENSG00000099998</t>
  </si>
  <si>
    <t>ENST00000263112_Acinonyx_jubatus_zoonomia</t>
  </si>
  <si>
    <t>6468_3</t>
  </si>
  <si>
    <t>ENSG00000100121</t>
  </si>
  <si>
    <t>ENSG00000133475</t>
  </si>
  <si>
    <t>In_file_6468_1</t>
  </si>
  <si>
    <t>ENSG00000149435</t>
  </si>
  <si>
    <t>ENSG00000274252</t>
  </si>
  <si>
    <t>ENSG00000286070</t>
  </si>
  <si>
    <t>64_6</t>
  </si>
  <si>
    <t>ENSG00000070159</t>
  </si>
  <si>
    <t>ENST00000374541_Acinonyx_jubatus_zoonomia</t>
  </si>
  <si>
    <t>6470_1</t>
  </si>
  <si>
    <t>ENSG00000100991</t>
  </si>
  <si>
    <t>ENST00000252015_Acinonyx_jubatus_zoonomia</t>
  </si>
  <si>
    <t>6476_1</t>
  </si>
  <si>
    <t>ENSG00000204183</t>
  </si>
  <si>
    <t>6479_1</t>
  </si>
  <si>
    <t>ENSG00000113719</t>
  </si>
  <si>
    <t>64_7</t>
  </si>
  <si>
    <t>ENSG00000088179</t>
  </si>
  <si>
    <t>6480_1</t>
  </si>
  <si>
    <t>ENSG00000132330</t>
  </si>
  <si>
    <t>648_1</t>
  </si>
  <si>
    <t>ENSG00000122386</t>
  </si>
  <si>
    <t>ENST00000219091_Acinonyx_jubatus_zoonomia</t>
  </si>
  <si>
    <t>6483_1</t>
  </si>
  <si>
    <t>ENSG00000101811</t>
  </si>
  <si>
    <t>ENST00000372972_Acinonyx_jubatus_zoonomia</t>
  </si>
  <si>
    <t>6483_2</t>
  </si>
  <si>
    <t>ENSG00000177613</t>
  </si>
  <si>
    <t>6489_1</t>
  </si>
  <si>
    <t>ENSG00000116544</t>
  </si>
  <si>
    <t>6489_2</t>
  </si>
  <si>
    <t>ENSG00000170579</t>
  </si>
  <si>
    <t>6489_3</t>
  </si>
  <si>
    <t>ENSG00000080845</t>
  </si>
  <si>
    <t>6489_4</t>
  </si>
  <si>
    <t>ENSG00000198010</t>
  </si>
  <si>
    <t>6493_3</t>
  </si>
  <si>
    <t>ENSG00000168502</t>
  </si>
  <si>
    <t>ENSG00000214338</t>
  </si>
  <si>
    <t>6494_1</t>
  </si>
  <si>
    <t>ENSG00000101347</t>
  </si>
  <si>
    <t>ENST00000262878_Acinonyx_jubatus_zoonomia</t>
  </si>
  <si>
    <t>6495_1</t>
  </si>
  <si>
    <t>ENSG00000118705</t>
  </si>
  <si>
    <t>6501_1</t>
  </si>
  <si>
    <t>ENSG00000182931</t>
  </si>
  <si>
    <t>6505_2</t>
  </si>
  <si>
    <t>ENSG00000198768</t>
  </si>
  <si>
    <t>ENST00000371149_Acinonyx_jubatus_zoonomia</t>
  </si>
  <si>
    <t>6511_2</t>
  </si>
  <si>
    <t>ENSG00000141380</t>
  </si>
  <si>
    <t>6513_1</t>
  </si>
  <si>
    <t>ENSG00000108591</t>
  </si>
  <si>
    <t>6514_1</t>
  </si>
  <si>
    <t>ENSG00000130706</t>
  </si>
  <si>
    <t>ENST00000253003_Acinonyx_jubatus_zoonomia</t>
  </si>
  <si>
    <t>6515_1</t>
  </si>
  <si>
    <t>ENSG00000171858</t>
  </si>
  <si>
    <t>ENST00000343986_Acinonyx_jubatus_zoonomia</t>
  </si>
  <si>
    <t>6517_1</t>
  </si>
  <si>
    <t>ENSG00000143502</t>
  </si>
  <si>
    <t>6518_2</t>
  </si>
  <si>
    <t>ENSG00000183837</t>
  </si>
  <si>
    <t>In_file_6518_1</t>
  </si>
  <si>
    <t>ENSG00000198883</t>
  </si>
  <si>
    <t>ENSG00000214897</t>
  </si>
  <si>
    <t>ENST00000445091_Acinonyx_jubatus_zoonomia</t>
  </si>
  <si>
    <t>ENSG00000225110</t>
  </si>
  <si>
    <t>ENST00000436629_Acinonyx_jubatus_zoonomia</t>
  </si>
  <si>
    <t>ENSG00000235961</t>
  </si>
  <si>
    <t>6534_1</t>
  </si>
  <si>
    <t>ENSG00000173581</t>
  </si>
  <si>
    <t>6535_1</t>
  </si>
  <si>
    <t>ENSG00000171425</t>
  </si>
  <si>
    <t>ENST00000270451_Acinonyx_jubatus_zoonomia</t>
  </si>
  <si>
    <t>6537_1</t>
  </si>
  <si>
    <t>ENSG00000179922</t>
  </si>
  <si>
    <t>6539_1</t>
  </si>
  <si>
    <t>ENSG00000179943</t>
  </si>
  <si>
    <t>6546_1</t>
  </si>
  <si>
    <t>ENSG00000123095</t>
  </si>
  <si>
    <t>6550_2</t>
  </si>
  <si>
    <t>ENSG00000152102</t>
  </si>
  <si>
    <t>6552_1</t>
  </si>
  <si>
    <t>ENSG00000146950</t>
  </si>
  <si>
    <t>In_file_6551_1</t>
  </si>
  <si>
    <t>6563_1</t>
  </si>
  <si>
    <t>ENSG00000145945</t>
  </si>
  <si>
    <t>ENST00000380274_Acinonyx_jubatus_zoonomia</t>
  </si>
  <si>
    <t>6563_2</t>
  </si>
  <si>
    <t>ENSG00000071859</t>
  </si>
  <si>
    <t>6571_1</t>
  </si>
  <si>
    <t>ENSG00000269335</t>
  </si>
  <si>
    <t>6574_4</t>
  </si>
  <si>
    <t>ENSG00000180934</t>
  </si>
  <si>
    <t>ENST00000316650_Acinonyx_jubatus_zoonomia</t>
  </si>
  <si>
    <t>ENSG00000183389</t>
  </si>
  <si>
    <t>ENST00000330728_Acinonyx_jubatus_zoonomia</t>
  </si>
  <si>
    <t>ENSG00000188691</t>
  </si>
  <si>
    <t>ENST00000340110_Acinonyx_jubatus_zoonomia</t>
  </si>
  <si>
    <t>6575_14</t>
  </si>
  <si>
    <t>ENSG00000181609</t>
  </si>
  <si>
    <t>6575_16</t>
  </si>
  <si>
    <t>ENSG00000221996</t>
  </si>
  <si>
    <t>6575_17</t>
  </si>
  <si>
    <t>ENSG00000181616</t>
  </si>
  <si>
    <t>In_file_6580_1</t>
  </si>
  <si>
    <t>6575_2</t>
  </si>
  <si>
    <t>ENSG00000171944</t>
  </si>
  <si>
    <t>In_file_6575_1</t>
  </si>
  <si>
    <t>ENSG00000182070</t>
  </si>
  <si>
    <t>6575_35</t>
  </si>
  <si>
    <t>ENSG00000167332</t>
  </si>
  <si>
    <t>6575_37</t>
  </si>
  <si>
    <t>ENSG00000176798</t>
  </si>
  <si>
    <t>6575_48</t>
  </si>
  <si>
    <t>ENSG00000167360</t>
  </si>
  <si>
    <t>6575_59</t>
  </si>
  <si>
    <t>ENSG00000167359</t>
  </si>
  <si>
    <t>ENST00000380211_Acinonyx_jubatus_zoonomia</t>
  </si>
  <si>
    <t>6580_1</t>
  </si>
  <si>
    <t>ENSG00000183269</t>
  </si>
  <si>
    <t>ENSG00000183313</t>
  </si>
  <si>
    <t>In_file_6575_29</t>
  </si>
  <si>
    <t>ENSG00000279270</t>
  </si>
  <si>
    <t>In_file_6575_30</t>
  </si>
  <si>
    <t>6586_18</t>
  </si>
  <si>
    <t>ENSG00000124635</t>
  </si>
  <si>
    <t>ENSG00000184678</t>
  </si>
  <si>
    <t>6586_2</t>
  </si>
  <si>
    <t>ENSG00000146047</t>
  </si>
  <si>
    <t>6586_4</t>
  </si>
  <si>
    <t>ENSG00000158373</t>
  </si>
  <si>
    <t>ENSG00000180596</t>
  </si>
  <si>
    <t>ENSG00000185130</t>
  </si>
  <si>
    <t>ENSG00000197903</t>
  </si>
  <si>
    <t>In_file_6586_15</t>
  </si>
  <si>
    <t>ENSG00000273703</t>
  </si>
  <si>
    <t>ENSG00000274290</t>
  </si>
  <si>
    <t>6586_6</t>
  </si>
  <si>
    <t>In_file_6586_4</t>
  </si>
  <si>
    <t>ENSG00000273802</t>
  </si>
  <si>
    <t>ENSG00000275713</t>
  </si>
  <si>
    <t>ENSG00000277224</t>
  </si>
  <si>
    <t>ENSG00000278588</t>
  </si>
  <si>
    <t>6586_9</t>
  </si>
  <si>
    <t>ENSG00000233822</t>
  </si>
  <si>
    <t>ENSG00000234289</t>
  </si>
  <si>
    <t>ENSG00000274559</t>
  </si>
  <si>
    <t>6590_10</t>
  </si>
  <si>
    <t>ENSG00000246705</t>
  </si>
  <si>
    <t>6590_11</t>
  </si>
  <si>
    <t>ENSG00000184260</t>
  </si>
  <si>
    <t>ENST00000331380_Acinonyx_jubatus_zoonomia</t>
  </si>
  <si>
    <t>ENSG00000184270</t>
  </si>
  <si>
    <t>ENST00000331128_Acinonyx_jubatus_zoonomia</t>
  </si>
  <si>
    <t>6590_1</t>
  </si>
  <si>
    <t>ENSG00000113648</t>
  </si>
  <si>
    <t>In_file_6590_2</t>
  </si>
  <si>
    <t>6590_22</t>
  </si>
  <si>
    <t>ENSG00000196866</t>
  </si>
  <si>
    <t>In_file_6590_6</t>
  </si>
  <si>
    <t>ENSG00000277075</t>
  </si>
  <si>
    <t>6590_27</t>
  </si>
  <si>
    <t>ENSG00000164508</t>
  </si>
  <si>
    <t>ENST00000297012_Acinonyx_jubatus_zoonomia</t>
  </si>
  <si>
    <t>6590_2</t>
  </si>
  <si>
    <t>ENSG00000099284</t>
  </si>
  <si>
    <t>ENST00000373255_Acinonyx_jubatus_zoonomia</t>
  </si>
  <si>
    <t>6590_3</t>
  </si>
  <si>
    <t>ENSG00000181218</t>
  </si>
  <si>
    <t>In_file_6590_8</t>
  </si>
  <si>
    <t>ENSG00000188486</t>
  </si>
  <si>
    <t>6590_4</t>
  </si>
  <si>
    <t>ENSG00000282988</t>
  </si>
  <si>
    <t>6590_6</t>
  </si>
  <si>
    <t>ENSG00000180573</t>
  </si>
  <si>
    <t>In_file_6590_17</t>
  </si>
  <si>
    <t>ENSG00000196747</t>
  </si>
  <si>
    <t>ENSG00000276368</t>
  </si>
  <si>
    <t>6590_7</t>
  </si>
  <si>
    <t>6590_8</t>
  </si>
  <si>
    <t>6590_9</t>
  </si>
  <si>
    <t>6591_1</t>
  </si>
  <si>
    <t>ENSG00000164032</t>
  </si>
  <si>
    <t>6593_1</t>
  </si>
  <si>
    <t>ENSG00000229674</t>
  </si>
  <si>
    <t>6596_1</t>
  </si>
  <si>
    <t>ENSG00000274183</t>
  </si>
  <si>
    <t>ENSG00000277745</t>
  </si>
  <si>
    <t>ENSG00000277858</t>
  </si>
  <si>
    <t>6599_11</t>
  </si>
  <si>
    <t>ENSG00000183598</t>
  </si>
  <si>
    <t>In_file_6599_16</t>
  </si>
  <si>
    <t>ENSG00000197153</t>
  </si>
  <si>
    <t>ENSG00000203811</t>
  </si>
  <si>
    <t>ENST00000369158_Acinonyx_jubatus_zoonomia</t>
  </si>
  <si>
    <t>ENSG00000203852</t>
  </si>
  <si>
    <t>ENST00000403683_Acinonyx_jubatus_zoonomia</t>
  </si>
  <si>
    <t>ENSG00000273213</t>
  </si>
  <si>
    <t>6599_4</t>
  </si>
  <si>
    <t>ENSG00000168148</t>
  </si>
  <si>
    <t>ENSG00000197409</t>
  </si>
  <si>
    <t>ENSG00000273983</t>
  </si>
  <si>
    <t>ENSG00000274750</t>
  </si>
  <si>
    <t>ENSG00000275379</t>
  </si>
  <si>
    <t>ENSG00000275714</t>
  </si>
  <si>
    <t>ENSG00000277775</t>
  </si>
  <si>
    <t>ENSG00000278828</t>
  </si>
  <si>
    <t>ENSG00000286522</t>
  </si>
  <si>
    <t>ENSG00000287080</t>
  </si>
  <si>
    <t>6602_1</t>
  </si>
  <si>
    <t>ENSG00000124575</t>
  </si>
  <si>
    <t>ENST00000244534_Acinonyx_jubatus_zoonomia</t>
  </si>
  <si>
    <t>ENSG00000168298</t>
  </si>
  <si>
    <t>ENST00000304218_Acinonyx_jubatus_zoonomia</t>
  </si>
  <si>
    <t>ENSG00000187837</t>
  </si>
  <si>
    <t>6602_2</t>
  </si>
  <si>
    <t>ENSG00000184357</t>
  </si>
  <si>
    <t>ENST00000331442_Acinonyx_jubatus_zoonomia</t>
  </si>
  <si>
    <t>6604_1</t>
  </si>
  <si>
    <t>ENSG00000124610</t>
  </si>
  <si>
    <t>ENST00000244573_Acinonyx_jubatus_zoonomia</t>
  </si>
  <si>
    <t>6609_1</t>
  </si>
  <si>
    <t>ENSG00000128322</t>
  </si>
  <si>
    <t>ENST00000330377_Acinonyx_jubatus_zoonomia</t>
  </si>
  <si>
    <t>ENSG00000254709</t>
  </si>
  <si>
    <t>6613_1</t>
  </si>
  <si>
    <t>ENSG00000158406</t>
  </si>
  <si>
    <t>ENSG00000197061</t>
  </si>
  <si>
    <t>ENSG00000197837</t>
  </si>
  <si>
    <t>ENSG00000274618</t>
  </si>
  <si>
    <t>ENSG00000275126</t>
  </si>
  <si>
    <t>ENSG00000275663</t>
  </si>
  <si>
    <t>ENSG00000276180</t>
  </si>
  <si>
    <t>ENSG00000276966</t>
  </si>
  <si>
    <t>ENSG00000277157</t>
  </si>
  <si>
    <t>ENSG00000278637</t>
  </si>
  <si>
    <t>6619_1</t>
  </si>
  <si>
    <t>ENSG00000196440</t>
  </si>
  <si>
    <t>6632_2</t>
  </si>
  <si>
    <t>ENSG00000249884</t>
  </si>
  <si>
    <t>6633_1</t>
  </si>
  <si>
    <t>ENSG00000144026</t>
  </si>
  <si>
    <t>6640_1</t>
  </si>
  <si>
    <t>664_1</t>
  </si>
  <si>
    <t>ENSG00000146587</t>
  </si>
  <si>
    <t>In_file_559_10</t>
  </si>
  <si>
    <t>ENSG00000164631</t>
  </si>
  <si>
    <t>In_file_559_9</t>
  </si>
  <si>
    <t>In_file_559_8</t>
  </si>
  <si>
    <t>6644_1</t>
  </si>
  <si>
    <t>ENSG00000177879</t>
  </si>
  <si>
    <t>6645_1</t>
  </si>
  <si>
    <t>ENSG00000242498</t>
  </si>
  <si>
    <t>ENST00000357484_Acinonyx_jubatus_zoonomia</t>
  </si>
  <si>
    <t>ENSG00000250021</t>
  </si>
  <si>
    <t>ENST00000398333_Acinonyx_jubatus_zoonomia</t>
  </si>
  <si>
    <t>6648_1</t>
  </si>
  <si>
    <t>ENSG00000089682</t>
  </si>
  <si>
    <t>6649_3</t>
  </si>
  <si>
    <t>ENSG00000187109</t>
  </si>
  <si>
    <t>6649_5</t>
  </si>
  <si>
    <t>ENSG00000186310</t>
  </si>
  <si>
    <t>ENST00000373079_Acinonyx_jubatus_zoonomia</t>
  </si>
  <si>
    <t>6650_1</t>
  </si>
  <si>
    <t>ENSG00000177432</t>
  </si>
  <si>
    <t>ENST00000323061_Acinonyx_jubatus_zoonomia</t>
  </si>
  <si>
    <t>665_1</t>
  </si>
  <si>
    <t>ENSG00000081386</t>
  </si>
  <si>
    <t>ENST00000223428_Acinonyx_jubatus_zoonomia</t>
  </si>
  <si>
    <t>6658_1</t>
  </si>
  <si>
    <t>ENSG00000166710</t>
  </si>
  <si>
    <t>6664_4</t>
  </si>
  <si>
    <t>ENSG00000204520</t>
  </si>
  <si>
    <t>ENST00000449934_Acinonyx_jubatus_zoonomia</t>
  </si>
  <si>
    <t>ENSG00000204525</t>
  </si>
  <si>
    <t>ENSG00000204592</t>
  </si>
  <si>
    <t>ENSG00000204632</t>
  </si>
  <si>
    <t>ENSG00000204642</t>
  </si>
  <si>
    <t>ENSG00000206503</t>
  </si>
  <si>
    <t>6664_8</t>
  </si>
  <si>
    <t>6666_1</t>
  </si>
  <si>
    <t>ENSG00000160862</t>
  </si>
  <si>
    <t>6669_1</t>
  </si>
  <si>
    <t>ENSG00000104870</t>
  </si>
  <si>
    <t>ENST00000221466_Acinonyx_jubatus_zoonomia</t>
  </si>
  <si>
    <t>6673_1</t>
  </si>
  <si>
    <t>ENSG00000134590</t>
  </si>
  <si>
    <t>ENSG00000182195</t>
  </si>
  <si>
    <t>ENSG00000203950</t>
  </si>
  <si>
    <t>ENSG00000212747</t>
  </si>
  <si>
    <t>6674_1</t>
  </si>
  <si>
    <t>In_file_6673_1</t>
  </si>
  <si>
    <t>6677_1</t>
  </si>
  <si>
    <t>ENSG00000184785</t>
  </si>
  <si>
    <t>6682_2</t>
  </si>
  <si>
    <t>ENSG00000179144</t>
  </si>
  <si>
    <t>6682_4</t>
  </si>
  <si>
    <t>ENSG00000133561</t>
  </si>
  <si>
    <t>ENST00000328902_Acinonyx_jubatus_zoonomia</t>
  </si>
  <si>
    <t>668_2</t>
  </si>
  <si>
    <t>ENSG00000196653</t>
  </si>
  <si>
    <t>ENSG00000234444</t>
  </si>
  <si>
    <t>6685_1</t>
  </si>
  <si>
    <t>ENSG00000169093</t>
  </si>
  <si>
    <t>6686_1</t>
  </si>
  <si>
    <t>ENSG00000197976</t>
  </si>
  <si>
    <t>In_file_6687_1</t>
  </si>
  <si>
    <t>6689_1</t>
  </si>
  <si>
    <t>ENSG00000204227</t>
  </si>
  <si>
    <t>6693_1</t>
  </si>
  <si>
    <t>ENSG00000169575</t>
  </si>
  <si>
    <t>6700_1</t>
  </si>
  <si>
    <t>ENSG00000226479</t>
  </si>
  <si>
    <t>6700_2</t>
  </si>
  <si>
    <t>ENSG00000269556</t>
  </si>
  <si>
    <t>670_1</t>
  </si>
  <si>
    <t>ENSG00000159882</t>
  </si>
  <si>
    <t>ENST00000429154_Acinonyx_jubatus_zoonomia</t>
  </si>
  <si>
    <t>ENSG00000159885</t>
  </si>
  <si>
    <t>ENSG00000178386</t>
  </si>
  <si>
    <t>ENSG00000204920</t>
  </si>
  <si>
    <t>In_file_585_5</t>
  </si>
  <si>
    <t>6704_10</t>
  </si>
  <si>
    <t>ENSG00000176774</t>
  </si>
  <si>
    <t>In_file_6704_17</t>
  </si>
  <si>
    <t>ENSG00000177689</t>
  </si>
  <si>
    <t>ENSG00000214107</t>
  </si>
  <si>
    <t>6704_11</t>
  </si>
  <si>
    <t>ENSG00000099399</t>
  </si>
  <si>
    <t>ENST00000378988_Acinonyx_jubatus_zoonomia</t>
  </si>
  <si>
    <t>ENSG00000120289</t>
  </si>
  <si>
    <t>ENST00000378982_Acinonyx_jubatus_zoonomia</t>
  </si>
  <si>
    <t>ENSG00000176746</t>
  </si>
  <si>
    <t>ENST00000379034_Acinonyx_jubatus_zoonomia</t>
  </si>
  <si>
    <t>In_file_6704_10</t>
  </si>
  <si>
    <t>ENSG00000232030</t>
  </si>
  <si>
    <t>ENST00000416929_Acinonyx_jubatus_zoonomia</t>
  </si>
  <si>
    <t>6704_1</t>
  </si>
  <si>
    <t>ENSG00000154545</t>
  </si>
  <si>
    <t>ENST00000599522_Acinonyx_jubatus_zoonomia</t>
  </si>
  <si>
    <t>ENSG00000187243</t>
  </si>
  <si>
    <t>ENST00000335504_Acinonyx_jubatus_zoonomia</t>
  </si>
  <si>
    <t>6704_4</t>
  </si>
  <si>
    <t>ENSG00000067445</t>
  </si>
  <si>
    <t>ENST00000319167_Acinonyx_jubatus_zoonomia</t>
  </si>
  <si>
    <t>6704_5</t>
  </si>
  <si>
    <t>ENSG00000102316</t>
  </si>
  <si>
    <t>6707_1</t>
  </si>
  <si>
    <t>ENSG00000103363</t>
  </si>
  <si>
    <t>ENST00000262306_Acinonyx_jubatus_zoonomia</t>
  </si>
  <si>
    <t>6713_1</t>
  </si>
  <si>
    <t>ENSG00000184489</t>
  </si>
  <si>
    <t>6713_2</t>
  </si>
  <si>
    <t>ENSG00000112245</t>
  </si>
  <si>
    <t>6713_3</t>
  </si>
  <si>
    <t>ENSG00000184007</t>
  </si>
  <si>
    <t>6714_1</t>
  </si>
  <si>
    <t>ENSG00000112232</t>
  </si>
  <si>
    <t>6718_2</t>
  </si>
  <si>
    <t>ENSG00000176142</t>
  </si>
  <si>
    <t>6720_2</t>
  </si>
  <si>
    <t>ENSG00000084652</t>
  </si>
  <si>
    <t>6720_3</t>
  </si>
  <si>
    <t>ENSG00000086712</t>
  </si>
  <si>
    <t>ENST00000380122_Acinonyx_jubatus_zoonomia</t>
  </si>
  <si>
    <t>6723_1</t>
  </si>
  <si>
    <t>ENSG00000160051</t>
  </si>
  <si>
    <t>ENST00000291358_Acinonyx_jubatus_zoonomia</t>
  </si>
  <si>
    <t>6724_1</t>
  </si>
  <si>
    <t>ENSG00000222046</t>
  </si>
  <si>
    <t>6727_1</t>
  </si>
  <si>
    <t>ENSG00000160055</t>
  </si>
  <si>
    <t>ENST00000344461_Acinonyx_jubatus_zoonomia</t>
  </si>
  <si>
    <t>6729_1</t>
  </si>
  <si>
    <t>ENSG00000183615</t>
  </si>
  <si>
    <t>6739_1</t>
  </si>
  <si>
    <t>ENSG00000143207</t>
  </si>
  <si>
    <t>6742_2</t>
  </si>
  <si>
    <t>ENSG00000164022</t>
  </si>
  <si>
    <t>6745_2</t>
  </si>
  <si>
    <t>ENSG00000034677</t>
  </si>
  <si>
    <t>6749_3</t>
  </si>
  <si>
    <t>ENSG00000004455</t>
  </si>
  <si>
    <t>6750_1</t>
  </si>
  <si>
    <t>ENSG00000154027</t>
  </si>
  <si>
    <t>6751_1</t>
  </si>
  <si>
    <t>ENSG00000162368</t>
  </si>
  <si>
    <t>6756_3</t>
  </si>
  <si>
    <t>ENSG00000184389</t>
  </si>
  <si>
    <t>6756_4</t>
  </si>
  <si>
    <t>ENSG00000204007</t>
  </si>
  <si>
    <t>6759_2</t>
  </si>
  <si>
    <t>ENSG00000161847</t>
  </si>
  <si>
    <t>ENST00000611074_Acinonyx_jubatus_zoonomia</t>
  </si>
  <si>
    <t>676_1</t>
  </si>
  <si>
    <t>ENSG00000197008</t>
  </si>
  <si>
    <t>6763_1</t>
  </si>
  <si>
    <t>ENSG00000020129</t>
  </si>
  <si>
    <t>ENST00000356090_Acinonyx_jubatus_zoonomia</t>
  </si>
  <si>
    <t>6766_1</t>
  </si>
  <si>
    <t>ENSG00000123908</t>
  </si>
  <si>
    <t>ENST00000220592_Acinonyx_jubatus_zoonomia</t>
  </si>
  <si>
    <t>6767_1</t>
  </si>
  <si>
    <t>ENSG00000125207</t>
  </si>
  <si>
    <t>ENSG00000184571</t>
  </si>
  <si>
    <t>ENST00000332271_Acinonyx_jubatus_zoonomia</t>
  </si>
  <si>
    <t>6769_2</t>
  </si>
  <si>
    <t>ENSG00000054116</t>
  </si>
  <si>
    <t>6772_1</t>
  </si>
  <si>
    <t>ENSG00000184368</t>
  </si>
  <si>
    <t>ENST00000379643_Acinonyx_jubatus_zoonomia</t>
  </si>
  <si>
    <t>6773_1</t>
  </si>
  <si>
    <t>ENSG00000129680</t>
  </si>
  <si>
    <t>ENST00000370663_Acinonyx_jubatus_zoonomia</t>
  </si>
  <si>
    <t>677_3</t>
  </si>
  <si>
    <t>ENSG00000152433</t>
  </si>
  <si>
    <t>In_file_679_1</t>
  </si>
  <si>
    <t>ENSG00000188785</t>
  </si>
  <si>
    <t>6775_1</t>
  </si>
  <si>
    <t>ENSG00000029363</t>
  </si>
  <si>
    <t>6780_2</t>
  </si>
  <si>
    <t>ENSG00000101255</t>
  </si>
  <si>
    <t>6791_1</t>
  </si>
  <si>
    <t>ENSG00000204590</t>
  </si>
  <si>
    <t>ENST00000376621_Acinonyx_jubatus_zoonomia</t>
  </si>
  <si>
    <t>6792_2</t>
  </si>
  <si>
    <t>ENSG00000147655</t>
  </si>
  <si>
    <t>6792_3</t>
  </si>
  <si>
    <t>ENSG00000146374</t>
  </si>
  <si>
    <t>6798_1</t>
  </si>
  <si>
    <t>ENSG00000197982</t>
  </si>
  <si>
    <t>ENST00000373042_Acinonyx_jubatus_zoonomia</t>
  </si>
  <si>
    <t>6803_1</t>
  </si>
  <si>
    <t>ENSG00000143751</t>
  </si>
  <si>
    <t>ENST00000272091_Acinonyx_jubatus_zoonomia</t>
  </si>
  <si>
    <t>6804_1</t>
  </si>
  <si>
    <t>ENSG00000183520</t>
  </si>
  <si>
    <t>6805_2</t>
  </si>
  <si>
    <t>ENSG00000116954</t>
  </si>
  <si>
    <t>6807_2</t>
  </si>
  <si>
    <t>ENSG00000214114</t>
  </si>
  <si>
    <t>In_file_6807_1</t>
  </si>
  <si>
    <t>6808_2</t>
  </si>
  <si>
    <t>ENSG00000103269</t>
  </si>
  <si>
    <t>6811_1</t>
  </si>
  <si>
    <t>ENSG00000135334</t>
  </si>
  <si>
    <t>6816_1</t>
  </si>
  <si>
    <t>ENSG00000134323</t>
  </si>
  <si>
    <t>ENST00000638417_Acinonyx_jubatus_zoonomia</t>
  </si>
  <si>
    <t>6819_1</t>
  </si>
  <si>
    <t>ENSG00000221988</t>
  </si>
  <si>
    <t>6820_3</t>
  </si>
  <si>
    <t>ENSG00000117000</t>
  </si>
  <si>
    <t>ENST00000372771_Acinonyx_jubatus_zoonomia</t>
  </si>
  <si>
    <t>682_2</t>
  </si>
  <si>
    <t>ENSG00000174586</t>
  </si>
  <si>
    <t>ENST00000311044_Acinonyx_jubatus_zoonomia</t>
  </si>
  <si>
    <t>6824_1</t>
  </si>
  <si>
    <t>ENSG00000179862</t>
  </si>
  <si>
    <t>6826_1</t>
  </si>
  <si>
    <t>ENSG00000164442</t>
  </si>
  <si>
    <t>6827_1</t>
  </si>
  <si>
    <t>ENSG00000171793</t>
  </si>
  <si>
    <t>ENST00000372616_Acinonyx_jubatus_zoonomia</t>
  </si>
  <si>
    <t>6829_1</t>
  </si>
  <si>
    <t>ENSG00000044012</t>
  </si>
  <si>
    <t>ENST00000372581_Acinonyx_jubatus_zoonomia</t>
  </si>
  <si>
    <t>6831_1</t>
  </si>
  <si>
    <t>ENSG00000066185</t>
  </si>
  <si>
    <t>6834_3</t>
  </si>
  <si>
    <t>ENSG00000065978</t>
  </si>
  <si>
    <t>6835_1</t>
  </si>
  <si>
    <t>ENSG00000131914</t>
  </si>
  <si>
    <t>6841_1</t>
  </si>
  <si>
    <t>ENSG00000179178</t>
  </si>
  <si>
    <t>ENST00000432792_Acinonyx_jubatus_zoonomia</t>
  </si>
  <si>
    <t>6846_1</t>
  </si>
  <si>
    <t>ENSG00000198198</t>
  </si>
  <si>
    <t>ENST00000562955_Acinonyx_jubatus_zoonomia</t>
  </si>
  <si>
    <t>6849_2</t>
  </si>
  <si>
    <t>ENSG00000117408</t>
  </si>
  <si>
    <t>ENST00000372343_Acinonyx_jubatus_zoonomia</t>
  </si>
  <si>
    <t>6856_1</t>
  </si>
  <si>
    <t>ENSG00000198520</t>
  </si>
  <si>
    <t>6878_1</t>
  </si>
  <si>
    <t>ENSG00000153714</t>
  </si>
  <si>
    <t>6880_1</t>
  </si>
  <si>
    <t>ENSG00000173660</t>
  </si>
  <si>
    <t>ENSG00000233954</t>
  </si>
  <si>
    <t>688_1</t>
  </si>
  <si>
    <t>ENSG00000176293</t>
  </si>
  <si>
    <t>ENST00000359978_Acinonyx_jubatus_zoonomia</t>
  </si>
  <si>
    <t>6883_1</t>
  </si>
  <si>
    <t>ENSG00000282881</t>
  </si>
  <si>
    <t>ENST00000634804_Acinonyx_jubatus_zoonomia</t>
  </si>
  <si>
    <t>6886_1</t>
  </si>
  <si>
    <t>ENSG00000123472</t>
  </si>
  <si>
    <t>6888_1</t>
  </si>
  <si>
    <t>ENSG00000159658</t>
  </si>
  <si>
    <t>6892_1</t>
  </si>
  <si>
    <t>ENSG00000269113</t>
  </si>
  <si>
    <t>ENST00000606738_Acinonyx_jubatus_zoonomia</t>
  </si>
  <si>
    <t>6893_1</t>
  </si>
  <si>
    <t>ENSG00000132122</t>
  </si>
  <si>
    <t>6896_1</t>
  </si>
  <si>
    <t>ENSG00000142700</t>
  </si>
  <si>
    <t>6901_1</t>
  </si>
  <si>
    <t>ENSG00000143006</t>
  </si>
  <si>
    <t>6902_1</t>
  </si>
  <si>
    <t>ENSG00000185104</t>
  </si>
  <si>
    <t>6904_1</t>
  </si>
  <si>
    <t>ENSG00000204006</t>
  </si>
  <si>
    <t>6907_1</t>
  </si>
  <si>
    <t>ENSG00000078618</t>
  </si>
  <si>
    <t>6910_1</t>
  </si>
  <si>
    <t>ENSG00000198841</t>
  </si>
  <si>
    <t>ENST00000371614_Acinonyx_jubatus_zoonomia</t>
  </si>
  <si>
    <t>6911_1</t>
  </si>
  <si>
    <t>ENSG00000145741</t>
  </si>
  <si>
    <t>6911_2</t>
  </si>
  <si>
    <t>ENSG00000134717</t>
  </si>
  <si>
    <t>6912_1</t>
  </si>
  <si>
    <t>ENSG00000134748</t>
  </si>
  <si>
    <t>6914_1</t>
  </si>
  <si>
    <t>ENSG00000101310</t>
  </si>
  <si>
    <t>69_1</t>
  </si>
  <si>
    <t>ENSG00000146192</t>
  </si>
  <si>
    <t>6921_1</t>
  </si>
  <si>
    <t>ENSG00000179476</t>
  </si>
  <si>
    <t>6922_1</t>
  </si>
  <si>
    <t>ENSG00000185246</t>
  </si>
  <si>
    <t>6927_3</t>
  </si>
  <si>
    <t>ENSG00000165502</t>
  </si>
  <si>
    <t>ENST00000298289_Acinonyx_jubatus_zoonomia</t>
  </si>
  <si>
    <t>6931_1</t>
  </si>
  <si>
    <t>ENSG00000128607</t>
  </si>
  <si>
    <t>6937_1</t>
  </si>
  <si>
    <t>ENSG00000139926</t>
  </si>
  <si>
    <t>ENSG00000153303</t>
  </si>
  <si>
    <t>69_3</t>
  </si>
  <si>
    <t>ENSG00000102302</t>
  </si>
  <si>
    <t>ENST00000375135_Acinonyx_jubatus_zoonomia</t>
  </si>
  <si>
    <t>6940_1</t>
  </si>
  <si>
    <t>ENSG00000077585</t>
  </si>
  <si>
    <t>6949_1</t>
  </si>
  <si>
    <t>ENSG00000107651</t>
  </si>
  <si>
    <t>69_4</t>
  </si>
  <si>
    <t>ENSG00000127084</t>
  </si>
  <si>
    <t>ENST00000337352_Acinonyx_jubatus_zoonomia</t>
  </si>
  <si>
    <t>6950_1</t>
  </si>
  <si>
    <t>ENSG00000143768</t>
  </si>
  <si>
    <t>ENSG00000243709</t>
  </si>
  <si>
    <t>6953_1</t>
  </si>
  <si>
    <t>ENSG00000197045</t>
  </si>
  <si>
    <t>6958_1</t>
  </si>
  <si>
    <t>ENSG00000168175</t>
  </si>
  <si>
    <t>6963_1</t>
  </si>
  <si>
    <t>ENSG00000112592</t>
  </si>
  <si>
    <t>ENST00000230354_Acinonyx_jubatus_zoonomia</t>
  </si>
  <si>
    <t>6966_1</t>
  </si>
  <si>
    <t>ENSG00000125844</t>
  </si>
  <si>
    <t>ENST00000246043_Acinonyx_jubatus_zoonomia</t>
  </si>
  <si>
    <t>6968_1</t>
  </si>
  <si>
    <t>ENSG00000070367</t>
  </si>
  <si>
    <t>ENST00000340918_Acinonyx_jubatus_zoonomia</t>
  </si>
  <si>
    <t>69_6</t>
  </si>
  <si>
    <t>ENSG00000180263</t>
  </si>
  <si>
    <t>6973_1</t>
  </si>
  <si>
    <t>ENSG00000165617</t>
  </si>
  <si>
    <t>6975_1</t>
  </si>
  <si>
    <t>ENSG00000164488</t>
  </si>
  <si>
    <t>ENST00000366796_Acinonyx_jubatus_zoonomia</t>
  </si>
  <si>
    <t>6977_1</t>
  </si>
  <si>
    <t>ENSG00000181619</t>
  </si>
  <si>
    <t>ENST00000395116_Acinonyx_jubatus_zoonomia</t>
  </si>
  <si>
    <t>6979_1</t>
  </si>
  <si>
    <t>ENSG00000050130</t>
  </si>
  <si>
    <t>6987_2</t>
  </si>
  <si>
    <t>ENSG00000182107</t>
  </si>
  <si>
    <t>ENST00000555868_Acinonyx_jubatus_zoonomia</t>
  </si>
  <si>
    <t>6994_1</t>
  </si>
  <si>
    <t>ENSG00000068971</t>
  </si>
  <si>
    <t>6994_2</t>
  </si>
  <si>
    <t>ENSG00000066027</t>
  </si>
  <si>
    <t>6994_4</t>
  </si>
  <si>
    <t>ENSG00000078304</t>
  </si>
  <si>
    <t>6996_2</t>
  </si>
  <si>
    <t>ENSG00000163082</t>
  </si>
  <si>
    <t>7001_1</t>
  </si>
  <si>
    <t>ENSG00000164219</t>
  </si>
  <si>
    <t>7007_1</t>
  </si>
  <si>
    <t>ENSG00000180043</t>
  </si>
  <si>
    <t>ENST00000424985_Acinonyx_jubatus_zoonomia</t>
  </si>
  <si>
    <t>7018_1</t>
  </si>
  <si>
    <t>ENSG00000182185</t>
  </si>
  <si>
    <t>7021_1</t>
  </si>
  <si>
    <t>ENSG00000126215</t>
  </si>
  <si>
    <t>7025_1</t>
  </si>
  <si>
    <t>ENSG00000100632</t>
  </si>
  <si>
    <t>7030_1</t>
  </si>
  <si>
    <t>ENSG00000112562</t>
  </si>
  <si>
    <t>In_file_7030_3</t>
  </si>
  <si>
    <t>7030_2</t>
  </si>
  <si>
    <t>ENSG00000198732</t>
  </si>
  <si>
    <t>ENST00000361956_Acinonyx_jubatus_zoonomia</t>
  </si>
  <si>
    <t>7033_1</t>
  </si>
  <si>
    <t>ENSG00000133985</t>
  </si>
  <si>
    <t>7034_1</t>
  </si>
  <si>
    <t>ENSG00000133884</t>
  </si>
  <si>
    <t>ENST00000252268_Acinonyx_jubatus_zoonomia</t>
  </si>
  <si>
    <t>7034_2</t>
  </si>
  <si>
    <t>ENSG00000011332</t>
  </si>
  <si>
    <t>7036_1</t>
  </si>
  <si>
    <t>ENSG00000119599</t>
  </si>
  <si>
    <t>ENSG00000176566</t>
  </si>
  <si>
    <t>ENSG00000182308</t>
  </si>
  <si>
    <t>7038_1</t>
  </si>
  <si>
    <t>ENSG00000119707</t>
  </si>
  <si>
    <t>ENST00000261973_Acinonyx_jubatus_zoonomia</t>
  </si>
  <si>
    <t>7041_2</t>
  </si>
  <si>
    <t>ENSG00000119673</t>
  </si>
  <si>
    <t>ENST00000238651_Acinonyx_jubatus_zoonomia</t>
  </si>
  <si>
    <t>ENSG00000184227</t>
  </si>
  <si>
    <t>ENST00000311148_Acinonyx_jubatus_zoonomia</t>
  </si>
  <si>
    <t>7041_6</t>
  </si>
  <si>
    <t>ENSG00000205669</t>
  </si>
  <si>
    <t>7042_1</t>
  </si>
  <si>
    <t>ENSG00000119661</t>
  </si>
  <si>
    <t>7052_1</t>
  </si>
  <si>
    <t>ENSG00000142046</t>
  </si>
  <si>
    <t>7053_1</t>
  </si>
  <si>
    <t>ENSG00000248098</t>
  </si>
  <si>
    <t>ENSG00000255730</t>
  </si>
  <si>
    <t>7056_1</t>
  </si>
  <si>
    <t>ENSG00000119616</t>
  </si>
  <si>
    <t>7058_1</t>
  </si>
  <si>
    <t>ENSG00000119596</t>
  </si>
  <si>
    <t>ENST00000325680_Acinonyx_jubatus_zoonomia</t>
  </si>
  <si>
    <t>7061_1</t>
  </si>
  <si>
    <t>ENSG00000137992</t>
  </si>
  <si>
    <t>7062_2</t>
  </si>
  <si>
    <t>ENSG00000150768</t>
  </si>
  <si>
    <t>ENST00000280346_Acinonyx_jubatus_zoonomia</t>
  </si>
  <si>
    <t>7063_1</t>
  </si>
  <si>
    <t>ENSG00000198208</t>
  </si>
  <si>
    <t>7066_1</t>
  </si>
  <si>
    <t>ENSG00000173511</t>
  </si>
  <si>
    <t>ENST00000426086_Acinonyx_jubatus_zoonomia</t>
  </si>
  <si>
    <t>7067_1</t>
  </si>
  <si>
    <t>ENSG00000119718</t>
  </si>
  <si>
    <t>7068_1</t>
  </si>
  <si>
    <t>ENSG00000111361</t>
  </si>
  <si>
    <t>7070_1</t>
  </si>
  <si>
    <t>ENSG00000119703</t>
  </si>
  <si>
    <t>7072_1</t>
  </si>
  <si>
    <t>ENSG00000184840</t>
  </si>
  <si>
    <t>7073_1</t>
  </si>
  <si>
    <t>ENSG00000086598</t>
  </si>
  <si>
    <t>ENST00000262225_Acinonyx_jubatus_zoonomia</t>
  </si>
  <si>
    <t>7076_1</t>
  </si>
  <si>
    <t>ENSG00000119686</t>
  </si>
  <si>
    <t>ENST00000238667_Acinonyx_jubatus_zoonomia</t>
  </si>
  <si>
    <t>7076_2</t>
  </si>
  <si>
    <t>ENSG00000162769</t>
  </si>
  <si>
    <t>7077_1</t>
  </si>
  <si>
    <t>ENSG00000169026</t>
  </si>
  <si>
    <t>ENST00000322224_Acinonyx_jubatus_zoonomia</t>
  </si>
  <si>
    <t>7078_1</t>
  </si>
  <si>
    <t>ENSG00000138463</t>
  </si>
  <si>
    <t>7079_1</t>
  </si>
  <si>
    <t>ENSG00000133935</t>
  </si>
  <si>
    <t>7082_2</t>
  </si>
  <si>
    <t>ENSG00000092978</t>
  </si>
  <si>
    <t>ENST00000366935_Acinonyx_jubatus_zoonomia</t>
  </si>
  <si>
    <t>7083_2</t>
  </si>
  <si>
    <t>ENSG00000143494</t>
  </si>
  <si>
    <t>7089_1</t>
  </si>
  <si>
    <t>ENSG00000165553</t>
  </si>
  <si>
    <t>7091_1</t>
  </si>
  <si>
    <t>ENSG00000100577</t>
  </si>
  <si>
    <t>7100_1</t>
  </si>
  <si>
    <t>ENSG00000119705</t>
  </si>
  <si>
    <t>ENST00000557431_Acinonyx_jubatus_zoonomia</t>
  </si>
  <si>
    <t>7102_2</t>
  </si>
  <si>
    <t>ENSG00000123815</t>
  </si>
  <si>
    <t>ENST00000243583_Acinonyx_jubatus_zoonomia</t>
  </si>
  <si>
    <t>7108_1</t>
  </si>
  <si>
    <t>ENSG00000185024</t>
  </si>
  <si>
    <t>7109_1</t>
  </si>
  <si>
    <t>ENSG00000137947</t>
  </si>
  <si>
    <t>7110_1</t>
  </si>
  <si>
    <t>ENSG00000175115</t>
  </si>
  <si>
    <t>ENSG00000179364</t>
  </si>
  <si>
    <t>In_file_7110_2</t>
  </si>
  <si>
    <t>711_2</t>
  </si>
  <si>
    <t>ENSG00000197362</t>
  </si>
  <si>
    <t>ENST00000491431_Acinonyx_jubatus_zoonomia</t>
  </si>
  <si>
    <t>7116_1</t>
  </si>
  <si>
    <t>ENSG00000175183</t>
  </si>
  <si>
    <t>7116_2</t>
  </si>
  <si>
    <t>ENSG00000159176</t>
  </si>
  <si>
    <t>7117_1</t>
  </si>
  <si>
    <t>ENSG00000185347</t>
  </si>
  <si>
    <t>712_1</t>
  </si>
  <si>
    <t>ENSG00000131849</t>
  </si>
  <si>
    <t>In_file_572_2</t>
  </si>
  <si>
    <t>ENSG00000268750</t>
  </si>
  <si>
    <t>ENST00000598031_Acinonyx_jubatus_zoonomia</t>
  </si>
  <si>
    <t>ENSG00000269026</t>
  </si>
  <si>
    <t>ENST00000594684_Acinonyx_jubatus_zoonomia</t>
  </si>
  <si>
    <t>7122_1</t>
  </si>
  <si>
    <t>ENSG00000234965</t>
  </si>
  <si>
    <t>ENST00000621082_Acinonyx_jubatus_zoonomia</t>
  </si>
  <si>
    <t>7123_1</t>
  </si>
  <si>
    <t>ENSG00000188803</t>
  </si>
  <si>
    <t>ENST00000409168_Acinonyx_jubatus_zoonomia</t>
  </si>
  <si>
    <t>7129_1</t>
  </si>
  <si>
    <t>ENSG00000204219</t>
  </si>
  <si>
    <t>7129_3</t>
  </si>
  <si>
    <t>ENSG00000187735</t>
  </si>
  <si>
    <t>7132_1</t>
  </si>
  <si>
    <t>ENSG00000196421</t>
  </si>
  <si>
    <t>7133_1</t>
  </si>
  <si>
    <t>ENSG00000101161</t>
  </si>
  <si>
    <t>7135_1</t>
  </si>
  <si>
    <t>ENSG00000130590</t>
  </si>
  <si>
    <t>ENST00000369886_Acinonyx_jubatus_zoonomia</t>
  </si>
  <si>
    <t>7136_1</t>
  </si>
  <si>
    <t>ENSG00000177570</t>
  </si>
  <si>
    <t>7137_1</t>
  </si>
  <si>
    <t>ENSG00000198276</t>
  </si>
  <si>
    <t>ENST00000354216_Acinonyx_jubatus_zoonomia</t>
  </si>
  <si>
    <t>7137_3</t>
  </si>
  <si>
    <t>ENSG00000130717</t>
  </si>
  <si>
    <t>714_1</t>
  </si>
  <si>
    <t>ENSG00000268133</t>
  </si>
  <si>
    <t>7143_2</t>
  </si>
  <si>
    <t>ENSG00000204427</t>
  </si>
  <si>
    <t>ENST00000395952_Acinonyx_jubatus_zoonomia</t>
  </si>
  <si>
    <t>7145_3</t>
  </si>
  <si>
    <t>ENSG00000056277</t>
  </si>
  <si>
    <t>ENST00000370978_Acinonyx_jubatus_zoonomia</t>
  </si>
  <si>
    <t>7147_1</t>
  </si>
  <si>
    <t>ENSG00000109205</t>
  </si>
  <si>
    <t>7148_1</t>
  </si>
  <si>
    <t>ENSG00000109208</t>
  </si>
  <si>
    <t>ENST00000226460_Acinonyx_jubatus_zoonomia</t>
  </si>
  <si>
    <t>ENSG00000171201</t>
  </si>
  <si>
    <t>ENST00000304915_Acinonyx_jubatus_zoonomia</t>
  </si>
  <si>
    <t>7156_1</t>
  </si>
  <si>
    <t>ENSG00000168904</t>
  </si>
  <si>
    <t>7166_1</t>
  </si>
  <si>
    <t>ENSG00000167671</t>
  </si>
  <si>
    <t>ENST00000301281_Acinonyx_jubatus_zoonomia</t>
  </si>
  <si>
    <t>7168_2</t>
  </si>
  <si>
    <t>ENSG00000148341</t>
  </si>
  <si>
    <t>7171_2</t>
  </si>
  <si>
    <t>ENSG00000178078</t>
  </si>
  <si>
    <t>7172_1</t>
  </si>
  <si>
    <t>ENSG00000077463</t>
  </si>
  <si>
    <t>ENST00000305232_Acinonyx_jubatus_zoonomia</t>
  </si>
  <si>
    <t>7175_2</t>
  </si>
  <si>
    <t>ENSG00000068903</t>
  </si>
  <si>
    <t>7180_1</t>
  </si>
  <si>
    <t>ENSG00000166582</t>
  </si>
  <si>
    <t>ENSG00000223591</t>
  </si>
  <si>
    <t>ENST00000602548_Acinonyx_jubatus_zoonomia</t>
  </si>
  <si>
    <t>ENSG00000224109</t>
  </si>
  <si>
    <t>ENST00000417339_Acinonyx_jubatus_zoonomia</t>
  </si>
  <si>
    <t>ENSG00000283093</t>
  </si>
  <si>
    <t>ENST00000634648_Acinonyx_jubatus_zoonomia</t>
  </si>
  <si>
    <t>7181_4</t>
  </si>
  <si>
    <t>ENSG00000122824</t>
  </si>
  <si>
    <t>ENSG00000196368</t>
  </si>
  <si>
    <t>7182_1</t>
  </si>
  <si>
    <t>ENSG00000124614</t>
  </si>
  <si>
    <t>ENSG00000270800</t>
  </si>
  <si>
    <t>7186_1</t>
  </si>
  <si>
    <t>ENSG00000171405</t>
  </si>
  <si>
    <t>ENSG00000204279</t>
  </si>
  <si>
    <t>7191_1</t>
  </si>
  <si>
    <t>ENSG00000113558</t>
  </si>
  <si>
    <t>7192_1</t>
  </si>
  <si>
    <t>ENSG00000272772</t>
  </si>
  <si>
    <t>ENST00000519718_Acinonyx_jubatus_zoonomia</t>
  </si>
  <si>
    <t>7194_1</t>
  </si>
  <si>
    <t>ENSG00000134824</t>
  </si>
  <si>
    <t>ENST00000257261_Acinonyx_jubatus_zoonomia</t>
  </si>
  <si>
    <t>7207_1</t>
  </si>
  <si>
    <t>ENSG00000101997</t>
  </si>
  <si>
    <t>ENST00000376227_Acinonyx_jubatus_zoonomia</t>
  </si>
  <si>
    <t>7208_4</t>
  </si>
  <si>
    <t>ENSG00000143028</t>
  </si>
  <si>
    <t>7217_5</t>
  </si>
  <si>
    <t>ENSG00000196565</t>
  </si>
  <si>
    <t>ENSG00000213934</t>
  </si>
  <si>
    <t>ENSG00000223609</t>
  </si>
  <si>
    <t>ENST00000292901_Acinonyx_jubatus_zoonomia</t>
  </si>
  <si>
    <t>ENSG00000244734</t>
  </si>
  <si>
    <t>In_file_7217_1</t>
  </si>
  <si>
    <t>ENSG00000284931</t>
  </si>
  <si>
    <t>7218_1</t>
  </si>
  <si>
    <t>ENSG00000130656</t>
  </si>
  <si>
    <t>7218_2</t>
  </si>
  <si>
    <t>ENSG00000086506</t>
  </si>
  <si>
    <t>ENSG00000188536</t>
  </si>
  <si>
    <t>In_file_7218_3</t>
  </si>
  <si>
    <t>ENSG00000206172</t>
  </si>
  <si>
    <t>7222_1</t>
  </si>
  <si>
    <t>ENSG00000198125</t>
  </si>
  <si>
    <t>7223_1</t>
  </si>
  <si>
    <t>ENSG00000162753</t>
  </si>
  <si>
    <t>ENSG00000172139</t>
  </si>
  <si>
    <t>ENST00000305815_Acinonyx_jubatus_zoonomia</t>
  </si>
  <si>
    <t>7229_1</t>
  </si>
  <si>
    <t>ENSG00000130347</t>
  </si>
  <si>
    <t>7231_1</t>
  </si>
  <si>
    <t>ENSG00000143536</t>
  </si>
  <si>
    <t>7232_1</t>
  </si>
  <si>
    <t>ENSG00000215853</t>
  </si>
  <si>
    <t>7233_1</t>
  </si>
  <si>
    <t>ENSG00000159450</t>
  </si>
  <si>
    <t>ENST00000368804_Acinonyx_jubatus_zoonomia</t>
  </si>
  <si>
    <t>7237_1</t>
  </si>
  <si>
    <t>ENSG00000186207</t>
  </si>
  <si>
    <t>ENST00000334269_Acinonyx_jubatus_zoonomia</t>
  </si>
  <si>
    <t>7238_1</t>
  </si>
  <si>
    <t>ENSG00000169509</t>
  </si>
  <si>
    <t>724_1</t>
  </si>
  <si>
    <t>ENSG00000180532</t>
  </si>
  <si>
    <t>7247_1</t>
  </si>
  <si>
    <t>ENSG00000130312</t>
  </si>
  <si>
    <t>ENST00000595444_Acinonyx_jubatus_zoonomia</t>
  </si>
  <si>
    <t>7252_2</t>
  </si>
  <si>
    <t>ENSG00000064545</t>
  </si>
  <si>
    <t>7254_2</t>
  </si>
  <si>
    <t>ENSG00000068305</t>
  </si>
  <si>
    <t>ENST00000338042_Acinonyx_jubatus_zoonomia</t>
  </si>
  <si>
    <t>7254_4</t>
  </si>
  <si>
    <t>ENSG00000064489</t>
  </si>
  <si>
    <t>ENSG00000213999</t>
  </si>
  <si>
    <t>7258_1</t>
  </si>
  <si>
    <t>ENSG00000101194</t>
  </si>
  <si>
    <t>726_1</t>
  </si>
  <si>
    <t>ENSG00000149054</t>
  </si>
  <si>
    <t>ENST00000529903_Acinonyx_jubatus_zoonomia</t>
  </si>
  <si>
    <t>ENSG00000173258</t>
  </si>
  <si>
    <t>7266_1</t>
  </si>
  <si>
    <t>ENSG00000118418</t>
  </si>
  <si>
    <t>ENST00000344726_Acinonyx_jubatus_zoonomia</t>
  </si>
  <si>
    <t>7269_1</t>
  </si>
  <si>
    <t>ENSG00000112773</t>
  </si>
  <si>
    <t>ENST00000412306_Acinonyx_jubatus_zoonomia</t>
  </si>
  <si>
    <t>7270_1</t>
  </si>
  <si>
    <t>ENSG00000158246</t>
  </si>
  <si>
    <t>7275_2</t>
  </si>
  <si>
    <t>ENSG00000065609</t>
  </si>
  <si>
    <t>ENST00000195649_Acinonyx_jubatus_zoonomia</t>
  </si>
  <si>
    <t>7278_3</t>
  </si>
  <si>
    <t>ENSG00000159348</t>
  </si>
  <si>
    <t>729_1</t>
  </si>
  <si>
    <t>ENSG00000155592</t>
  </si>
  <si>
    <t>7293_1</t>
  </si>
  <si>
    <t>ENSG00000135336</t>
  </si>
  <si>
    <t>7295_1</t>
  </si>
  <si>
    <t>ENSG00000146278</t>
  </si>
  <si>
    <t>7299_2</t>
  </si>
  <si>
    <t>ENSG00000196371</t>
  </si>
  <si>
    <t>ENST00000358752_Acinonyx_jubatus_zoonomia</t>
  </si>
  <si>
    <t>7305_1</t>
  </si>
  <si>
    <t>ENSG00000132424</t>
  </si>
  <si>
    <t>7309_1</t>
  </si>
  <si>
    <t>ENSG00000057663</t>
  </si>
  <si>
    <t>7313_1</t>
  </si>
  <si>
    <t>ENSG00000112320</t>
  </si>
  <si>
    <t>ENST00000317357_Acinonyx_jubatus_zoonomia</t>
  </si>
  <si>
    <t>7317_1</t>
  </si>
  <si>
    <t>ENSG00000118690</t>
  </si>
  <si>
    <t>ENST00000392644_Acinonyx_jubatus_zoonomia</t>
  </si>
  <si>
    <t>7318_1</t>
  </si>
  <si>
    <t>ENSG00000130766</t>
  </si>
  <si>
    <t>7318_3</t>
  </si>
  <si>
    <t>ENSG00000080546</t>
  </si>
  <si>
    <t>7319_1</t>
  </si>
  <si>
    <t>ENSG00000166037</t>
  </si>
  <si>
    <t>ENST00000325486_Acinonyx_jubatus_zoonomia</t>
  </si>
  <si>
    <t>7322_1</t>
  </si>
  <si>
    <t>ENSG00000053328</t>
  </si>
  <si>
    <t>7323_1</t>
  </si>
  <si>
    <t>ENSG00000110887</t>
  </si>
  <si>
    <t>7324_1</t>
  </si>
  <si>
    <t>ENSG00000157703</t>
  </si>
  <si>
    <t>ENST00000419765_Acinonyx_jubatus_zoonomia</t>
  </si>
  <si>
    <t>7327_1</t>
  </si>
  <si>
    <t>ENSG00000197498</t>
  </si>
  <si>
    <t>ENST00000441448_Acinonyx_jubatus_zoonomia</t>
  </si>
  <si>
    <t>7330_1</t>
  </si>
  <si>
    <t>ENSG00000076685</t>
  </si>
  <si>
    <t>ENST00000343289_Acinonyx_jubatus_zoonomia</t>
  </si>
  <si>
    <t>ENSG00000144130</t>
  </si>
  <si>
    <t>ENST00000327581_Acinonyx_jubatus_zoonomia</t>
  </si>
  <si>
    <t>7333_1</t>
  </si>
  <si>
    <t>ENSG00000138172</t>
  </si>
  <si>
    <t>7335_1</t>
  </si>
  <si>
    <t>ENSG00000164451</t>
  </si>
  <si>
    <t>ENST00000628083_Acinonyx_jubatus_zoonomia</t>
  </si>
  <si>
    <t>7343_1</t>
  </si>
  <si>
    <t>ENSG00000206538</t>
  </si>
  <si>
    <t>7348_1</t>
  </si>
  <si>
    <t>ENSG00000047662</t>
  </si>
  <si>
    <t>ENST00000265018_Acinonyx_jubatus_zoonomia</t>
  </si>
  <si>
    <t>7351_1</t>
  </si>
  <si>
    <t>ENSG00000145384</t>
  </si>
  <si>
    <t>735_1</t>
  </si>
  <si>
    <t>ENSG00000106153</t>
  </si>
  <si>
    <t>7352_2</t>
  </si>
  <si>
    <t>ENSG00000172594</t>
  </si>
  <si>
    <t>7353_2</t>
  </si>
  <si>
    <t>ENSG00000188580</t>
  </si>
  <si>
    <t>7361_1</t>
  </si>
  <si>
    <t>ENSG00000164483</t>
  </si>
  <si>
    <t>7362_1</t>
  </si>
  <si>
    <t>ENSG00000206432</t>
  </si>
  <si>
    <t>7368_1</t>
  </si>
  <si>
    <t>ENSG00000171045</t>
  </si>
  <si>
    <t>7373_1</t>
  </si>
  <si>
    <t>ENSG00000261787</t>
  </si>
  <si>
    <t>7374_1</t>
  </si>
  <si>
    <t>ENSG00000163792</t>
  </si>
  <si>
    <t>7376_1</t>
  </si>
  <si>
    <t>ENSG00000164485</t>
  </si>
  <si>
    <t>7381_1</t>
  </si>
  <si>
    <t>ENSG00000262543</t>
  </si>
  <si>
    <t>ENST00000573100_Acinonyx_jubatus_zoonomia</t>
  </si>
  <si>
    <t>7385_1</t>
  </si>
  <si>
    <t>ENSG00000188158</t>
  </si>
  <si>
    <t>ENST00000380060_Acinonyx_jubatus_zoonomia</t>
  </si>
  <si>
    <t>7392_1</t>
  </si>
  <si>
    <t>ENSG00000164620</t>
  </si>
  <si>
    <t>7395_1</t>
  </si>
  <si>
    <t>ENSG00000137478</t>
  </si>
  <si>
    <t>740_1</t>
  </si>
  <si>
    <t>ENSG00000143067</t>
  </si>
  <si>
    <t>ENST00000421812_Acinonyx_jubatus_zoonomia</t>
  </si>
  <si>
    <t>7418_1</t>
  </si>
  <si>
    <t>ENSG00000125089</t>
  </si>
  <si>
    <t>ENST00000245105_Acinonyx_jubatus_zoonomia</t>
  </si>
  <si>
    <t>7423_1</t>
  </si>
  <si>
    <t>ENSG00000148840</t>
  </si>
  <si>
    <t>ENST00000278070_Acinonyx_jubatus_zoonomia</t>
  </si>
  <si>
    <t>7433_1</t>
  </si>
  <si>
    <t>ENSG00000177556</t>
  </si>
  <si>
    <t>7434_2</t>
  </si>
  <si>
    <t>ENSG00000145907</t>
  </si>
  <si>
    <t>7435_2</t>
  </si>
  <si>
    <t>ENSG00000198791</t>
  </si>
  <si>
    <t>7443_1</t>
  </si>
  <si>
    <t>ENSG00000172568</t>
  </si>
  <si>
    <t>ENSG00000285868</t>
  </si>
  <si>
    <t>7446_1</t>
  </si>
  <si>
    <t>ENSG00000155858</t>
  </si>
  <si>
    <t>7451_1</t>
  </si>
  <si>
    <t>ENSG00000164611</t>
  </si>
  <si>
    <t>ENSG00000250254</t>
  </si>
  <si>
    <t>7456_1</t>
  </si>
  <si>
    <t>ENSG00000105429</t>
  </si>
  <si>
    <t>ENST00000251268_Acinonyx_jubatus_zoonomia</t>
  </si>
  <si>
    <t>7457_1</t>
  </si>
  <si>
    <t>ENSG00000188573</t>
  </si>
  <si>
    <t>7459_1</t>
  </si>
  <si>
    <t>ENSG00000145936</t>
  </si>
  <si>
    <t>7459_2</t>
  </si>
  <si>
    <t>ENSG00000197584</t>
  </si>
  <si>
    <t>ENSG00000275163</t>
  </si>
  <si>
    <t>7466_2</t>
  </si>
  <si>
    <t>ENSG00000168246</t>
  </si>
  <si>
    <t>7467_2</t>
  </si>
  <si>
    <t>ENSG00000037241</t>
  </si>
  <si>
    <t>7477_1</t>
  </si>
  <si>
    <t>ENSG00000228075</t>
  </si>
  <si>
    <t>748_2</t>
  </si>
  <si>
    <t>ENSG00000061455</t>
  </si>
  <si>
    <t>7485_1</t>
  </si>
  <si>
    <t>ENSG00000051596</t>
  </si>
  <si>
    <t>7490_1</t>
  </si>
  <si>
    <t>ENSG00000204175</t>
  </si>
  <si>
    <t>ENST00000374314_Acinonyx_jubatus_zoonomia</t>
  </si>
  <si>
    <t>7493_1</t>
  </si>
  <si>
    <t>ENSG00000145335</t>
  </si>
  <si>
    <t>7495_1</t>
  </si>
  <si>
    <t>ENSG00000175766</t>
  </si>
  <si>
    <t>7496_1</t>
  </si>
  <si>
    <t>ENSG00000135930</t>
  </si>
  <si>
    <t>7497_1</t>
  </si>
  <si>
    <t>ENSG00000163412</t>
  </si>
  <si>
    <t>7506_1</t>
  </si>
  <si>
    <t>ENSG00000136279</t>
  </si>
  <si>
    <t>ENST00000448521_Acinonyx_jubatus_zoonomia</t>
  </si>
  <si>
    <t>7508_1</t>
  </si>
  <si>
    <t>ENSG00000125386</t>
  </si>
  <si>
    <t>7509_1</t>
  </si>
  <si>
    <t>ENSG00000134970</t>
  </si>
  <si>
    <t>ENSG00000251201</t>
  </si>
  <si>
    <t>In_file_7510_1</t>
  </si>
  <si>
    <t>751_2</t>
  </si>
  <si>
    <t>ENSG00000085276</t>
  </si>
  <si>
    <t>7513_1</t>
  </si>
  <si>
    <t>ENSG00000061337</t>
  </si>
  <si>
    <t>ENST00000265801_Acinonyx_jubatus_zoonomia</t>
  </si>
  <si>
    <t>7513_2</t>
  </si>
  <si>
    <t>ENSG00000107816</t>
  </si>
  <si>
    <t>7513_3</t>
  </si>
  <si>
    <t>ENSG00000088899</t>
  </si>
  <si>
    <t>ENST00000329152_Acinonyx_jubatus_zoonomia</t>
  </si>
  <si>
    <t>7515_1</t>
  </si>
  <si>
    <t>ENSG00000090316</t>
  </si>
  <si>
    <t>7520_1</t>
  </si>
  <si>
    <t>ENSG00000102189</t>
  </si>
  <si>
    <t>ENST00000322349_Acinonyx_jubatus_zoonomia</t>
  </si>
  <si>
    <t>7521_1</t>
  </si>
  <si>
    <t>ENSG00000161021</t>
  </si>
  <si>
    <t>ENST00000292599_Acinonyx_jubatus_zoonomia</t>
  </si>
  <si>
    <t>7521_2</t>
  </si>
  <si>
    <t>ENSG00000196782</t>
  </si>
  <si>
    <t>ENST00000509479_Acinonyx_jubatus_zoonomia</t>
  </si>
  <si>
    <t>7524_1</t>
  </si>
  <si>
    <t>ENSG00000186205</t>
  </si>
  <si>
    <t>7524_2</t>
  </si>
  <si>
    <t>ENSG00000117791</t>
  </si>
  <si>
    <t>7526_1</t>
  </si>
  <si>
    <t>ENSG00000162817</t>
  </si>
  <si>
    <t>ENST00000294889_Acinonyx_jubatus_zoonomia</t>
  </si>
  <si>
    <t>7529_1</t>
  </si>
  <si>
    <t>ENSG00000162813</t>
  </si>
  <si>
    <t>7531_1</t>
  </si>
  <si>
    <t>ENSG00000172053</t>
  </si>
  <si>
    <t>ENST00000306125_Acinonyx_jubatus_zoonomia</t>
  </si>
  <si>
    <t>7538_1</t>
  </si>
  <si>
    <t>ENSG00000117724</t>
  </si>
  <si>
    <t>7539_1</t>
  </si>
  <si>
    <t>ENSG00000143499</t>
  </si>
  <si>
    <t>7543_1</t>
  </si>
  <si>
    <t>ENSG00000185523</t>
  </si>
  <si>
    <t>ENST00000332912_Acinonyx_jubatus_zoonomia</t>
  </si>
  <si>
    <t>7545_1</t>
  </si>
  <si>
    <t>ENSG00000147687</t>
  </si>
  <si>
    <t>7547_1</t>
  </si>
  <si>
    <t>ENSG00000123685</t>
  </si>
  <si>
    <t>ENST00000243440_Acinonyx_jubatus_zoonomia</t>
  </si>
  <si>
    <t>7552_2</t>
  </si>
  <si>
    <t>ENSG00000101856</t>
  </si>
  <si>
    <t>In_file_7552_1</t>
  </si>
  <si>
    <t>7559_1</t>
  </si>
  <si>
    <t>ENSG00000127191</t>
  </si>
  <si>
    <t>7559_4</t>
  </si>
  <si>
    <t>ENSG00000082512</t>
  </si>
  <si>
    <t>756_1</t>
  </si>
  <si>
    <t>ENSG00000184709</t>
  </si>
  <si>
    <t>7562_1</t>
  </si>
  <si>
    <t>ENSG00000141027</t>
  </si>
  <si>
    <t>ENST00000268712_Acinonyx_jubatus_zoonomia</t>
  </si>
  <si>
    <t>7564_1</t>
  </si>
  <si>
    <t>ENSG00000082497</t>
  </si>
  <si>
    <t>7572_1</t>
  </si>
  <si>
    <t>ENSG00000176244</t>
  </si>
  <si>
    <t>7573_1</t>
  </si>
  <si>
    <t>ENSG00000155368</t>
  </si>
  <si>
    <t>7584_1</t>
  </si>
  <si>
    <t>ENSG00000165626</t>
  </si>
  <si>
    <t>7592_2</t>
  </si>
  <si>
    <t>ENSG00000105953</t>
  </si>
  <si>
    <t>ENST00000222673_Acinonyx_jubatus_zoonomia</t>
  </si>
  <si>
    <t>759_2</t>
  </si>
  <si>
    <t>ENSG00000167178</t>
  </si>
  <si>
    <t>ENST00000361742_Acinonyx_jubatus_zoonomia</t>
  </si>
  <si>
    <t>7594_1</t>
  </si>
  <si>
    <t>ENSG00000148426</t>
  </si>
  <si>
    <t>7598_1</t>
  </si>
  <si>
    <t>ENSG00000141448</t>
  </si>
  <si>
    <t>7598_3</t>
  </si>
  <si>
    <t>ENSG00000136574</t>
  </si>
  <si>
    <t>7598_4</t>
  </si>
  <si>
    <t>ENSG00000179348</t>
  </si>
  <si>
    <t>ENST00000341105_Acinonyx_jubatus_zoonomia</t>
  </si>
  <si>
    <t>760_2</t>
  </si>
  <si>
    <t>ENSG00000185924</t>
  </si>
  <si>
    <t>ENST00000331238_Acinonyx_jubatus_zoonomia</t>
  </si>
  <si>
    <t>760_3</t>
  </si>
  <si>
    <t>ENSG00000186907</t>
  </si>
  <si>
    <t>ENST00000335099_Acinonyx_jubatus_zoonomia</t>
  </si>
  <si>
    <t>7604_1</t>
  </si>
  <si>
    <t>ENSG00000165632</t>
  </si>
  <si>
    <t>ENST00000344293_Acinonyx_jubatus_zoonomia</t>
  </si>
  <si>
    <t>7614_1</t>
  </si>
  <si>
    <t>ENSG00000177731</t>
  </si>
  <si>
    <t>7615_1</t>
  </si>
  <si>
    <t>ENSG00000127831</t>
  </si>
  <si>
    <t>ENST00000248444_Acinonyx_jubatus_zoonomia</t>
  </si>
  <si>
    <t>7615_6</t>
  </si>
  <si>
    <t>ENSG00000148180</t>
  </si>
  <si>
    <t>ENST00000449733_Acinonyx_jubatus_zoonomia</t>
  </si>
  <si>
    <t>7617_1</t>
  </si>
  <si>
    <t>ENSG00000197321</t>
  </si>
  <si>
    <t>7623_1</t>
  </si>
  <si>
    <t>ENSG00000188921</t>
  </si>
  <si>
    <t>ENST00000495827_Acinonyx_jubatus_zoonomia</t>
  </si>
  <si>
    <t>7628_1</t>
  </si>
  <si>
    <t>ENSG00000165309</t>
  </si>
  <si>
    <t>763_1</t>
  </si>
  <si>
    <t>ENSG00000254402</t>
  </si>
  <si>
    <t>7634_1</t>
  </si>
  <si>
    <t>ENSG00000164164</t>
  </si>
  <si>
    <t>ENST00000447906_Acinonyx_jubatus_zoonomia</t>
  </si>
  <si>
    <t>7637_1</t>
  </si>
  <si>
    <t>ENSG00000068308</t>
  </si>
  <si>
    <t>7641_5</t>
  </si>
  <si>
    <t>ENSG00000128683</t>
  </si>
  <si>
    <t>7644_1</t>
  </si>
  <si>
    <t>ENSG00000144227</t>
  </si>
  <si>
    <t>7644_2</t>
  </si>
  <si>
    <t>ENSG00000122584</t>
  </si>
  <si>
    <t>7652_1</t>
  </si>
  <si>
    <t>ENSG00000136689</t>
  </si>
  <si>
    <t>7654_1</t>
  </si>
  <si>
    <t>ENSG00000165724</t>
  </si>
  <si>
    <t>7657_3</t>
  </si>
  <si>
    <t>ENSG00000032444</t>
  </si>
  <si>
    <t>ENST00000221249_Acinonyx_jubatus_zoonomia</t>
  </si>
  <si>
    <t>ENSG00000130653</t>
  </si>
  <si>
    <t>In_file_7657_1</t>
  </si>
  <si>
    <t>7661_1</t>
  </si>
  <si>
    <t>ENSG00000164694</t>
  </si>
  <si>
    <t>7664_1</t>
  </si>
  <si>
    <t>ENSG00000120217</t>
  </si>
  <si>
    <t>766_5</t>
  </si>
  <si>
    <t>ENSG00000178235</t>
  </si>
  <si>
    <t>7667_1</t>
  </si>
  <si>
    <t>ENSG00000205363</t>
  </si>
  <si>
    <t>7671_4</t>
  </si>
  <si>
    <t>ENSG00000167110</t>
  </si>
  <si>
    <t>In_file_7671_2</t>
  </si>
  <si>
    <t>767_1</t>
  </si>
  <si>
    <t>ENSG00000168140</t>
  </si>
  <si>
    <t>ENST00000304735_Acinonyx_jubatus_zoonomia</t>
  </si>
  <si>
    <t>7675_1</t>
  </si>
  <si>
    <t>ENSG00000140478</t>
  </si>
  <si>
    <t>ENST00000434739_Acinonyx_jubatus_zoonomia</t>
  </si>
  <si>
    <t>ENSG00000159289</t>
  </si>
  <si>
    <t>ENSG00000167195</t>
  </si>
  <si>
    <t>In_file_7673_1</t>
  </si>
  <si>
    <t>ENSG00000175265</t>
  </si>
  <si>
    <t>ENST00000359187_Acinonyx_jubatus_zoonomia</t>
  </si>
  <si>
    <t>ENSG00000215186</t>
  </si>
  <si>
    <t>ENST00000421285_Acinonyx_jubatus_zoonomia</t>
  </si>
  <si>
    <t>ENSG00000215252</t>
  </si>
  <si>
    <t>ENST00000342314_Acinonyx_jubatus_zoonomia</t>
  </si>
  <si>
    <t>7680_1</t>
  </si>
  <si>
    <t>ENSG00000273976</t>
  </si>
  <si>
    <t>ENST00000614055_Acinonyx_jubatus_zoonomia</t>
  </si>
  <si>
    <t>ENSG00000277322</t>
  </si>
  <si>
    <t>ENST00000619213_Acinonyx_jubatus_zoonomia</t>
  </si>
  <si>
    <t>ENSG00000277865</t>
  </si>
  <si>
    <t>ENST00000620691_Acinonyx_jubatus_zoonomia</t>
  </si>
  <si>
    <t>7682_1</t>
  </si>
  <si>
    <t>ENSG00000140481</t>
  </si>
  <si>
    <t>7684_1</t>
  </si>
  <si>
    <t>ENSG00000179151</t>
  </si>
  <si>
    <t>7688_4</t>
  </si>
  <si>
    <t>ENSG00000227500</t>
  </si>
  <si>
    <t>ENST00000316097_Acinonyx_jubatus_zoonomia</t>
  </si>
  <si>
    <t>7691_1</t>
  </si>
  <si>
    <t>ENSG00000178741</t>
  </si>
  <si>
    <t>769_2</t>
  </si>
  <si>
    <t>ENSG00000181754</t>
  </si>
  <si>
    <t>7702_1</t>
  </si>
  <si>
    <t>ENSG00000167196</t>
  </si>
  <si>
    <t>7703_1</t>
  </si>
  <si>
    <t>ENSG00000169758</t>
  </si>
  <si>
    <t>7705_1</t>
  </si>
  <si>
    <t>ENSG00000140386</t>
  </si>
  <si>
    <t>ENST00000324767_Acinonyx_jubatus_zoonomia</t>
  </si>
  <si>
    <t>7706_1</t>
  </si>
  <si>
    <t>ENSG00000124507</t>
  </si>
  <si>
    <t>ENST00000244458_Acinonyx_jubatus_zoonomia</t>
  </si>
  <si>
    <t>7711_2</t>
  </si>
  <si>
    <t>ENSG00000123562</t>
  </si>
  <si>
    <t>7712_1</t>
  </si>
  <si>
    <t>ENSG00000005302</t>
  </si>
  <si>
    <t>7713_1</t>
  </si>
  <si>
    <t>ENSG00000272031</t>
  </si>
  <si>
    <t>7717_1</t>
  </si>
  <si>
    <t>ENSG00000186367</t>
  </si>
  <si>
    <t>772_1</t>
  </si>
  <si>
    <t>ENSG00000128606</t>
  </si>
  <si>
    <t>7723_1</t>
  </si>
  <si>
    <t>ENSG00000103876</t>
  </si>
  <si>
    <t>7724_1</t>
  </si>
  <si>
    <t>ENSG00000117899</t>
  </si>
  <si>
    <t>773_1</t>
  </si>
  <si>
    <t>ENSG00000152990</t>
  </si>
  <si>
    <t>773_2</t>
  </si>
  <si>
    <t>ENSG00000197177</t>
  </si>
  <si>
    <t>ENST00000607359_Acinonyx_jubatus_zoonomia</t>
  </si>
  <si>
    <t>7736_1</t>
  </si>
  <si>
    <t>ENSG00000169612</t>
  </si>
  <si>
    <t>ENSG00000235272</t>
  </si>
  <si>
    <t>7740_1</t>
  </si>
  <si>
    <t>ENSG00000074657</t>
  </si>
  <si>
    <t>ENST00000336078_Acinonyx_jubatus_zoonomia</t>
  </si>
  <si>
    <t>7740_2</t>
  </si>
  <si>
    <t>ENSG00000166716</t>
  </si>
  <si>
    <t>ENST00000299927_Acinonyx_jubatus_zoonomia</t>
  </si>
  <si>
    <t>774_1</t>
  </si>
  <si>
    <t>ENSG00000020181</t>
  </si>
  <si>
    <t>7742_1</t>
  </si>
  <si>
    <t>ENSG00000136383</t>
  </si>
  <si>
    <t>ENST00000258888_Acinonyx_jubatus_zoonomia</t>
  </si>
  <si>
    <t>7755_1</t>
  </si>
  <si>
    <t>ENSG00000151379</t>
  </si>
  <si>
    <t>ENST00000281047_Acinonyx_jubatus_zoonomia</t>
  </si>
  <si>
    <t>7756_2</t>
  </si>
  <si>
    <t>ENSG00000106367</t>
  </si>
  <si>
    <t>7756_3</t>
  </si>
  <si>
    <t>ENSG00000182287</t>
  </si>
  <si>
    <t>7756_4</t>
  </si>
  <si>
    <t>ENSG00000152056</t>
  </si>
  <si>
    <t>7758_1</t>
  </si>
  <si>
    <t>ENSG00000178175</t>
  </si>
  <si>
    <t>ENST00000318442_Acinonyx_jubatus_zoonomia</t>
  </si>
  <si>
    <t>7758_2</t>
  </si>
  <si>
    <t>ENSG00000140548</t>
  </si>
  <si>
    <t>7762_1</t>
  </si>
  <si>
    <t>ENSG00000184508</t>
  </si>
  <si>
    <t>776_2</t>
  </si>
  <si>
    <t>ENSG00000182492</t>
  </si>
  <si>
    <t>7763_1</t>
  </si>
  <si>
    <t>ENSG00000100403</t>
  </si>
  <si>
    <t>ENST00000352645_Acinonyx_jubatus_zoonomia</t>
  </si>
  <si>
    <t>7764_1</t>
  </si>
  <si>
    <t>ENSG00000198901</t>
  </si>
  <si>
    <t>7766_2</t>
  </si>
  <si>
    <t>ENSG00000159164</t>
  </si>
  <si>
    <t>7767_3</t>
  </si>
  <si>
    <t>ENSG00000117069</t>
  </si>
  <si>
    <t>7767_4</t>
  </si>
  <si>
    <t>ENSG00000160408</t>
  </si>
  <si>
    <t>ENST00000373142_Acinonyx_jubatus_zoonomia</t>
  </si>
  <si>
    <t>778_1</t>
  </si>
  <si>
    <t>ENSG00000168481</t>
  </si>
  <si>
    <t>7782_1</t>
  </si>
  <si>
    <t>ENSG00000184277</t>
  </si>
  <si>
    <t>7784_1</t>
  </si>
  <si>
    <t>ENSG00000161981</t>
  </si>
  <si>
    <t>7792_1</t>
  </si>
  <si>
    <t>ENSG00000172366</t>
  </si>
  <si>
    <t>ENST00000307650_Acinonyx_jubatus_zoonomia</t>
  </si>
  <si>
    <t>7794_1</t>
  </si>
  <si>
    <t>ENSG00000126858</t>
  </si>
  <si>
    <t>7798_1</t>
  </si>
  <si>
    <t>ENSG00000162004</t>
  </si>
  <si>
    <t>7802_2</t>
  </si>
  <si>
    <t>ENSG00000141562</t>
  </si>
  <si>
    <t>7805_1</t>
  </si>
  <si>
    <t>ENSG00000007376</t>
  </si>
  <si>
    <t>7809_1</t>
  </si>
  <si>
    <t>ENSG00000135052</t>
  </si>
  <si>
    <t>ENST00000388711_Acinonyx_jubatus_zoonomia</t>
  </si>
  <si>
    <t>7813_1</t>
  </si>
  <si>
    <t>ENSG00000186767</t>
  </si>
  <si>
    <t>ENST00000374884_Acinonyx_jubatus_zoonomia</t>
  </si>
  <si>
    <t>7813_2</t>
  </si>
  <si>
    <t>ENSG00000106723</t>
  </si>
  <si>
    <t>ENSG00000204271</t>
  </si>
  <si>
    <t>ENST00000640768_Acinonyx_jubatus_zoonomia</t>
  </si>
  <si>
    <t>7813_3</t>
  </si>
  <si>
    <t>ENSG00000147059</t>
  </si>
  <si>
    <t>ENSG00000186787</t>
  </si>
  <si>
    <t>In_file_7814_1</t>
  </si>
  <si>
    <t>7814_1</t>
  </si>
  <si>
    <t>78_1</t>
  </si>
  <si>
    <t>ENSG00000091128</t>
  </si>
  <si>
    <t>7820_1</t>
  </si>
  <si>
    <t>ENSG00000198000</t>
  </si>
  <si>
    <t>ENST00000442668_Acinonyx_jubatus_zoonomia</t>
  </si>
  <si>
    <t>782_1</t>
  </si>
  <si>
    <t>ENSG00000185028</t>
  </si>
  <si>
    <t>ENST00000328278_Acinonyx_jubatus_zoonomia</t>
  </si>
  <si>
    <t>7822_1</t>
  </si>
  <si>
    <t>ENSG00000158716</t>
  </si>
  <si>
    <t>In_file_11152_1</t>
  </si>
  <si>
    <t>7832_1</t>
  </si>
  <si>
    <t>ENSG00000136810</t>
  </si>
  <si>
    <t>7835_1</t>
  </si>
  <si>
    <t>ENSG00000204193</t>
  </si>
  <si>
    <t>7840_1</t>
  </si>
  <si>
    <t>ENSG00000148154</t>
  </si>
  <si>
    <t>ENST00000374279_Acinonyx_jubatus_zoonomia</t>
  </si>
  <si>
    <t>7847_1</t>
  </si>
  <si>
    <t>ENSG00000136868</t>
  </si>
  <si>
    <t>7849_1</t>
  </si>
  <si>
    <t>ENSG00000176386</t>
  </si>
  <si>
    <t>785_1</t>
  </si>
  <si>
    <t>ENSG00000157330</t>
  </si>
  <si>
    <t>7852_1</t>
  </si>
  <si>
    <t>ENSG00000148229</t>
  </si>
  <si>
    <t>ENST00000374169_Acinonyx_jubatus_zoonomia</t>
  </si>
  <si>
    <t>7853_1</t>
  </si>
  <si>
    <t>ENSG00000120837</t>
  </si>
  <si>
    <t>7856_1</t>
  </si>
  <si>
    <t>ENSG00000107317</t>
  </si>
  <si>
    <t>ENST00000371625_Acinonyx_jubatus_zoonomia</t>
  </si>
  <si>
    <t>786_1</t>
  </si>
  <si>
    <t>ENSG00000197953</t>
  </si>
  <si>
    <t>ENST00000356517_Acinonyx_jubatus_zoonomia</t>
  </si>
  <si>
    <t>7870_1</t>
  </si>
  <si>
    <t>ENSG00000205832</t>
  </si>
  <si>
    <t>78_7</t>
  </si>
  <si>
    <t>ENSG00000053747</t>
  </si>
  <si>
    <t>7882_1</t>
  </si>
  <si>
    <t>ENSG00000182446</t>
  </si>
  <si>
    <t>7886_1</t>
  </si>
  <si>
    <t>ENSG00000185813</t>
  </si>
  <si>
    <t>ENST00000538721_Acinonyx_jubatus_zoonomia</t>
  </si>
  <si>
    <t>7887_3</t>
  </si>
  <si>
    <t>ENSG00000143811</t>
  </si>
  <si>
    <t>ENSG00000183010</t>
  </si>
  <si>
    <t>In_file_7887_2</t>
  </si>
  <si>
    <t>ENSG00000255835</t>
  </si>
  <si>
    <t>7889_2</t>
  </si>
  <si>
    <t>ENSG00000185105</t>
  </si>
  <si>
    <t>ENST00000409745_Acinonyx_jubatus_zoonomia</t>
  </si>
  <si>
    <t>7893_1</t>
  </si>
  <si>
    <t>ENSG00000169718</t>
  </si>
  <si>
    <t>7895_1</t>
  </si>
  <si>
    <t>ENSG00000185825</t>
  </si>
  <si>
    <t>7898_1</t>
  </si>
  <si>
    <t>ENSG00000176155</t>
  </si>
  <si>
    <t>78_9</t>
  </si>
  <si>
    <t>ENSG00000135862</t>
  </si>
  <si>
    <t>7902_2</t>
  </si>
  <si>
    <t>ENSG00000167363</t>
  </si>
  <si>
    <t>7905_1</t>
  </si>
  <si>
    <t>ENSG00000161992</t>
  </si>
  <si>
    <t>ENST00000409413_Acinonyx_jubatus_zoonomia</t>
  </si>
  <si>
    <t>7906_1</t>
  </si>
  <si>
    <t>ENSG00000175711</t>
  </si>
  <si>
    <t>7925_1</t>
  </si>
  <si>
    <t>ENSG00000154889</t>
  </si>
  <si>
    <t>ENST00000309976_Acinonyx_jubatus_zoonomia</t>
  </si>
  <si>
    <t>7931_1</t>
  </si>
  <si>
    <t>ENSG00000101639</t>
  </si>
  <si>
    <t>ENST00000506447_Acinonyx_jubatus_zoonomia</t>
  </si>
  <si>
    <t>7932_3</t>
  </si>
  <si>
    <t>ENSG00000196208</t>
  </si>
  <si>
    <t>In_file_7932_1</t>
  </si>
  <si>
    <t>7934_1</t>
  </si>
  <si>
    <t>ENSG00000167088</t>
  </si>
  <si>
    <t>7946_1</t>
  </si>
  <si>
    <t>ENSG00000105778</t>
  </si>
  <si>
    <t>7948_1</t>
  </si>
  <si>
    <t>ENSG00000122547</t>
  </si>
  <si>
    <t>ENST00000242108_Acinonyx_jubatus_zoonomia</t>
  </si>
  <si>
    <t>7957_1</t>
  </si>
  <si>
    <t>ENSG00000168303</t>
  </si>
  <si>
    <t>ENST00000306984_Acinonyx_jubatus_zoonomia</t>
  </si>
  <si>
    <t>7959_1</t>
  </si>
  <si>
    <t>ENSG00000106605</t>
  </si>
  <si>
    <t>7960_1</t>
  </si>
  <si>
    <t>ENSG00000062582</t>
  </si>
  <si>
    <t>7961_2</t>
  </si>
  <si>
    <t>ENSG00000164708</t>
  </si>
  <si>
    <t>ENST00000297283_Acinonyx_jubatus_zoonomia</t>
  </si>
  <si>
    <t>7961_3</t>
  </si>
  <si>
    <t>ENSG00000171314</t>
  </si>
  <si>
    <t>ENSG00000226784</t>
  </si>
  <si>
    <t>7962_1</t>
  </si>
  <si>
    <t>ENSG00000106628</t>
  </si>
  <si>
    <t>ENST00000610533_Acinonyx_jubatus_zoonomia</t>
  </si>
  <si>
    <t>7963_1</t>
  </si>
  <si>
    <t>ENSG00000015676</t>
  </si>
  <si>
    <t>ENST00000355451_Acinonyx_jubatus_zoonomia</t>
  </si>
  <si>
    <t>7964_1</t>
  </si>
  <si>
    <t>ENSG00000122515</t>
  </si>
  <si>
    <t>7965_1</t>
  </si>
  <si>
    <t>ENSG00000108175</t>
  </si>
  <si>
    <t>ENST00000611351_Acinonyx_jubatus_zoonomia</t>
  </si>
  <si>
    <t>7968_2</t>
  </si>
  <si>
    <t>ENSG00000146676</t>
  </si>
  <si>
    <t>ENST00000395699_Acinonyx_jubatus_zoonomia</t>
  </si>
  <si>
    <t>797_1</t>
  </si>
  <si>
    <t>ENSG00000141655</t>
  </si>
  <si>
    <t>7975_1</t>
  </si>
  <si>
    <t>ENSG00000138399</t>
  </si>
  <si>
    <t>7976_1</t>
  </si>
  <si>
    <t>ENSG00000283247</t>
  </si>
  <si>
    <t>ENST00000636578_Acinonyx_jubatus_zoonomia</t>
  </si>
  <si>
    <t>7984_1</t>
  </si>
  <si>
    <t>ENSG00000106078</t>
  </si>
  <si>
    <t>ENST00000265136_Acinonyx_jubatus_zoonomia</t>
  </si>
  <si>
    <t>7986_1</t>
  </si>
  <si>
    <t>ENSG00000146707</t>
  </si>
  <si>
    <t>In_file_8001_1</t>
  </si>
  <si>
    <t>ENSG00000196313</t>
  </si>
  <si>
    <t>ENSG00000272391</t>
  </si>
  <si>
    <t>7987_1</t>
  </si>
  <si>
    <t>ENSG00000132432</t>
  </si>
  <si>
    <t>7989_1</t>
  </si>
  <si>
    <t>ENSG00000146733</t>
  </si>
  <si>
    <t>7992_1</t>
  </si>
  <si>
    <t>ENSG00000126522</t>
  </si>
  <si>
    <t>ENSG00000249319</t>
  </si>
  <si>
    <t>7993_1</t>
  </si>
  <si>
    <t>ENSG00000241258</t>
  </si>
  <si>
    <t>ENST00000431089_Acinonyx_jubatus_zoonomia</t>
  </si>
  <si>
    <t>7995_2</t>
  </si>
  <si>
    <t>ENSG00000128294</t>
  </si>
  <si>
    <t>7997_1</t>
  </si>
  <si>
    <t>ENSG00000165219</t>
  </si>
  <si>
    <t>ENST00000297933_Acinonyx_jubatus_zoonomia</t>
  </si>
  <si>
    <t>8005_1</t>
  </si>
  <si>
    <t>ENSG00000139722</t>
  </si>
  <si>
    <t>8007_1</t>
  </si>
  <si>
    <t>ENSG00000176410</t>
  </si>
  <si>
    <t>ENST00000395176_Acinonyx_jubatus_zoonomia</t>
  </si>
  <si>
    <t>8010_1</t>
  </si>
  <si>
    <t>ENSG00000165171</t>
  </si>
  <si>
    <t>8015_1</t>
  </si>
  <si>
    <t>ENSG00000158517</t>
  </si>
  <si>
    <t>ENST00000289473_Acinonyx_jubatus_zoonomia</t>
  </si>
  <si>
    <t>8015_3</t>
  </si>
  <si>
    <t>ENSG00000107957</t>
  </si>
  <si>
    <t>ENST00000355946_Acinonyx_jubatus_zoonomia</t>
  </si>
  <si>
    <t>8017_1</t>
  </si>
  <si>
    <t>ENSG00000104973</t>
  </si>
  <si>
    <t>ENST00000593767_Acinonyx_jubatus_zoonomia</t>
  </si>
  <si>
    <t>80_1</t>
  </si>
  <si>
    <t>ENSG00000162631</t>
  </si>
  <si>
    <t>ENST00000370065_Acinonyx_jubatus_zoonomia</t>
  </si>
  <si>
    <t>8027_1</t>
  </si>
  <si>
    <t>ENSG00000110042</t>
  </si>
  <si>
    <t>8027_3</t>
  </si>
  <si>
    <t>ENSG00000091073</t>
  </si>
  <si>
    <t>ENST00000324432_Acinonyx_jubatus_zoonomia</t>
  </si>
  <si>
    <t>8034_1</t>
  </si>
  <si>
    <t>ENSG00000135211</t>
  </si>
  <si>
    <t>8039_1</t>
  </si>
  <si>
    <t>ENSG00000135164</t>
  </si>
  <si>
    <t>8042_1</t>
  </si>
  <si>
    <t>ENSG00000105889</t>
  </si>
  <si>
    <t>ENSG00000164647</t>
  </si>
  <si>
    <t>8042_4</t>
  </si>
  <si>
    <t>ENSG00000115107</t>
  </si>
  <si>
    <t>8042_6</t>
  </si>
  <si>
    <t>ENSG00000157214</t>
  </si>
  <si>
    <t>8046_1</t>
  </si>
  <si>
    <t>ENSG00000157224</t>
  </si>
  <si>
    <t>806_1</t>
  </si>
  <si>
    <t>ENSG00000116688</t>
  </si>
  <si>
    <t>ENST00000235329_Acinonyx_jubatus_zoonomia</t>
  </si>
  <si>
    <t>8067_1</t>
  </si>
  <si>
    <t>ENSG00000122543</t>
  </si>
  <si>
    <t>ENSG00000135175</t>
  </si>
  <si>
    <t>8071_1</t>
  </si>
  <si>
    <t>ENSG00000241685</t>
  </si>
  <si>
    <t>ENSG00000284292</t>
  </si>
  <si>
    <t>ENST00000638617_Acinonyx_jubatus_zoonomia</t>
  </si>
  <si>
    <t>807_1</t>
  </si>
  <si>
    <t>ENSG00000152952</t>
  </si>
  <si>
    <t>807_2</t>
  </si>
  <si>
    <t>ENSG00000083444</t>
  </si>
  <si>
    <t>8073_1</t>
  </si>
  <si>
    <t>ENSG00000106244</t>
  </si>
  <si>
    <t>807_3</t>
  </si>
  <si>
    <t>ENSG00000106397</t>
  </si>
  <si>
    <t>8074_1</t>
  </si>
  <si>
    <t>ENSG00000106245</t>
  </si>
  <si>
    <t>ENST00000222969_Acinonyx_jubatus_zoonomia</t>
  </si>
  <si>
    <t>8075_1</t>
  </si>
  <si>
    <t>ENSG00000106246</t>
  </si>
  <si>
    <t>ENSG00000248919</t>
  </si>
  <si>
    <t>8079_1</t>
  </si>
  <si>
    <t>ENSG00000203733</t>
  </si>
  <si>
    <t>808_1</t>
  </si>
  <si>
    <t>ENSG00000167123</t>
  </si>
  <si>
    <t>ENST00000372838_Acinonyx_jubatus_zoonomia</t>
  </si>
  <si>
    <t>8083_2</t>
  </si>
  <si>
    <t>ENSG00000137161</t>
  </si>
  <si>
    <t>8085_1</t>
  </si>
  <si>
    <t>ENSG00000146826</t>
  </si>
  <si>
    <t>ENST00000316937_Acinonyx_jubatus_zoonomia</t>
  </si>
  <si>
    <t>8086_1</t>
  </si>
  <si>
    <t>ENSG00000154252</t>
  </si>
  <si>
    <t>8094_1</t>
  </si>
  <si>
    <t>ENSG00000160813</t>
  </si>
  <si>
    <t>8098_2</t>
  </si>
  <si>
    <t>ENSG00000101928</t>
  </si>
  <si>
    <t>8099_5</t>
  </si>
  <si>
    <t>ENSG00000168060</t>
  </si>
  <si>
    <t>8102_1</t>
  </si>
  <si>
    <t>ENSG00000204120</t>
  </si>
  <si>
    <t>ENST00000373563_Acinonyx_jubatus_zoonomia</t>
  </si>
  <si>
    <t>8102_2</t>
  </si>
  <si>
    <t>ENSG00000146830</t>
  </si>
  <si>
    <t>8106_1</t>
  </si>
  <si>
    <t>ENSG00000169876</t>
  </si>
  <si>
    <t>8110_1</t>
  </si>
  <si>
    <t>ENSG00000166391</t>
  </si>
  <si>
    <t>8111_1</t>
  </si>
  <si>
    <t>ENSG00000106400</t>
  </si>
  <si>
    <t>8114_1</t>
  </si>
  <si>
    <t>ENSG00000111249</t>
  </si>
  <si>
    <t>In_file_8114_2</t>
  </si>
  <si>
    <t>8116_1</t>
  </si>
  <si>
    <t>ENSG00000160993</t>
  </si>
  <si>
    <t>ENST00000292566_Acinonyx_jubatus_zoonomia</t>
  </si>
  <si>
    <t>8118_1</t>
  </si>
  <si>
    <t>ENSG00000005075</t>
  </si>
  <si>
    <t>ENSG00000228049</t>
  </si>
  <si>
    <t>8118_2</t>
  </si>
  <si>
    <t>In_file_8118_1</t>
  </si>
  <si>
    <t>ENSG00000285437</t>
  </si>
  <si>
    <t>8125_1</t>
  </si>
  <si>
    <t>ENSG00000187416</t>
  </si>
  <si>
    <t>In_file_8127_1</t>
  </si>
  <si>
    <t>8128_1</t>
  </si>
  <si>
    <t>ENSG00000005483</t>
  </si>
  <si>
    <t>813_1</t>
  </si>
  <si>
    <t>ENSG00000162490</t>
  </si>
  <si>
    <t>8134_1</t>
  </si>
  <si>
    <t>ENSG00000128536</t>
  </si>
  <si>
    <t>ENST00000317716_Acinonyx_jubatus_zoonomia</t>
  </si>
  <si>
    <t>8136_1</t>
  </si>
  <si>
    <t>ENSG00000105835</t>
  </si>
  <si>
    <t>8146_1</t>
  </si>
  <si>
    <t>ENSG00000121864</t>
  </si>
  <si>
    <t>8155_1</t>
  </si>
  <si>
    <t>ENSG00000180834</t>
  </si>
  <si>
    <t>In_file_8156_1</t>
  </si>
  <si>
    <t>816_1</t>
  </si>
  <si>
    <t>ENSG00000116661</t>
  </si>
  <si>
    <t>ENST00000354287_Acinonyx_jubatus_zoonomia</t>
  </si>
  <si>
    <t>8170_1</t>
  </si>
  <si>
    <t>ENSG00000164548</t>
  </si>
  <si>
    <t>817_2</t>
  </si>
  <si>
    <t>ENSG00000269190</t>
  </si>
  <si>
    <t>In_file_817_1</t>
  </si>
  <si>
    <t>8175_1</t>
  </si>
  <si>
    <t>ENSG00000113889</t>
  </si>
  <si>
    <t>ENST00000287611_Acinonyx_jubatus_zoonomia</t>
  </si>
  <si>
    <t>8177_2</t>
  </si>
  <si>
    <t>ENSG00000144057</t>
  </si>
  <si>
    <t>In_file_8177_3</t>
  </si>
  <si>
    <t>818_1</t>
  </si>
  <si>
    <t>ENSG00000104835</t>
  </si>
  <si>
    <t>ENST00000221431_Acinonyx_jubatus_zoonomia</t>
  </si>
  <si>
    <t>ENSG00000269547</t>
  </si>
  <si>
    <t>ENST00000599996_Acinonyx_jubatus_zoonomia</t>
  </si>
  <si>
    <t>8185_2</t>
  </si>
  <si>
    <t>ENSG00000169306</t>
  </si>
  <si>
    <t>8190_1</t>
  </si>
  <si>
    <t>ENSG00000188729</t>
  </si>
  <si>
    <t>8195_1</t>
  </si>
  <si>
    <t>ENSG00000173950</t>
  </si>
  <si>
    <t>ENST00000310380_Acinonyx_jubatus_zoonomia</t>
  </si>
  <si>
    <t>8196_1</t>
  </si>
  <si>
    <t>ENSG00000184203</t>
  </si>
  <si>
    <t>ENSG00000231989</t>
  </si>
  <si>
    <t>In_file_8196_2</t>
  </si>
  <si>
    <t>8_1</t>
  </si>
  <si>
    <t>ENSG00000151414</t>
  </si>
  <si>
    <t>8201_1</t>
  </si>
  <si>
    <t>ENSG00000163960</t>
  </si>
  <si>
    <t>820_1</t>
  </si>
  <si>
    <t>ENSG00000204624</t>
  </si>
  <si>
    <t>8208_1</t>
  </si>
  <si>
    <t>ENSG00000114503</t>
  </si>
  <si>
    <t>8209_1</t>
  </si>
  <si>
    <t>ENSG00000270170</t>
  </si>
  <si>
    <t>8211_1</t>
  </si>
  <si>
    <t>ENSG00000122068</t>
  </si>
  <si>
    <t>821_2</t>
  </si>
  <si>
    <t>ENSG00000154309</t>
  </si>
  <si>
    <t>ENST00000284476_Acinonyx_jubatus_zoonomia</t>
  </si>
  <si>
    <t>8216_1</t>
  </si>
  <si>
    <t>ENSG00000169020</t>
  </si>
  <si>
    <t>ENST00000304312_Acinonyx_jubatus_zoonomia</t>
  </si>
  <si>
    <t>8221_1</t>
  </si>
  <si>
    <t>ENSG00000163945</t>
  </si>
  <si>
    <t>8224_1</t>
  </si>
  <si>
    <t>ENSG00000168936</t>
  </si>
  <si>
    <t>8228_1</t>
  </si>
  <si>
    <t>ENSG00000206113</t>
  </si>
  <si>
    <t>8229_1</t>
  </si>
  <si>
    <t>ENSG00000063978</t>
  </si>
  <si>
    <t>823_3</t>
  </si>
  <si>
    <t>ENSG00000198793</t>
  </si>
  <si>
    <t>ENST00000361445_Acinonyx_jubatus_zoonomia</t>
  </si>
  <si>
    <t>8236_1</t>
  </si>
  <si>
    <t>ENSG00000131650</t>
  </si>
  <si>
    <t>ENST00000303746_Acinonyx_jubatus_zoonomia</t>
  </si>
  <si>
    <t>8238_1</t>
  </si>
  <si>
    <t>ENSG00000175920</t>
  </si>
  <si>
    <t>ENST00000643608_Acinonyx_jubatus_zoonomia</t>
  </si>
  <si>
    <t>8239_1</t>
  </si>
  <si>
    <t>ENSG00000163956</t>
  </si>
  <si>
    <t>824_1</t>
  </si>
  <si>
    <t>ENSG00000157106</t>
  </si>
  <si>
    <t>ENSG00000261740</t>
  </si>
  <si>
    <t>8250_1</t>
  </si>
  <si>
    <t>ENSG00000178988</t>
  </si>
  <si>
    <t>ENSG00000179010</t>
  </si>
  <si>
    <t>8266_2</t>
  </si>
  <si>
    <t>ENSG00000109743</t>
  </si>
  <si>
    <t>ENST00000265016_Acinonyx_jubatus_zoonomia</t>
  </si>
  <si>
    <t>8268_2</t>
  </si>
  <si>
    <t>ENSG00000155066</t>
  </si>
  <si>
    <t>8270_1</t>
  </si>
  <si>
    <t>ENSG00000169744</t>
  </si>
  <si>
    <t>8271_1</t>
  </si>
  <si>
    <t>ENSG00000151552</t>
  </si>
  <si>
    <t>8272_1</t>
  </si>
  <si>
    <t>ENSG00000118579</t>
  </si>
  <si>
    <t>8273_1</t>
  </si>
  <si>
    <t>ENSG00000163257</t>
  </si>
  <si>
    <t>8275_1</t>
  </si>
  <si>
    <t>ENSG00000178177</t>
  </si>
  <si>
    <t>8277_1</t>
  </si>
  <si>
    <t>ENSG00000112530</t>
  </si>
  <si>
    <t>8279_1</t>
  </si>
  <si>
    <t>ENSG00000109618</t>
  </si>
  <si>
    <t>8280_1</t>
  </si>
  <si>
    <t>ENSG00000155252</t>
  </si>
  <si>
    <t>In_file_8280_2</t>
  </si>
  <si>
    <t>ENSG00000249967</t>
  </si>
  <si>
    <t>ENST00000370649_Acinonyx_jubatus_zoonomia</t>
  </si>
  <si>
    <t>8292_1</t>
  </si>
  <si>
    <t>ENSG00000172757</t>
  </si>
  <si>
    <t>8292_2</t>
  </si>
  <si>
    <t>ENSG00000165410</t>
  </si>
  <si>
    <t>8292_3</t>
  </si>
  <si>
    <t>ENSG00000125868</t>
  </si>
  <si>
    <t>ENST00000246069_Acinonyx_jubatus_zoonomia</t>
  </si>
  <si>
    <t>8294_1</t>
  </si>
  <si>
    <t>ENSG00000060339</t>
  </si>
  <si>
    <t>829_4</t>
  </si>
  <si>
    <t>ENSG00000177733</t>
  </si>
  <si>
    <t>8298_1</t>
  </si>
  <si>
    <t>ENSG00000120055</t>
  </si>
  <si>
    <t>8300_2</t>
  </si>
  <si>
    <t>ENSG00000187605</t>
  </si>
  <si>
    <t>ENST00000409262_Acinonyx_jubatus_zoonomia</t>
  </si>
  <si>
    <t>830_1</t>
  </si>
  <si>
    <t>ENSG00000071626</t>
  </si>
  <si>
    <t>ENST00000233078_Acinonyx_jubatus_zoonomia</t>
  </si>
  <si>
    <t>8304_1</t>
  </si>
  <si>
    <t>ENSG00000089356</t>
  </si>
  <si>
    <t>ENST00000604255_Acinonyx_jubatus_zoonomia</t>
  </si>
  <si>
    <t>8306_1</t>
  </si>
  <si>
    <t>ENSG00000169740</t>
  </si>
  <si>
    <t>8307_2</t>
  </si>
  <si>
    <t>ENSG00000167604</t>
  </si>
  <si>
    <t>8314_1</t>
  </si>
  <si>
    <t>ENSG00000101265</t>
  </si>
  <si>
    <t>ENST00000379376_Acinonyx_jubatus_zoonomia</t>
  </si>
  <si>
    <t>8316_1</t>
  </si>
  <si>
    <t>ENSG00000166197</t>
  </si>
  <si>
    <t>ENST00000405356_Acinonyx_jubatus_zoonomia</t>
  </si>
  <si>
    <t>8320_1</t>
  </si>
  <si>
    <t>ENSG00000179774</t>
  </si>
  <si>
    <t>832_1</t>
  </si>
  <si>
    <t>ENSG00000130940</t>
  </si>
  <si>
    <t>ENST00000377022_Acinonyx_jubatus_zoonomia</t>
  </si>
  <si>
    <t>8325_1</t>
  </si>
  <si>
    <t>ENSG00000099290</t>
  </si>
  <si>
    <t>ENSG00000172661</t>
  </si>
  <si>
    <t>8330_1</t>
  </si>
  <si>
    <t>ENSG00000107672</t>
  </si>
  <si>
    <t>8333_1</t>
  </si>
  <si>
    <t>ENSG00000204152</t>
  </si>
  <si>
    <t>ENSG00000265354</t>
  </si>
  <si>
    <t>8334_1</t>
  </si>
  <si>
    <t>ENSG00000156026</t>
  </si>
  <si>
    <t>In_file_8336_1</t>
  </si>
  <si>
    <t>8340_1</t>
  </si>
  <si>
    <t>ENSG00000115255</t>
  </si>
  <si>
    <t>ENST00000233596_Acinonyx_jubatus_zoonomia</t>
  </si>
  <si>
    <t>8341_1</t>
  </si>
  <si>
    <t>ENSG00000115548</t>
  </si>
  <si>
    <t>ENST00000312912_Acinonyx_jubatus_zoonomia</t>
  </si>
  <si>
    <t>8341_3</t>
  </si>
  <si>
    <t>ENSG00000171988</t>
  </si>
  <si>
    <t>ENST00000399262_Acinonyx_jubatus_zoonomia</t>
  </si>
  <si>
    <t>8342_1</t>
  </si>
  <si>
    <t>ENSG00000168453</t>
  </si>
  <si>
    <t>ENST00000312841_Acinonyx_jubatus_zoonomia</t>
  </si>
  <si>
    <t>8345_1</t>
  </si>
  <si>
    <t>ENSG00000148572</t>
  </si>
  <si>
    <t>8353_1</t>
  </si>
  <si>
    <t>ENSG00000177354</t>
  </si>
  <si>
    <t>ENST00000374144_Acinonyx_jubatus_zoonomia</t>
  </si>
  <si>
    <t>8364_1</t>
  </si>
  <si>
    <t>ENSG00000052126</t>
  </si>
  <si>
    <t>8365_1</t>
  </si>
  <si>
    <t>ENSG00000105559</t>
  </si>
  <si>
    <t>ENST00000263265_Acinonyx_jubatus_zoonomia</t>
  </si>
  <si>
    <t>8369_1</t>
  </si>
  <si>
    <t>ENSG00000188100</t>
  </si>
  <si>
    <t>ENSG00000189090</t>
  </si>
  <si>
    <t>ENSG00000276430</t>
  </si>
  <si>
    <t>8377_1</t>
  </si>
  <si>
    <t>ENSG00000166317</t>
  </si>
  <si>
    <t>ENST00000394810_Acinonyx_jubatus_zoonomia</t>
  </si>
  <si>
    <t>8381_1</t>
  </si>
  <si>
    <t>ENSG00000112685</t>
  </si>
  <si>
    <t>8382_1</t>
  </si>
  <si>
    <t>ENSG00000124535</t>
  </si>
  <si>
    <t>8387_1</t>
  </si>
  <si>
    <t>ENSG00000124787</t>
  </si>
  <si>
    <t>8391_1</t>
  </si>
  <si>
    <t>ENSG00000086848</t>
  </si>
  <si>
    <t>ENST00000614444_Acinonyx_jubatus_zoonomia</t>
  </si>
  <si>
    <t>ENSG00000258529</t>
  </si>
  <si>
    <t>ENST00000622211_Acinonyx_jubatus_zoonomia</t>
  </si>
  <si>
    <t>8392_1</t>
  </si>
  <si>
    <t>ENSG00000124785</t>
  </si>
  <si>
    <t>8394_1</t>
  </si>
  <si>
    <t>ENSG00000112799</t>
  </si>
  <si>
    <t>8395_1</t>
  </si>
  <si>
    <t>ENSG00000124782</t>
  </si>
  <si>
    <t>ENST00000334984_Acinonyx_jubatus_zoonomia</t>
  </si>
  <si>
    <t>8396_1</t>
  </si>
  <si>
    <t>ENSG00000124783</t>
  </si>
  <si>
    <t>8407_2</t>
  </si>
  <si>
    <t>ENSG00000124827</t>
  </si>
  <si>
    <t>ENST00000379491_Acinonyx_jubatus_zoonomia</t>
  </si>
  <si>
    <t>8414_1</t>
  </si>
  <si>
    <t>ENSG00000167778</t>
  </si>
  <si>
    <t>84_1</t>
  </si>
  <si>
    <t>ENSG00000106780</t>
  </si>
  <si>
    <t>ENST00000373930_Acinonyx_jubatus_zoonomia</t>
  </si>
  <si>
    <t>8424_1</t>
  </si>
  <si>
    <t>ENSG00000137364</t>
  </si>
  <si>
    <t>ENST00000309983_Acinonyx_jubatus_zoonomia</t>
  </si>
  <si>
    <t>8428_1</t>
  </si>
  <si>
    <t>ENSG00000177669</t>
  </si>
  <si>
    <t>843_13</t>
  </si>
  <si>
    <t>ENSG00000138778</t>
  </si>
  <si>
    <t>843_16</t>
  </si>
  <si>
    <t>ENSG00000166813</t>
  </si>
  <si>
    <t>ENST00000394412_Acinonyx_jubatus_zoonomia</t>
  </si>
  <si>
    <t>843_1</t>
  </si>
  <si>
    <t>ENSG00000129250</t>
  </si>
  <si>
    <t>ENSG00000159433</t>
  </si>
  <si>
    <t>In_file_843_27</t>
  </si>
  <si>
    <t>8432_1</t>
  </si>
  <si>
    <t>ENSG00000125841</t>
  </si>
  <si>
    <t>ENST00000608736_Acinonyx_jubatus_zoonomia</t>
  </si>
  <si>
    <t>843_24</t>
  </si>
  <si>
    <t>ENSG00000121621</t>
  </si>
  <si>
    <t>ENST00000263181_Acinonyx_jubatus_zoonomia</t>
  </si>
  <si>
    <t>843_29</t>
  </si>
  <si>
    <t>ENSG00000118193</t>
  </si>
  <si>
    <t>ENST00000367350_Acinonyx_jubatus_zoonomia</t>
  </si>
  <si>
    <t>8433_1</t>
  </si>
  <si>
    <t>ENSG00000124532</t>
  </si>
  <si>
    <t>843_32</t>
  </si>
  <si>
    <t>ENSG00000054523</t>
  </si>
  <si>
    <t>ENSG00000130294</t>
  </si>
  <si>
    <t>ENST00000320389_Acinonyx_jubatus_zoonomia</t>
  </si>
  <si>
    <t>843_3</t>
  </si>
  <si>
    <t>ENSG00000084731</t>
  </si>
  <si>
    <t>ENST00000264712_Acinonyx_jubatus_zoonomia</t>
  </si>
  <si>
    <t>8436_1</t>
  </si>
  <si>
    <t>ENSG00000112308</t>
  </si>
  <si>
    <t>843_8</t>
  </si>
  <si>
    <t>ENSG00000163808</t>
  </si>
  <si>
    <t>ENST00000326047_Acinonyx_jubatus_zoonomia</t>
  </si>
  <si>
    <t>8440_1</t>
  </si>
  <si>
    <t>ENSG00000189134</t>
  </si>
  <si>
    <t>ENST00000343684_Acinonyx_jubatus_zoonomia</t>
  </si>
  <si>
    <t>8440_2</t>
  </si>
  <si>
    <t>ENSG00000101882</t>
  </si>
  <si>
    <t>8444_1</t>
  </si>
  <si>
    <t>ENSG00000204644</t>
  </si>
  <si>
    <t>ENST00000376881_Acinonyx_jubatus_zoonomia</t>
  </si>
  <si>
    <t>8445_1</t>
  </si>
  <si>
    <t>ENSG00000204576</t>
  </si>
  <si>
    <t>8449_1</t>
  </si>
  <si>
    <t>ENSG00000146112</t>
  </si>
  <si>
    <t>ENST00000274853_Acinonyx_jubatus_zoonomia</t>
  </si>
  <si>
    <t>8457_1</t>
  </si>
  <si>
    <t>ENSG00000137331</t>
  </si>
  <si>
    <t>ENST00000259874_Acinonyx_jubatus_zoonomia</t>
  </si>
  <si>
    <t>846_3</t>
  </si>
  <si>
    <t>ENSG00000142945</t>
  </si>
  <si>
    <t>8469_1</t>
  </si>
  <si>
    <t>ENSG00000137310</t>
  </si>
  <si>
    <t>8473_1</t>
  </si>
  <si>
    <t>ENSG00000136888</t>
  </si>
  <si>
    <t>8480_1</t>
  </si>
  <si>
    <t>ENSG00000204472</t>
  </si>
  <si>
    <t>8482_2</t>
  </si>
  <si>
    <t>ENSG00000204469</t>
  </si>
  <si>
    <t>ENST00000376007_Acinonyx_jubatus_zoonomia</t>
  </si>
  <si>
    <t>848_2</t>
  </si>
  <si>
    <t>ENSG00000138182</t>
  </si>
  <si>
    <t>ENST00000260753_Acinonyx_jubatus_zoonomia</t>
  </si>
  <si>
    <t>8486_1</t>
  </si>
  <si>
    <t>ENSG00000204438</t>
  </si>
  <si>
    <t>8492_1</t>
  </si>
  <si>
    <t>ENSG00000204421</t>
  </si>
  <si>
    <t>8493_2</t>
  </si>
  <si>
    <t>ENSG00000153904</t>
  </si>
  <si>
    <t>8500_2</t>
  </si>
  <si>
    <t>ENSG00000204099</t>
  </si>
  <si>
    <t>8500_3</t>
  </si>
  <si>
    <t>ENSG00000162139</t>
  </si>
  <si>
    <t>ENST00000294064_Acinonyx_jubatus_zoonomia</t>
  </si>
  <si>
    <t>8501_1</t>
  </si>
  <si>
    <t>ENSG00000166278</t>
  </si>
  <si>
    <t>ENSG00000244255</t>
  </si>
  <si>
    <t>ENST00000456570_Acinonyx_jubatus_zoonomia</t>
  </si>
  <si>
    <t>8501_5</t>
  </si>
  <si>
    <t>ENSG00000243649</t>
  </si>
  <si>
    <t>ENST00000425368_Acinonyx_jubatus_zoonomia</t>
  </si>
  <si>
    <t>8502_1</t>
  </si>
  <si>
    <t>ENSG00000125850</t>
  </si>
  <si>
    <t>8502_2</t>
  </si>
  <si>
    <t>ENSG00000172818</t>
  </si>
  <si>
    <t>ENST00000335987_Acinonyx_jubatus_zoonomia</t>
  </si>
  <si>
    <t>8517_1</t>
  </si>
  <si>
    <t>ENSG00000126709</t>
  </si>
  <si>
    <t>8521_1</t>
  </si>
  <si>
    <t>ENSG00000076944</t>
  </si>
  <si>
    <t>ENST00000221283_Acinonyx_jubatus_zoonomia</t>
  </si>
  <si>
    <t>8521_3</t>
  </si>
  <si>
    <t>ENSG00000116266</t>
  </si>
  <si>
    <t>8523_1</t>
  </si>
  <si>
    <t>ENSG00000126705</t>
  </si>
  <si>
    <t>ENST00000247087_Acinonyx_jubatus_zoonomia</t>
  </si>
  <si>
    <t>8525_1</t>
  </si>
  <si>
    <t>ENSG00000121766</t>
  </si>
  <si>
    <t>ENST00000615916_Acinonyx_jubatus_zoonomia</t>
  </si>
  <si>
    <t>8527_1</t>
  </si>
  <si>
    <t>ENSG00000178796</t>
  </si>
  <si>
    <t>8530_2</t>
  </si>
  <si>
    <t>ENSG00000016602</t>
  </si>
  <si>
    <t>ENST00000370563_Acinonyx_jubatus_zoonomia</t>
  </si>
  <si>
    <t>8531_1</t>
  </si>
  <si>
    <t>ENSG00000143436</t>
  </si>
  <si>
    <t>8534_1</t>
  </si>
  <si>
    <t>ENSG00000184465</t>
  </si>
  <si>
    <t>In_file_8535_1</t>
  </si>
  <si>
    <t>8537_1</t>
  </si>
  <si>
    <t>ENSG00000134186</t>
  </si>
  <si>
    <t>ENST00000370025_Acinonyx_jubatus_zoonomia</t>
  </si>
  <si>
    <t>8539_1</t>
  </si>
  <si>
    <t>ENSG00000171227</t>
  </si>
  <si>
    <t>8545_1</t>
  </si>
  <si>
    <t>ENSG00000167106</t>
  </si>
  <si>
    <t>8548_1</t>
  </si>
  <si>
    <t>ENSG00000055917</t>
  </si>
  <si>
    <t>ENST00000338086_Acinonyx_jubatus_zoonomia</t>
  </si>
  <si>
    <t>8551_1</t>
  </si>
  <si>
    <t>ENSG00000172889</t>
  </si>
  <si>
    <t>ENST00000308874_Acinonyx_jubatus_zoonomia</t>
  </si>
  <si>
    <t>8554_1</t>
  </si>
  <si>
    <t>ENSG00000162621</t>
  </si>
  <si>
    <t>ENST00000294635_Acinonyx_jubatus_zoonomia</t>
  </si>
  <si>
    <t>8561_1</t>
  </si>
  <si>
    <t>ENSG00000159445</t>
  </si>
  <si>
    <t>8562_1</t>
  </si>
  <si>
    <t>ENSG00000186501</t>
  </si>
  <si>
    <t>8563_1</t>
  </si>
  <si>
    <t>ENSG00000162512</t>
  </si>
  <si>
    <t>ENST00000339394_Acinonyx_jubatus_zoonomia</t>
  </si>
  <si>
    <t>8564_1</t>
  </si>
  <si>
    <t>ENSG00000162511</t>
  </si>
  <si>
    <t>857_2</t>
  </si>
  <si>
    <t>ENSG00000197416</t>
  </si>
  <si>
    <t>8573_4</t>
  </si>
  <si>
    <t>ENSG00000115112</t>
  </si>
  <si>
    <t>8574_3</t>
  </si>
  <si>
    <t>ENSG00000158055</t>
  </si>
  <si>
    <t>857_4</t>
  </si>
  <si>
    <t>ENSG00000147588</t>
  </si>
  <si>
    <t>8575_1</t>
  </si>
  <si>
    <t>ENSG00000171202</t>
  </si>
  <si>
    <t>8580_1</t>
  </si>
  <si>
    <t>ENSG00000117395</t>
  </si>
  <si>
    <t>ENST00000431635_Acinonyx_jubatus_zoonomia</t>
  </si>
  <si>
    <t>8581_2</t>
  </si>
  <si>
    <t>ENSG00000198720</t>
  </si>
  <si>
    <t>ENST00000394859_Acinonyx_jubatus_zoonomia</t>
  </si>
  <si>
    <t>858_1</t>
  </si>
  <si>
    <t>ENSG00000164687</t>
  </si>
  <si>
    <t>8587_2</t>
  </si>
  <si>
    <t>ENSG00000153914</t>
  </si>
  <si>
    <t>8589_1</t>
  </si>
  <si>
    <t>ENSG00000233932</t>
  </si>
  <si>
    <t>8593_1</t>
  </si>
  <si>
    <t>ENSG00000255302</t>
  </si>
  <si>
    <t>8595_1</t>
  </si>
  <si>
    <t>ENSG00000108671</t>
  </si>
  <si>
    <t>8596_3</t>
  </si>
  <si>
    <t>ENSG00000185361</t>
  </si>
  <si>
    <t>8596_4</t>
  </si>
  <si>
    <t>ENSG00000163154</t>
  </si>
  <si>
    <t>8607_1</t>
  </si>
  <si>
    <t>ENSG00000169856</t>
  </si>
  <si>
    <t>8608_1</t>
  </si>
  <si>
    <t>ENSG00000166415</t>
  </si>
  <si>
    <t>8609_1</t>
  </si>
  <si>
    <t>ENSG00000137876</t>
  </si>
  <si>
    <t>8610_1</t>
  </si>
  <si>
    <t>ENSG00000114391</t>
  </si>
  <si>
    <t>ENST00000394077_Acinonyx_jubatus_zoonomia</t>
  </si>
  <si>
    <t>8613_1</t>
  </si>
  <si>
    <t>ENSG00000261652</t>
  </si>
  <si>
    <t>8624_1</t>
  </si>
  <si>
    <t>ENSG00000143367</t>
  </si>
  <si>
    <t>8625_1</t>
  </si>
  <si>
    <t>ENSG00000137845</t>
  </si>
  <si>
    <t>ENST00000402627_Acinonyx_jubatus_zoonomia</t>
  </si>
  <si>
    <t>8627_1</t>
  </si>
  <si>
    <t>ENSG00000160633</t>
  </si>
  <si>
    <t>ENST00000292123_Acinonyx_jubatus_zoonomia</t>
  </si>
  <si>
    <t>8629_1</t>
  </si>
  <si>
    <t>ENSG00000074319</t>
  </si>
  <si>
    <t>8632_1</t>
  </si>
  <si>
    <t>ENSG00000140307</t>
  </si>
  <si>
    <t>8639_1</t>
  </si>
  <si>
    <t>ENSG00000185088</t>
  </si>
  <si>
    <t>8643_1</t>
  </si>
  <si>
    <t>ENSG00000197361</t>
  </si>
  <si>
    <t>ENST00000360587_Acinonyx_jubatus_zoonomia</t>
  </si>
  <si>
    <t>8648_2</t>
  </si>
  <si>
    <t>ENSG00000157110</t>
  </si>
  <si>
    <t>8651_1</t>
  </si>
  <si>
    <t>ENSG00000023902</t>
  </si>
  <si>
    <t>ENST00000369124_Acinonyx_jubatus_zoonomia</t>
  </si>
  <si>
    <t>8656_1</t>
  </si>
  <si>
    <t>ENSG00000246922</t>
  </si>
  <si>
    <t>865_7</t>
  </si>
  <si>
    <t>ENSG00000011405</t>
  </si>
  <si>
    <t>ENST00000265970_Acinonyx_jubatus_zoonomia</t>
  </si>
  <si>
    <t>8675_1</t>
  </si>
  <si>
    <t>ENSG00000160781</t>
  </si>
  <si>
    <t>ENST00000292291_Acinonyx_jubatus_zoonomia</t>
  </si>
  <si>
    <t>8676_1</t>
  </si>
  <si>
    <t>ENSG00000170915</t>
  </si>
  <si>
    <t>ENST00000360726_Acinonyx_jubatus_zoonomia</t>
  </si>
  <si>
    <t>8683_1</t>
  </si>
  <si>
    <t>ENSG00000129028</t>
  </si>
  <si>
    <t>8687_3</t>
  </si>
  <si>
    <t>ENSG00000023171</t>
  </si>
  <si>
    <t>8688_2</t>
  </si>
  <si>
    <t>ENSG00000067225</t>
  </si>
  <si>
    <t>8693_1</t>
  </si>
  <si>
    <t>ENSG00000163933</t>
  </si>
  <si>
    <t>ENST00000296292_Acinonyx_jubatus_zoonomia</t>
  </si>
  <si>
    <t>8697_1</t>
  </si>
  <si>
    <t>ENSG00000105974</t>
  </si>
  <si>
    <t>8699_1</t>
  </si>
  <si>
    <t>ENSG00000178015</t>
  </si>
  <si>
    <t>8_6</t>
  </si>
  <si>
    <t>ENSG00000119638</t>
  </si>
  <si>
    <t>870_1</t>
  </si>
  <si>
    <t>ENSG00000171612</t>
  </si>
  <si>
    <t>ENST00000302692_Acinonyx_jubatus_zoonomia</t>
  </si>
  <si>
    <t>870_2</t>
  </si>
  <si>
    <t>ENSG00000114120</t>
  </si>
  <si>
    <t>8704_1</t>
  </si>
  <si>
    <t>ENSG00000163885</t>
  </si>
  <si>
    <t>In_file_8705_1</t>
  </si>
  <si>
    <t>871_3</t>
  </si>
  <si>
    <t>ENSG00000148339</t>
  </si>
  <si>
    <t>ENST00000373068_Acinonyx_jubatus_zoonomia</t>
  </si>
  <si>
    <t>871_6</t>
  </si>
  <si>
    <t>ENSG00000122912</t>
  </si>
  <si>
    <t>8720_1</t>
  </si>
  <si>
    <t>ENSG00000171148</t>
  </si>
  <si>
    <t>8722_1</t>
  </si>
  <si>
    <t>ENSG00000115266</t>
  </si>
  <si>
    <t>ENST00000233607_Acinonyx_jubatus_zoonomia</t>
  </si>
  <si>
    <t>8730_1</t>
  </si>
  <si>
    <t>ENSG00000134046</t>
  </si>
  <si>
    <t>8730_2</t>
  </si>
  <si>
    <t>ENSG00000071655</t>
  </si>
  <si>
    <t>8733_1</t>
  </si>
  <si>
    <t>ENSG00000141644</t>
  </si>
  <si>
    <t>ENST00000585672_Acinonyx_jubatus_zoonomia</t>
  </si>
  <si>
    <t>8734_1</t>
  </si>
  <si>
    <t>ENSG00000163702</t>
  </si>
  <si>
    <t>ENST00000295981_Acinonyx_jubatus_zoonomia</t>
  </si>
  <si>
    <t>8737_1</t>
  </si>
  <si>
    <t>ENSG00000184164</t>
  </si>
  <si>
    <t>8739_1</t>
  </si>
  <si>
    <t>ENSG00000125037</t>
  </si>
  <si>
    <t>87_3</t>
  </si>
  <si>
    <t>ENSG00000120332</t>
  </si>
  <si>
    <t>8741_1</t>
  </si>
  <si>
    <t>ENSG00000144554</t>
  </si>
  <si>
    <t>ENST00000383807_Acinonyx_jubatus_zoonomia</t>
  </si>
  <si>
    <t>874_1</t>
  </si>
  <si>
    <t>ENSG00000147454</t>
  </si>
  <si>
    <t>874_2</t>
  </si>
  <si>
    <t>ENSG00000155287</t>
  </si>
  <si>
    <t>8746_1</t>
  </si>
  <si>
    <t>ENSG00000099840</t>
  </si>
  <si>
    <t>8753_1</t>
  </si>
  <si>
    <t>ENSG00000104886</t>
  </si>
  <si>
    <t>ENST00000587394_Acinonyx_jubatus_zoonomia</t>
  </si>
  <si>
    <t>8757_1</t>
  </si>
  <si>
    <t>ENSG00000173452</t>
  </si>
  <si>
    <t>8761_1</t>
  </si>
  <si>
    <t>ENSG00000104899</t>
  </si>
  <si>
    <t>876_1</t>
  </si>
  <si>
    <t>ENSG00000144659</t>
  </si>
  <si>
    <t>8767_1</t>
  </si>
  <si>
    <t>ENSG00000141933</t>
  </si>
  <si>
    <t>8770_1</t>
  </si>
  <si>
    <t>ENSG00000105948</t>
  </si>
  <si>
    <t>8772_1</t>
  </si>
  <si>
    <t>ENSG00000170515</t>
  </si>
  <si>
    <t>8772_2</t>
  </si>
  <si>
    <t>ENSG00000257411</t>
  </si>
  <si>
    <t>877_2</t>
  </si>
  <si>
    <t>ENSG00000075303</t>
  </si>
  <si>
    <t>8775_1</t>
  </si>
  <si>
    <t>ENSG00000139613</t>
  </si>
  <si>
    <t>ENST00000267064_Acinonyx_jubatus_zoonomia</t>
  </si>
  <si>
    <t>8776_1</t>
  </si>
  <si>
    <t>ENSG00000181852</t>
  </si>
  <si>
    <t>8777_1</t>
  </si>
  <si>
    <t>ENSG00000144785</t>
  </si>
  <si>
    <t>ENSG00000257727</t>
  </si>
  <si>
    <t>8778_1</t>
  </si>
  <si>
    <t>ENSG00000146910</t>
  </si>
  <si>
    <t>8783_1</t>
  </si>
  <si>
    <t>ENSG00000166863</t>
  </si>
  <si>
    <t>8784_2</t>
  </si>
  <si>
    <t>ENSG00000182199</t>
  </si>
  <si>
    <t>ENST00000328923_Acinonyx_jubatus_zoonomia</t>
  </si>
  <si>
    <t>8784_3</t>
  </si>
  <si>
    <t>ENSG00000176974</t>
  </si>
  <si>
    <t>In_file_8784_1</t>
  </si>
  <si>
    <t>8788_1</t>
  </si>
  <si>
    <t>ENSG00000172995</t>
  </si>
  <si>
    <t>ENST00000187397_Acinonyx_jubatus_zoonomia</t>
  </si>
  <si>
    <t>8788_3</t>
  </si>
  <si>
    <t>ENSG00000048991</t>
  </si>
  <si>
    <t>8792_1</t>
  </si>
  <si>
    <t>ENSG00000166896</t>
  </si>
  <si>
    <t>8793_2</t>
  </si>
  <si>
    <t>ENSG00000155367</t>
  </si>
  <si>
    <t>8796_1</t>
  </si>
  <si>
    <t>ENSG00000174206</t>
  </si>
  <si>
    <t>8_7</t>
  </si>
  <si>
    <t>ENSG00000160602</t>
  </si>
  <si>
    <t>8800_1</t>
  </si>
  <si>
    <t>ENSG00000068028</t>
  </si>
  <si>
    <t>880_1</t>
  </si>
  <si>
    <t>ENSG00000174013</t>
  </si>
  <si>
    <t>8802_1</t>
  </si>
  <si>
    <t>ENSG00000139233</t>
  </si>
  <si>
    <t>880_2</t>
  </si>
  <si>
    <t>ENSG00000171621</t>
  </si>
  <si>
    <t>880_4</t>
  </si>
  <si>
    <t>ENSG00000111671</t>
  </si>
  <si>
    <t>8808_1</t>
  </si>
  <si>
    <t>ENSG00000111536</t>
  </si>
  <si>
    <t>881_2</t>
  </si>
  <si>
    <t>ENSG00000160211</t>
  </si>
  <si>
    <t>ENST00000369620_Acinonyx_jubatus_zoonomia</t>
  </si>
  <si>
    <t>8814_4</t>
  </si>
  <si>
    <t>ENSG00000141316</t>
  </si>
  <si>
    <t>8814_5</t>
  </si>
  <si>
    <t>ENSG00000120563</t>
  </si>
  <si>
    <t>ENST00000375500_Acinonyx_jubatus_zoonomia</t>
  </si>
  <si>
    <t>ENSG00000151033</t>
  </si>
  <si>
    <t>ENST00000375318_Acinonyx_jubatus_zoonomia</t>
  </si>
  <si>
    <t>8816_1</t>
  </si>
  <si>
    <t>ENSG00000167531</t>
  </si>
  <si>
    <t>8818_2</t>
  </si>
  <si>
    <t>ENSG00000166268</t>
  </si>
  <si>
    <t>88_1</t>
  </si>
  <si>
    <t>ENSG00000101203</t>
  </si>
  <si>
    <t>ENST00000358894_Acinonyx_jubatus_zoonomia</t>
  </si>
  <si>
    <t>8821_1</t>
  </si>
  <si>
    <t>ENSG00000054611</t>
  </si>
  <si>
    <t>8823_1</t>
  </si>
  <si>
    <t>ENSG00000107021</t>
  </si>
  <si>
    <t>8824_1</t>
  </si>
  <si>
    <t>ENSG00000180176</t>
  </si>
  <si>
    <t>8826_1</t>
  </si>
  <si>
    <t>ENSG00000139289</t>
  </si>
  <si>
    <t>ENST00000266671_Acinonyx_jubatus_zoonomia</t>
  </si>
  <si>
    <t>883_1</t>
  </si>
  <si>
    <t>ENSG00000130313</t>
  </si>
  <si>
    <t>8834_2</t>
  </si>
  <si>
    <t>ENSG00000129152</t>
  </si>
  <si>
    <t>ENST00000250003_Acinonyx_jubatus_zoonomia</t>
  </si>
  <si>
    <t>8838_1</t>
  </si>
  <si>
    <t>ENSG00000143303</t>
  </si>
  <si>
    <t>8839_1</t>
  </si>
  <si>
    <t>ENSG00000133687</t>
  </si>
  <si>
    <t>ENST00000539277_Acinonyx_jubatus_zoonomia</t>
  </si>
  <si>
    <t>8839_4</t>
  </si>
  <si>
    <t>ENSG00000179104</t>
  </si>
  <si>
    <t>88_3</t>
  </si>
  <si>
    <t>ENSG00000111799</t>
  </si>
  <si>
    <t>ENST00000322507_Acinonyx_jubatus_zoonomia</t>
  </si>
  <si>
    <t>8853_1</t>
  </si>
  <si>
    <t>ENSG00000173588</t>
  </si>
  <si>
    <t>ENST00000339839_Acinonyx_jubatus_zoonomia</t>
  </si>
  <si>
    <t>8854_1</t>
  </si>
  <si>
    <t>ENSG00000028203</t>
  </si>
  <si>
    <t>ENST00000436874_Acinonyx_jubatus_zoonomia</t>
  </si>
  <si>
    <t>8856_1</t>
  </si>
  <si>
    <t>ENSG00000084110</t>
  </si>
  <si>
    <t>886_1</t>
  </si>
  <si>
    <t>ENSG00000251357</t>
  </si>
  <si>
    <t>ENST00000433835_Acinonyx_jubatus_zoonomia</t>
  </si>
  <si>
    <t>8865_2</t>
  </si>
  <si>
    <t>ENSG00000134255</t>
  </si>
  <si>
    <t>887_1</t>
  </si>
  <si>
    <t>ENSG00000160326</t>
  </si>
  <si>
    <t>ENST00000371897_Acinonyx_jubatus_zoonomia</t>
  </si>
  <si>
    <t>887_2</t>
  </si>
  <si>
    <t>ENSG00000136856</t>
  </si>
  <si>
    <t>8879_1</t>
  </si>
  <si>
    <t>ENSG00000139352</t>
  </si>
  <si>
    <t>ENST00000266744_Acinonyx_jubatus_zoonomia</t>
  </si>
  <si>
    <t>8883_2</t>
  </si>
  <si>
    <t>ENSG00000120820</t>
  </si>
  <si>
    <t>8892_2</t>
  </si>
  <si>
    <t>ENSG00000111785</t>
  </si>
  <si>
    <t>8893_1</t>
  </si>
  <si>
    <t>ENSG00000151135</t>
  </si>
  <si>
    <t>890_3</t>
  </si>
  <si>
    <t>ENSG00000111674</t>
  </si>
  <si>
    <t>ENST00000229277_Acinonyx_jubatus_zoonomia</t>
  </si>
  <si>
    <t>8909_1</t>
  </si>
  <si>
    <t>ENSG00000170516</t>
  </si>
  <si>
    <t>8912_1</t>
  </si>
  <si>
    <t>ENSG00000169019</t>
  </si>
  <si>
    <t>8913_3</t>
  </si>
  <si>
    <t>ENSG00000140157</t>
  </si>
  <si>
    <t>8914_1</t>
  </si>
  <si>
    <t>ENSG00000001461</t>
  </si>
  <si>
    <t>8916_1</t>
  </si>
  <si>
    <t>ENSG00000109180</t>
  </si>
  <si>
    <t>89_1</t>
  </si>
  <si>
    <t>ENSG00000116194</t>
  </si>
  <si>
    <t>8921_1</t>
  </si>
  <si>
    <t>ENSG00000163069</t>
  </si>
  <si>
    <t>892_1</t>
  </si>
  <si>
    <t>ENSG00000142599</t>
  </si>
  <si>
    <t>8922_1</t>
  </si>
  <si>
    <t>ENSG00000163071</t>
  </si>
  <si>
    <t>ENST00000295213_Acinonyx_jubatus_zoonomia</t>
  </si>
  <si>
    <t>8924_1</t>
  </si>
  <si>
    <t>ENSG00000184178</t>
  </si>
  <si>
    <t>ENST00000388940_Acinonyx_jubatus_zoonomia</t>
  </si>
  <si>
    <t>8926_1</t>
  </si>
  <si>
    <t>ENSG00000109220</t>
  </si>
  <si>
    <t>8929_1</t>
  </si>
  <si>
    <t>ENSG00000116703</t>
  </si>
  <si>
    <t>8931_1</t>
  </si>
  <si>
    <t>ENSG00000115514</t>
  </si>
  <si>
    <t>893_1</t>
  </si>
  <si>
    <t>ENSG00000111676</t>
  </si>
  <si>
    <t>8935_1</t>
  </si>
  <si>
    <t>ENSG00000090989</t>
  </si>
  <si>
    <t>ENST00000346134_Acinonyx_jubatus_zoonomia</t>
  </si>
  <si>
    <t>8936_1</t>
  </si>
  <si>
    <t>ENSG00000168952</t>
  </si>
  <si>
    <t>8937_1</t>
  </si>
  <si>
    <t>ENSG00000135951</t>
  </si>
  <si>
    <t>ENST00000674128_Acinonyx_jubatus_zoonomia</t>
  </si>
  <si>
    <t>8939_1</t>
  </si>
  <si>
    <t>ENSG00000196872</t>
  </si>
  <si>
    <t>894_2</t>
  </si>
  <si>
    <t>ENSG00000057935</t>
  </si>
  <si>
    <t>894_3</t>
  </si>
  <si>
    <t>ENSG00000149480</t>
  </si>
  <si>
    <t>ENST00000278823_Acinonyx_jubatus_zoonomia</t>
  </si>
  <si>
    <t>ENSG00000182979</t>
  </si>
  <si>
    <t>8948_1</t>
  </si>
  <si>
    <t>ENSG00000084092</t>
  </si>
  <si>
    <t>ENST00000264230_Acinonyx_jubatus_zoonomia</t>
  </si>
  <si>
    <t>8950_1</t>
  </si>
  <si>
    <t>ENSG00000083896</t>
  </si>
  <si>
    <t>895_3</t>
  </si>
  <si>
    <t>ENSG00000022567</t>
  </si>
  <si>
    <t>8961_2</t>
  </si>
  <si>
    <t>ENSG00000079557</t>
  </si>
  <si>
    <t>ENST00000226355_Acinonyx_jubatus_zoonomia</t>
  </si>
  <si>
    <t>8975_1</t>
  </si>
  <si>
    <t>ENSG00000065911</t>
  </si>
  <si>
    <t>89_7</t>
  </si>
  <si>
    <t>ENSG00000154188</t>
  </si>
  <si>
    <t>8984_1</t>
  </si>
  <si>
    <t>ENSG00000198301</t>
  </si>
  <si>
    <t>ENST00000356260_Acinonyx_jubatus_zoonomia</t>
  </si>
  <si>
    <t>8987_1</t>
  </si>
  <si>
    <t>ENSG00000156219</t>
  </si>
  <si>
    <t>8992_1</t>
  </si>
  <si>
    <t>ENSG00000138750</t>
  </si>
  <si>
    <t>8999_1</t>
  </si>
  <si>
    <t>ENSG00000198944</t>
  </si>
  <si>
    <t>ENST00000378693_Acinonyx_jubatus_zoonomia</t>
  </si>
  <si>
    <t>89_9</t>
  </si>
  <si>
    <t>ENSG00000101280</t>
  </si>
  <si>
    <t>ENST00000381922_Acinonyx_jubatus_zoonomia</t>
  </si>
  <si>
    <t>9001_1</t>
  </si>
  <si>
    <t>ENSG00000187808</t>
  </si>
  <si>
    <t>900_1</t>
  </si>
  <si>
    <t>ENSG00000171735</t>
  </si>
  <si>
    <t>ENST00000303635_Acinonyx_jubatus_zoonomia</t>
  </si>
  <si>
    <t>900_2</t>
  </si>
  <si>
    <t>ENSG00000108509</t>
  </si>
  <si>
    <t>ENST00000381311_Acinonyx_jubatus_zoonomia</t>
  </si>
  <si>
    <t>9005_2</t>
  </si>
  <si>
    <t>ENSG00000102030</t>
  </si>
  <si>
    <t>ENST00000370009_Acinonyx_jubatus_zoonomia</t>
  </si>
  <si>
    <t>9016_1</t>
  </si>
  <si>
    <t>ENSG00000166848</t>
  </si>
  <si>
    <t>9021_2</t>
  </si>
  <si>
    <t>ENSG00000198818</t>
  </si>
  <si>
    <t>9024_1</t>
  </si>
  <si>
    <t>ENSG00000238205</t>
  </si>
  <si>
    <t>9025_1</t>
  </si>
  <si>
    <t>ENSG00000026297</t>
  </si>
  <si>
    <t>ENSG00000249141</t>
  </si>
  <si>
    <t>9026_1</t>
  </si>
  <si>
    <t>ENSG00000213066</t>
  </si>
  <si>
    <t>9028_1</t>
  </si>
  <si>
    <t>ENSG00000110057</t>
  </si>
  <si>
    <t>9031_1</t>
  </si>
  <si>
    <t>ENSG00000184786</t>
  </si>
  <si>
    <t>9032_1</t>
  </si>
  <si>
    <t>ENSG00000071994</t>
  </si>
  <si>
    <t>9037_1</t>
  </si>
  <si>
    <t>ENSG00000164818</t>
  </si>
  <si>
    <t>ENST00000297440_Acinonyx_jubatus_zoonomia</t>
  </si>
  <si>
    <t>9044_1</t>
  </si>
  <si>
    <t>ENSG00000158552</t>
  </si>
  <si>
    <t>ENSG00000178381</t>
  </si>
  <si>
    <t>ENST00000401903_Acinonyx_jubatus_zoonomia</t>
  </si>
  <si>
    <t>9045_1</t>
  </si>
  <si>
    <t>ENSG00000164880</t>
  </si>
  <si>
    <t>9046_1</t>
  </si>
  <si>
    <t>ENSG00000157778</t>
  </si>
  <si>
    <t>9049_1</t>
  </si>
  <si>
    <t>ENSG00000068438</t>
  </si>
  <si>
    <t>9053_1</t>
  </si>
  <si>
    <t>ENSG00000100060</t>
  </si>
  <si>
    <t>9053_3</t>
  </si>
  <si>
    <t>ENSG00000106003</t>
  </si>
  <si>
    <t>9054_1</t>
  </si>
  <si>
    <t>ENSG00000106009</t>
  </si>
  <si>
    <t>9057_1</t>
  </si>
  <si>
    <t>ENSG00000105538</t>
  </si>
  <si>
    <t>ENST00000222145_Acinonyx_jubatus_zoonomia</t>
  </si>
  <si>
    <t>9059_1</t>
  </si>
  <si>
    <t>ENSG00000115421</t>
  </si>
  <si>
    <t>ENST00000238714_Acinonyx_jubatus_zoonomia</t>
  </si>
  <si>
    <t>9059_2</t>
  </si>
  <si>
    <t>ENSG00000218823</t>
  </si>
  <si>
    <t>ENST00000404991_Acinonyx_jubatus_zoonomia</t>
  </si>
  <si>
    <t>9062_1</t>
  </si>
  <si>
    <t>ENSG00000112759</t>
  </si>
  <si>
    <t>906_4</t>
  </si>
  <si>
    <t>ENSG00000143437</t>
  </si>
  <si>
    <t>ENST00000354396_Acinonyx_jubatus_zoonomia</t>
  </si>
  <si>
    <t>9067_1</t>
  </si>
  <si>
    <t>ENSG00000086232</t>
  </si>
  <si>
    <t>907_1</t>
  </si>
  <si>
    <t>ENSG00000134852</t>
  </si>
  <si>
    <t>9072_1</t>
  </si>
  <si>
    <t>ENSG00000134780</t>
  </si>
  <si>
    <t>9075_1</t>
  </si>
  <si>
    <t>ENSG00000171155</t>
  </si>
  <si>
    <t>ENSG00000223658</t>
  </si>
  <si>
    <t>ENST00000475092_Acinonyx_jubatus_zoonomia</t>
  </si>
  <si>
    <t>9077_1</t>
  </si>
  <si>
    <t>ENSG00000106399</t>
  </si>
  <si>
    <t>ENST00000223129_Acinonyx_jubatus_zoonomia</t>
  </si>
  <si>
    <t>9081_1</t>
  </si>
  <si>
    <t>ENSG00000214960</t>
  </si>
  <si>
    <t>9090_1</t>
  </si>
  <si>
    <t>ENSG00000172115</t>
  </si>
  <si>
    <t>ENST00000305786_Acinonyx_jubatus_zoonomia</t>
  </si>
  <si>
    <t>9093_1</t>
  </si>
  <si>
    <t>ENSG00000106049</t>
  </si>
  <si>
    <t>9094_1</t>
  </si>
  <si>
    <t>ENSG00000140632</t>
  </si>
  <si>
    <t>9095_1</t>
  </si>
  <si>
    <t>ENSG00000153814</t>
  </si>
  <si>
    <t>9103_1</t>
  </si>
  <si>
    <t>ENSG00000175193</t>
  </si>
  <si>
    <t>ENST00000311101_Acinonyx_jubatus_zoonomia</t>
  </si>
  <si>
    <t>9103_2</t>
  </si>
  <si>
    <t>ENSG00000283765</t>
  </si>
  <si>
    <t>ENST00000639401_Acinonyx_jubatus_zoonomia</t>
  </si>
  <si>
    <t>9106_1</t>
  </si>
  <si>
    <t>ENSG00000006611</t>
  </si>
  <si>
    <t>ENST00000005226_Acinonyx_jubatus_zoonomia</t>
  </si>
  <si>
    <t>9111_1</t>
  </si>
  <si>
    <t>ENSG00000120265</t>
  </si>
  <si>
    <t>9115_1</t>
  </si>
  <si>
    <t>ENSG00000167641</t>
  </si>
  <si>
    <t>ENST00000591291_Acinonyx_jubatus_zoonomia</t>
  </si>
  <si>
    <t>9118_1</t>
  </si>
  <si>
    <t>ENSG00000131016</t>
  </si>
  <si>
    <t>ENST00000253332_Acinonyx_jubatus_zoonomia</t>
  </si>
  <si>
    <t>9126_3</t>
  </si>
  <si>
    <t>ENSG00000149970</t>
  </si>
  <si>
    <t>9129_1</t>
  </si>
  <si>
    <t>ENSG00000122335</t>
  </si>
  <si>
    <t>9131_2</t>
  </si>
  <si>
    <t>ENSG00000165169</t>
  </si>
  <si>
    <t>9133_1</t>
  </si>
  <si>
    <t>ENSG00000146457</t>
  </si>
  <si>
    <t>9134_1</t>
  </si>
  <si>
    <t>ENSG00000138029</t>
  </si>
  <si>
    <t>ENST00000317799_Acinonyx_jubatus_zoonomia</t>
  </si>
  <si>
    <t>9135_1</t>
  </si>
  <si>
    <t>ENSG00000060971</t>
  </si>
  <si>
    <t>914_1</t>
  </si>
  <si>
    <t>ENSG00000118640</t>
  </si>
  <si>
    <t>9142_1</t>
  </si>
  <si>
    <t>ENSG00000166780</t>
  </si>
  <si>
    <t>915_1</t>
  </si>
  <si>
    <t>ENSG00000168899</t>
  </si>
  <si>
    <t>9152_1</t>
  </si>
  <si>
    <t>ENSG00000104412</t>
  </si>
  <si>
    <t>9153_1</t>
  </si>
  <si>
    <t>ENSG00000164841</t>
  </si>
  <si>
    <t>9157_1</t>
  </si>
  <si>
    <t>ENSG00000101298</t>
  </si>
  <si>
    <t>9161_1</t>
  </si>
  <si>
    <t>ENSG00000164758</t>
  </si>
  <si>
    <t>916_1</t>
  </si>
  <si>
    <t>ENSG00000007923</t>
  </si>
  <si>
    <t>9162_3</t>
  </si>
  <si>
    <t>ENSG00000012232</t>
  </si>
  <si>
    <t>9167_1</t>
  </si>
  <si>
    <t>ENSG00000144063</t>
  </si>
  <si>
    <t>9170_1</t>
  </si>
  <si>
    <t>ENSG00000172172</t>
  </si>
  <si>
    <t>9181_1</t>
  </si>
  <si>
    <t>ENSG00000162981</t>
  </si>
  <si>
    <t>ENST00000295092_Acinonyx_jubatus_zoonomia</t>
  </si>
  <si>
    <t>9181_2</t>
  </si>
  <si>
    <t>ENSG00000168672</t>
  </si>
  <si>
    <t>ENST00000304916_Acinonyx_jubatus_zoonomia</t>
  </si>
  <si>
    <t>9186_1</t>
  </si>
  <si>
    <t>ENSG00000147724</t>
  </si>
  <si>
    <t>In_file_9186_3</t>
  </si>
  <si>
    <t>9186_2</t>
  </si>
  <si>
    <t>ENSG00000082269</t>
  </si>
  <si>
    <t>ENST00000361499_Acinonyx_jubatus_zoonomia</t>
  </si>
  <si>
    <t>9188_1</t>
  </si>
  <si>
    <t>ENSG00000104472</t>
  </si>
  <si>
    <t>9191_1</t>
  </si>
  <si>
    <t>ENSG00000261667</t>
  </si>
  <si>
    <t>ENST00000562505_Acinonyx_jubatus_zoonomia</t>
  </si>
  <si>
    <t>919_1</t>
  </si>
  <si>
    <t>ENSG00000131931</t>
  </si>
  <si>
    <t>9193_1</t>
  </si>
  <si>
    <t>ENSG00000176956</t>
  </si>
  <si>
    <t>9194_1</t>
  </si>
  <si>
    <t>ENSG00000277494</t>
  </si>
  <si>
    <t>ENST00000622500_Acinonyx_jubatus_zoonomia</t>
  </si>
  <si>
    <t>9196_1</t>
  </si>
  <si>
    <t>ENSG00000250571</t>
  </si>
  <si>
    <t>ENST00000340042_Acinonyx_jubatus_zoonomia</t>
  </si>
  <si>
    <t>9199_1</t>
  </si>
  <si>
    <t>ENSG00000255181</t>
  </si>
  <si>
    <t>9203_1</t>
  </si>
  <si>
    <t>ENSG00000197858</t>
  </si>
  <si>
    <t>ENST00000355091_Acinonyx_jubatus_zoonomia</t>
  </si>
  <si>
    <t>9204_1</t>
  </si>
  <si>
    <t>ENSG00000179091</t>
  </si>
  <si>
    <t>ENST00000318911_Acinonyx_jubatus_zoonomia</t>
  </si>
  <si>
    <t>9205_1</t>
  </si>
  <si>
    <t>ENSG00000179526</t>
  </si>
  <si>
    <t>ENST00000398712_Acinonyx_jubatus_zoonomia</t>
  </si>
  <si>
    <t>9207_1</t>
  </si>
  <si>
    <t>ENSG00000179632</t>
  </si>
  <si>
    <t>9211_1</t>
  </si>
  <si>
    <t>ENSG00000185000</t>
  </si>
  <si>
    <t>921_1</t>
  </si>
  <si>
    <t>ENSG00000161277</t>
  </si>
  <si>
    <t>ENST00000292894_Acinonyx_jubatus_zoonomia</t>
  </si>
  <si>
    <t>9212_1</t>
  </si>
  <si>
    <t>ENSG00000167780</t>
  </si>
  <si>
    <t>9213_1</t>
  </si>
  <si>
    <t>ENSG00000071894</t>
  </si>
  <si>
    <t>ENST00000616140_Acinonyx_jubatus_zoonomia</t>
  </si>
  <si>
    <t>9214_1</t>
  </si>
  <si>
    <t>ENSG00000160948</t>
  </si>
  <si>
    <t>9216_1</t>
  </si>
  <si>
    <t>ENSG00000167700</t>
  </si>
  <si>
    <t>9217_1</t>
  </si>
  <si>
    <t>ENSG00000213563</t>
  </si>
  <si>
    <t>9223_1</t>
  </si>
  <si>
    <t>ENSG00000160539</t>
  </si>
  <si>
    <t>ENST00000372264_Acinonyx_jubatus_zoonomia</t>
  </si>
  <si>
    <t>9223_2</t>
  </si>
  <si>
    <t>ENSG00000205808</t>
  </si>
  <si>
    <t>9230_1</t>
  </si>
  <si>
    <t>ENSG00000107014</t>
  </si>
  <si>
    <t>ENSG00000107018</t>
  </si>
  <si>
    <t>9232_1</t>
  </si>
  <si>
    <t>ENSG00000107020</t>
  </si>
  <si>
    <t>9234_1</t>
  </si>
  <si>
    <t>ENSG00000099219</t>
  </si>
  <si>
    <t>ENST00000339450_Acinonyx_jubatus_zoonomia</t>
  </si>
  <si>
    <t>9235_1</t>
  </si>
  <si>
    <t>ENSG00000183354</t>
  </si>
  <si>
    <t>ENST00000381461_Acinonyx_jubatus_zoonomia</t>
  </si>
  <si>
    <t>9241_2</t>
  </si>
  <si>
    <t>ENSG00000080166</t>
  </si>
  <si>
    <t>ENST00000377028_Acinonyx_jubatus_zoonomia</t>
  </si>
  <si>
    <t>9242_1</t>
  </si>
  <si>
    <t>ENSG00000164975</t>
  </si>
  <si>
    <t>ENST00000380821_Acinonyx_jubatus_zoonomia</t>
  </si>
  <si>
    <t>9244_1</t>
  </si>
  <si>
    <t>ENSG00000147874</t>
  </si>
  <si>
    <t>9248_2</t>
  </si>
  <si>
    <t>ENSG00000074621</t>
  </si>
  <si>
    <t>ENST00000537259_Acinonyx_jubatus_zoonomia</t>
  </si>
  <si>
    <t>9248_3</t>
  </si>
  <si>
    <t>ENSG00000185052</t>
  </si>
  <si>
    <t>9251_1</t>
  </si>
  <si>
    <t>ENSG00000130382</t>
  </si>
  <si>
    <t>ENST00000252674_Acinonyx_jubatus_zoonomia</t>
  </si>
  <si>
    <t>925_15</t>
  </si>
  <si>
    <t>ENSG00000187961</t>
  </si>
  <si>
    <t>925_19</t>
  </si>
  <si>
    <t>ENSG00000145332</t>
  </si>
  <si>
    <t>925_1</t>
  </si>
  <si>
    <t>ENSG00000186231</t>
  </si>
  <si>
    <t>925_20</t>
  </si>
  <si>
    <t>ENSG00000150361</t>
  </si>
  <si>
    <t>ENST00000377844_Acinonyx_jubatus_zoonomia</t>
  </si>
  <si>
    <t>925_24</t>
  </si>
  <si>
    <t>ENSG00000197429</t>
  </si>
  <si>
    <t>ENST00000359942_Acinonyx_jubatus_zoonomia</t>
  </si>
  <si>
    <t>925_2</t>
  </si>
  <si>
    <t>ENSG00000185915</t>
  </si>
  <si>
    <t>ENST00000379499_Acinonyx_jubatus_zoonomia</t>
  </si>
  <si>
    <t>925_30</t>
  </si>
  <si>
    <t>ENSG00000119771</t>
  </si>
  <si>
    <t>ENST00000486442_Acinonyx_jubatus_zoonomia</t>
  </si>
  <si>
    <t>925_31</t>
  </si>
  <si>
    <t>ENSG00000175946</t>
  </si>
  <si>
    <t>925_34</t>
  </si>
  <si>
    <t>ENSG00000162413</t>
  </si>
  <si>
    <t>925_35</t>
  </si>
  <si>
    <t>ENSG00000168427</t>
  </si>
  <si>
    <t>ENST00000409223_Acinonyx_jubatus_zoonomia</t>
  </si>
  <si>
    <t>9258_1</t>
  </si>
  <si>
    <t>ENSG00000205442</t>
  </si>
  <si>
    <t>9259_1</t>
  </si>
  <si>
    <t>ENSG00000198680</t>
  </si>
  <si>
    <t>925_9</t>
  </si>
  <si>
    <t>ENSG00000197705</t>
  </si>
  <si>
    <t>ENST00000359358_Acinonyx_jubatus_zoonomia</t>
  </si>
  <si>
    <t>9265_1</t>
  </si>
  <si>
    <t>ENSG00000197780</t>
  </si>
  <si>
    <t>9269_2</t>
  </si>
  <si>
    <t>ENSG00000174151</t>
  </si>
  <si>
    <t>9270_2</t>
  </si>
  <si>
    <t>ENSG00000133805</t>
  </si>
  <si>
    <t>ENST00000396554_Acinonyx_jubatus_zoonomia</t>
  </si>
  <si>
    <t>927_1</t>
  </si>
  <si>
    <t>ENSG00000120696</t>
  </si>
  <si>
    <t>ENSG00000165572</t>
  </si>
  <si>
    <t>9275_1</t>
  </si>
  <si>
    <t>ENSG00000198758</t>
  </si>
  <si>
    <t>ENST00000361852_Acinonyx_jubatus_zoonomia</t>
  </si>
  <si>
    <t>9276_3</t>
  </si>
  <si>
    <t>ENSG00000131037</t>
  </si>
  <si>
    <t>ENST00000586329_Acinonyx_jubatus_zoonomia</t>
  </si>
  <si>
    <t>9290_1</t>
  </si>
  <si>
    <t>ENSG00000173947</t>
  </si>
  <si>
    <t>ENST00000369737_Acinonyx_jubatus_zoonomia</t>
  </si>
  <si>
    <t>929_1</t>
  </si>
  <si>
    <t>ENSG00000239474</t>
  </si>
  <si>
    <t>ENSG00000251569</t>
  </si>
  <si>
    <t>In_file_936_2</t>
  </si>
  <si>
    <t>929_2</t>
  </si>
  <si>
    <t>ENSG00000157119</t>
  </si>
  <si>
    <t>9295_1</t>
  </si>
  <si>
    <t>ENSG00000197852</t>
  </si>
  <si>
    <t>ENST00000534365_Acinonyx_jubatus_zoonomia</t>
  </si>
  <si>
    <t>9298_2</t>
  </si>
  <si>
    <t>ENSG00000198898</t>
  </si>
  <si>
    <t>9304_1</t>
  </si>
  <si>
    <t>ENSG00000009307</t>
  </si>
  <si>
    <t>9305_1</t>
  </si>
  <si>
    <t>ENSG00000052723</t>
  </si>
  <si>
    <t>9313_1</t>
  </si>
  <si>
    <t>ENSG00000116824</t>
  </si>
  <si>
    <t>93_14</t>
  </si>
  <si>
    <t>ENSG00000187498</t>
  </si>
  <si>
    <t>ENST00000375820_Acinonyx_jubatus_zoonomia</t>
  </si>
  <si>
    <t>9315_1</t>
  </si>
  <si>
    <t>ENSG00000172264</t>
  </si>
  <si>
    <t>93_15</t>
  </si>
  <si>
    <t>ENSG00000188153</t>
  </si>
  <si>
    <t>9316_1</t>
  </si>
  <si>
    <t>ENSG00000133315</t>
  </si>
  <si>
    <t>ENST00000255681_Acinonyx_jubatus_zoonomia</t>
  </si>
  <si>
    <t>9321_1</t>
  </si>
  <si>
    <t>ENSG00000116874</t>
  </si>
  <si>
    <t>9324_1</t>
  </si>
  <si>
    <t>ENSG00000093183</t>
  </si>
  <si>
    <t>9324_2</t>
  </si>
  <si>
    <t>ENSG00000121542</t>
  </si>
  <si>
    <t>9325_1</t>
  </si>
  <si>
    <t>ENSG00000188610</t>
  </si>
  <si>
    <t>ENSG00000196550</t>
  </si>
  <si>
    <t>ENSG00000215784</t>
  </si>
  <si>
    <t>ENSG00000263513</t>
  </si>
  <si>
    <t>9334_1</t>
  </si>
  <si>
    <t>ENSG00000265241</t>
  </si>
  <si>
    <t>9338_2</t>
  </si>
  <si>
    <t>ENSG00000131791</t>
  </si>
  <si>
    <t>ENST00000254101_Acinonyx_jubatus_zoonomia</t>
  </si>
  <si>
    <t>9339_4</t>
  </si>
  <si>
    <t>ENSG00000007933</t>
  </si>
  <si>
    <t>9339_5</t>
  </si>
  <si>
    <t>ENSG00000131781</t>
  </si>
  <si>
    <t>ENST00000441068_Acinonyx_jubatus_zoonomia</t>
  </si>
  <si>
    <t>9340_2</t>
  </si>
  <si>
    <t>ENSG00000186174</t>
  </si>
  <si>
    <t>ENST00000334801_Acinonyx_jubatus_zoonomia</t>
  </si>
  <si>
    <t>9342_1</t>
  </si>
  <si>
    <t>ENSG00000152749</t>
  </si>
  <si>
    <t>ENST00000376958_Acinonyx_jubatus_zoonomia</t>
  </si>
  <si>
    <t>9344_1</t>
  </si>
  <si>
    <t>ENSG00000151287</t>
  </si>
  <si>
    <t>9346_1</t>
  </si>
  <si>
    <t>ENSG00000163389</t>
  </si>
  <si>
    <t>9347_1</t>
  </si>
  <si>
    <t>ENSG00000134897</t>
  </si>
  <si>
    <t>ENSG00000134899</t>
  </si>
  <si>
    <t>ENSG00000270181</t>
  </si>
  <si>
    <t>9348_1</t>
  </si>
  <si>
    <t>In_file_9347_1</t>
  </si>
  <si>
    <t>9349_1</t>
  </si>
  <si>
    <t>ENSG00000134884</t>
  </si>
  <si>
    <t>9350_1</t>
  </si>
  <si>
    <t>ENSG00000130054</t>
  </si>
  <si>
    <t>ENST00000252338_Acinonyx_jubatus_zoonomia</t>
  </si>
  <si>
    <t>9350_2</t>
  </si>
  <si>
    <t>ENSG00000204442</t>
  </si>
  <si>
    <t>9352_2</t>
  </si>
  <si>
    <t>ENSG00000133124</t>
  </si>
  <si>
    <t>ENST00000372129_Acinonyx_jubatus_zoonomia</t>
  </si>
  <si>
    <t>9359_3</t>
  </si>
  <si>
    <t>ENSG00000158290</t>
  </si>
  <si>
    <t>ENST00000404115_Acinonyx_jubatus_zoonomia</t>
  </si>
  <si>
    <t>9359_4</t>
  </si>
  <si>
    <t>ENSG00000055130</t>
  </si>
  <si>
    <t>ENST00000325222_Acinonyx_jubatus_zoonomia</t>
  </si>
  <si>
    <t>9377_1</t>
  </si>
  <si>
    <t>ENSG00000258436</t>
  </si>
  <si>
    <t>9379_1</t>
  </si>
  <si>
    <t>ENSG00000259060</t>
  </si>
  <si>
    <t>9380_1</t>
  </si>
  <si>
    <t>ENSG00000173464</t>
  </si>
  <si>
    <t>9388_1</t>
  </si>
  <si>
    <t>ENSG00000181552</t>
  </si>
  <si>
    <t>ENSG00000181562</t>
  </si>
  <si>
    <t>941_1</t>
  </si>
  <si>
    <t>ENSG00000123444</t>
  </si>
  <si>
    <t>9414_2</t>
  </si>
  <si>
    <t>ENSG00000101955</t>
  </si>
  <si>
    <t>ENST00000378533_Acinonyx_jubatus_zoonomia</t>
  </si>
  <si>
    <t>9415_1</t>
  </si>
  <si>
    <t>ENSG00000165175</t>
  </si>
  <si>
    <t>9417_1</t>
  </si>
  <si>
    <t>ENSG00000182220</t>
  </si>
  <si>
    <t>9421_1</t>
  </si>
  <si>
    <t>ENSG00000183690</t>
  </si>
  <si>
    <t>ENST00000420999_Acinonyx_jubatus_zoonomia</t>
  </si>
  <si>
    <t>9424_2</t>
  </si>
  <si>
    <t>ENSG00000147050</t>
  </si>
  <si>
    <t>ENSG00000183878</t>
  </si>
  <si>
    <t>9428_1</t>
  </si>
  <si>
    <t>ENSG00000130988</t>
  </si>
  <si>
    <t>943_1</t>
  </si>
  <si>
    <t>ENSG00000204859</t>
  </si>
  <si>
    <t>ENST00000377674_Acinonyx_jubatus_zoonomia</t>
  </si>
  <si>
    <t>9432_1</t>
  </si>
  <si>
    <t>ENSG00000008056</t>
  </si>
  <si>
    <t>ENST00000295987_Acinonyx_jubatus_zoonomia</t>
  </si>
  <si>
    <t>9434_1</t>
  </si>
  <si>
    <t>ENSG00000165583</t>
  </si>
  <si>
    <t>ENST00000311798_Acinonyx_jubatus_zoonomia</t>
  </si>
  <si>
    <t>9438_1</t>
  </si>
  <si>
    <t>ENSG00000101940</t>
  </si>
  <si>
    <t>9441_1</t>
  </si>
  <si>
    <t>ENSG00000102109</t>
  </si>
  <si>
    <t>ENST00000218230_Acinonyx_jubatus_zoonomia</t>
  </si>
  <si>
    <t>9442_1</t>
  </si>
  <si>
    <t>ENSG00000134375</t>
  </si>
  <si>
    <t>9442_2</t>
  </si>
  <si>
    <t>ENSG00000126768</t>
  </si>
  <si>
    <t>9443_1</t>
  </si>
  <si>
    <t>ENSG00000068400</t>
  </si>
  <si>
    <t>ENST00000376423_Acinonyx_jubatus_zoonomia</t>
  </si>
  <si>
    <t>9444_1</t>
  </si>
  <si>
    <t>ENSG00000105967</t>
  </si>
  <si>
    <t>9444_2</t>
  </si>
  <si>
    <t>ENSG00000068323</t>
  </si>
  <si>
    <t>ENST00000315869_Acinonyx_jubatus_zoonomia</t>
  </si>
  <si>
    <t>9444_3</t>
  </si>
  <si>
    <t>ENSG00000112561</t>
  </si>
  <si>
    <t>ENST00000358871_Acinonyx_jubatus_zoonomia</t>
  </si>
  <si>
    <t>9449_3</t>
  </si>
  <si>
    <t>ENSG00000184194</t>
  </si>
  <si>
    <t>9455_1</t>
  </si>
  <si>
    <t>ENSG00000126970</t>
  </si>
  <si>
    <t>9457_1</t>
  </si>
  <si>
    <t>ENSG00000158813</t>
  </si>
  <si>
    <t>946_1</t>
  </si>
  <si>
    <t>ENSG00000113262</t>
  </si>
  <si>
    <t>ENST00000231188_Acinonyx_jubatus_zoonomia</t>
  </si>
  <si>
    <t>946_2</t>
  </si>
  <si>
    <t>ENSG00000124493</t>
  </si>
  <si>
    <t>ENST00000374177_Acinonyx_jubatus_zoonomia</t>
  </si>
  <si>
    <t>9465_1</t>
  </si>
  <si>
    <t>ENSG00000185291</t>
  </si>
  <si>
    <t>In_file_9466_1</t>
  </si>
  <si>
    <t>9467_2</t>
  </si>
  <si>
    <t>ENSG00000147166</t>
  </si>
  <si>
    <t>ENST00000373829_Acinonyx_jubatus_zoonomia</t>
  </si>
  <si>
    <t>9469_1</t>
  </si>
  <si>
    <t>ENSG00000147174</t>
  </si>
  <si>
    <t>9472_1</t>
  </si>
  <si>
    <t>ENSG00000242732</t>
  </si>
  <si>
    <t>ENST00000609883_Acinonyx_jubatus_zoonomia</t>
  </si>
  <si>
    <t>9485_1</t>
  </si>
  <si>
    <t>ENSG00000187325</t>
  </si>
  <si>
    <t>9489_1</t>
  </si>
  <si>
    <t>ENSG00000074266</t>
  </si>
  <si>
    <t>9494_1</t>
  </si>
  <si>
    <t>ENSG00000165494</t>
  </si>
  <si>
    <t>ENST00000298281_Acinonyx_jubatus_zoonomia</t>
  </si>
  <si>
    <t>9499_1</t>
  </si>
  <si>
    <t>ENSG00000159063</t>
  </si>
  <si>
    <t>ENST00000299626_Acinonyx_jubatus_zoonomia</t>
  </si>
  <si>
    <t>9506_1</t>
  </si>
  <si>
    <t>ENSG00000048649</t>
  </si>
  <si>
    <t>9517_1</t>
  </si>
  <si>
    <t>ENSG00000118363</t>
  </si>
  <si>
    <t>95_1</t>
  </si>
  <si>
    <t>ENSG00000215018</t>
  </si>
  <si>
    <t>ENST00000399429_Acinonyx_jubatus_zoonomia</t>
  </si>
  <si>
    <t>9522_1</t>
  </si>
  <si>
    <t>ENSG00000214517</t>
  </si>
  <si>
    <t>9525_1</t>
  </si>
  <si>
    <t>ENSG00000175581</t>
  </si>
  <si>
    <t>9528_1</t>
  </si>
  <si>
    <t>ENSG00000162129</t>
  </si>
  <si>
    <t>ENST00000294053_Acinonyx_jubatus_zoonomia</t>
  </si>
  <si>
    <t>9535_1</t>
  </si>
  <si>
    <t>ENSG00000093010</t>
  </si>
  <si>
    <t>ENST00000361682_Acinonyx_jubatus_zoonomia</t>
  </si>
  <si>
    <t>9538_1</t>
  </si>
  <si>
    <t>ENSG00000137497</t>
  </si>
  <si>
    <t>954_1</t>
  </si>
  <si>
    <t>ENSG00000120278</t>
  </si>
  <si>
    <t>In_file_953_1</t>
  </si>
  <si>
    <t>ENSG00000126822</t>
  </si>
  <si>
    <t>9544_1</t>
  </si>
  <si>
    <t>ENSG00000167325</t>
  </si>
  <si>
    <t>ENST00000300738_Acinonyx_jubatus_zoonomia</t>
  </si>
  <si>
    <t>9552_1</t>
  </si>
  <si>
    <t>ENSG00000106028</t>
  </si>
  <si>
    <t>955_3</t>
  </si>
  <si>
    <t>ENSG00000046889</t>
  </si>
  <si>
    <t>In_file_955_1</t>
  </si>
  <si>
    <t>955_4</t>
  </si>
  <si>
    <t>ENSG00000182957</t>
  </si>
  <si>
    <t>ENST00000382108_Acinonyx_jubatus_zoonomia</t>
  </si>
  <si>
    <t>955_5</t>
  </si>
  <si>
    <t>ENSG00000131089</t>
  </si>
  <si>
    <t>955_6</t>
  </si>
  <si>
    <t>ENSG00000136002</t>
  </si>
  <si>
    <t>9557_2</t>
  </si>
  <si>
    <t>ENSG00000170379</t>
  </si>
  <si>
    <t>ENST00000441159_Acinonyx_jubatus_zoonomia</t>
  </si>
  <si>
    <t>ENSG00000283528</t>
  </si>
  <si>
    <t>In_file_9557_1</t>
  </si>
  <si>
    <t>9557_3</t>
  </si>
  <si>
    <t>ENSG00000198420</t>
  </si>
  <si>
    <t>9558_1</t>
  </si>
  <si>
    <t>ENSG00000196511</t>
  </si>
  <si>
    <t>9560_6</t>
  </si>
  <si>
    <t>ENSG00000197024</t>
  </si>
  <si>
    <t>9560_7</t>
  </si>
  <si>
    <t>ENSG00000196453</t>
  </si>
  <si>
    <t>In_file_9560_1</t>
  </si>
  <si>
    <t>9565_1</t>
  </si>
  <si>
    <t>ENSG00000143157</t>
  </si>
  <si>
    <t>9566_1</t>
  </si>
  <si>
    <t>ENSG00000188707</t>
  </si>
  <si>
    <t>9567_1</t>
  </si>
  <si>
    <t>ENSG00000100426</t>
  </si>
  <si>
    <t>ENST00000216268_Acinonyx_jubatus_zoonomia</t>
  </si>
  <si>
    <t>9569_1</t>
  </si>
  <si>
    <t>ENSG00000196456</t>
  </si>
  <si>
    <t>ENST00000329630_Acinonyx_jubatus_zoonomia</t>
  </si>
  <si>
    <t>ENSG00000214022</t>
  </si>
  <si>
    <t>ENST00000488943_Acinonyx_jubatus_zoonomia</t>
  </si>
  <si>
    <t>9571_1</t>
  </si>
  <si>
    <t>ENSG00000284691</t>
  </si>
  <si>
    <t>ENST00000641717_Acinonyx_jubatus_zoonomia</t>
  </si>
  <si>
    <t>9575_2</t>
  </si>
  <si>
    <t>ENSG00000181652</t>
  </si>
  <si>
    <t>In_file_9575_3</t>
  </si>
  <si>
    <t>9577_1</t>
  </si>
  <si>
    <t>ENSG00000082014</t>
  </si>
  <si>
    <t>ENST00000356800_Acinonyx_jubatus_zoonomia</t>
  </si>
  <si>
    <t>9588_1</t>
  </si>
  <si>
    <t>ENSG00000163510</t>
  </si>
  <si>
    <t>ENST00000410053_Acinonyx_jubatus_zoonomia</t>
  </si>
  <si>
    <t>959_1</t>
  </si>
  <si>
    <t>ENSG00000187017</t>
  </si>
  <si>
    <t>9594_1</t>
  </si>
  <si>
    <t>ENSG00000130021</t>
  </si>
  <si>
    <t>9596_1</t>
  </si>
  <si>
    <t>ENSG00000177666</t>
  </si>
  <si>
    <t>9596_4</t>
  </si>
  <si>
    <t>ENSG00000180316</t>
  </si>
  <si>
    <t>ENST00000394571_Acinonyx_jubatus_zoonomia</t>
  </si>
  <si>
    <t>9597_1</t>
  </si>
  <si>
    <t>ENSG00000011201</t>
  </si>
  <si>
    <t>9599_1</t>
  </si>
  <si>
    <t>ENSG00000099721</t>
  </si>
  <si>
    <t>ENSG00000125363</t>
  </si>
  <si>
    <t>9601_1</t>
  </si>
  <si>
    <t>ENSG00000066427</t>
  </si>
  <si>
    <t>ENST00000340660_Acinonyx_jubatus_zoonomia</t>
  </si>
  <si>
    <t>ENSG00000123594</t>
  </si>
  <si>
    <t>960_1</t>
  </si>
  <si>
    <t>ENSG00000144488</t>
  </si>
  <si>
    <t>9602_2</t>
  </si>
  <si>
    <t>ENSG00000196459</t>
  </si>
  <si>
    <t>ENSG00000256060</t>
  </si>
  <si>
    <t>9609_1</t>
  </si>
  <si>
    <t>ENSG00000131831</t>
  </si>
  <si>
    <t>961_1</t>
  </si>
  <si>
    <t>ENSG00000177303</t>
  </si>
  <si>
    <t>ENST00000321617_Acinonyx_jubatus_zoonomia</t>
  </si>
  <si>
    <t>9612_1</t>
  </si>
  <si>
    <t>ENSG00000198692</t>
  </si>
  <si>
    <t>961_3</t>
  </si>
  <si>
    <t>ENSG00000185046</t>
  </si>
  <si>
    <t>ENST00000547776_Acinonyx_jubatus_zoonomia</t>
  </si>
  <si>
    <t>961_4</t>
  </si>
  <si>
    <t>ENSG00000064999</t>
  </si>
  <si>
    <t>ENST00000360359_Acinonyx_jubatus_zoonomia</t>
  </si>
  <si>
    <t>9616_1</t>
  </si>
  <si>
    <t>ENSG00000105879</t>
  </si>
  <si>
    <t>ENSG00000175809</t>
  </si>
  <si>
    <t>9618_2</t>
  </si>
  <si>
    <t>ENSG00000197702</t>
  </si>
  <si>
    <t>ENST00000334956_Acinonyx_jubatus_zoonomia</t>
  </si>
  <si>
    <t>96_1</t>
  </si>
  <si>
    <t>ENSG00000092758</t>
  </si>
  <si>
    <t>ENST00000649368_Acinonyx_jubatus_zoonomia</t>
  </si>
  <si>
    <t>9625_1</t>
  </si>
  <si>
    <t>ENSG00000110680</t>
  </si>
  <si>
    <t>ENST00000361010_Acinonyx_jubatus_zoonomia</t>
  </si>
  <si>
    <t>ENSG00000175868</t>
  </si>
  <si>
    <t>In_file_9624_1</t>
  </si>
  <si>
    <t>9629_1</t>
  </si>
  <si>
    <t>ENSG00000104805</t>
  </si>
  <si>
    <t>9631_1</t>
  </si>
  <si>
    <t>ENSG00000134339</t>
  </si>
  <si>
    <t>ENSG00000148965</t>
  </si>
  <si>
    <t>ENSG00000173432</t>
  </si>
  <si>
    <t>ENSG00000255071</t>
  </si>
  <si>
    <t>9633_1</t>
  </si>
  <si>
    <t>ENSG00000110768</t>
  </si>
  <si>
    <t>9640_1</t>
  </si>
  <si>
    <t>ENSG00000198168</t>
  </si>
  <si>
    <t>ENST00000354193_Acinonyx_jubatus_zoonomia</t>
  </si>
  <si>
    <t>9645_1</t>
  </si>
  <si>
    <t>ENSG00000185973</t>
  </si>
  <si>
    <t>ENST00000334398_Acinonyx_jubatus_zoonomia</t>
  </si>
  <si>
    <t>9651_1</t>
  </si>
  <si>
    <t>ENSG00000148950</t>
  </si>
  <si>
    <t>9656_1</t>
  </si>
  <si>
    <t>ENSG00000060749</t>
  </si>
  <si>
    <t>9656_2</t>
  </si>
  <si>
    <t>ENSG00000126464</t>
  </si>
  <si>
    <t>ENST00000418929_Acinonyx_jubatus_zoonomia</t>
  </si>
  <si>
    <t>9658_1</t>
  </si>
  <si>
    <t>ENSG00000205177</t>
  </si>
  <si>
    <t>ENST00000379011_Acinonyx_jubatus_zoonomia</t>
  </si>
  <si>
    <t>9662_1</t>
  </si>
  <si>
    <t>ENSG00000149089</t>
  </si>
  <si>
    <t>9663_1</t>
  </si>
  <si>
    <t>ENSG00000026508</t>
  </si>
  <si>
    <t>9665_1</t>
  </si>
  <si>
    <t>ENSG00000179431</t>
  </si>
  <si>
    <t>9666_1</t>
  </si>
  <si>
    <t>ENSG00000166326</t>
  </si>
  <si>
    <t>9671_1</t>
  </si>
  <si>
    <t>ENSG00000166181</t>
  </si>
  <si>
    <t>9676_1</t>
  </si>
  <si>
    <t>ENSG00000234776</t>
  </si>
  <si>
    <t>ENST00000449465_Acinonyx_jubatus_zoonomia</t>
  </si>
  <si>
    <t>9677_1</t>
  </si>
  <si>
    <t>ENSG00000121680</t>
  </si>
  <si>
    <t>9678_2</t>
  </si>
  <si>
    <t>ENSG00000165905</t>
  </si>
  <si>
    <t>968_3</t>
  </si>
  <si>
    <t>ENSG00000141965</t>
  </si>
  <si>
    <t>9688_1</t>
  </si>
  <si>
    <t>ENSG00000109919</t>
  </si>
  <si>
    <t>9688_2</t>
  </si>
  <si>
    <t>ENSG00000137409</t>
  </si>
  <si>
    <t>9691_1</t>
  </si>
  <si>
    <t>ENSG00000149115</t>
  </si>
  <si>
    <t>9698_1</t>
  </si>
  <si>
    <t>ENSG00000242689</t>
  </si>
  <si>
    <t>9699_1</t>
  </si>
  <si>
    <t>ENSG00000156689</t>
  </si>
  <si>
    <t>ENST00000287275_Acinonyx_jubatus_zoonomia</t>
  </si>
  <si>
    <t>ENSG00000166840</t>
  </si>
  <si>
    <t>ENST00000300079_Acinonyx_jubatus_zoonomia</t>
  </si>
  <si>
    <t>ENSG00000255151</t>
  </si>
  <si>
    <t>ENST00000527482_Acinonyx_jubatus_zoonomia</t>
  </si>
  <si>
    <t>9700_2</t>
  </si>
  <si>
    <t>ENSG00000189057</t>
  </si>
  <si>
    <t>ENST00000343597_Acinonyx_jubatus_zoonomia</t>
  </si>
  <si>
    <t>9701_1</t>
  </si>
  <si>
    <t>ENSG00000197629</t>
  </si>
  <si>
    <t>971_1</t>
  </si>
  <si>
    <t>ENSG00000184381</t>
  </si>
  <si>
    <t>9724_1</t>
  </si>
  <si>
    <t>ENSG00000166928</t>
  </si>
  <si>
    <t>9725_1</t>
  </si>
  <si>
    <t>ENSG00000214787</t>
  </si>
  <si>
    <t>ENST00000651255_Acinonyx_jubatus_zoonomia</t>
  </si>
  <si>
    <t>9734_5</t>
  </si>
  <si>
    <t>ENSG00000181234</t>
  </si>
  <si>
    <t>In_file_9734_4</t>
  </si>
  <si>
    <t>9742_1</t>
  </si>
  <si>
    <t>ENSG00000134825</t>
  </si>
  <si>
    <t>9746_2</t>
  </si>
  <si>
    <t>ENSG00000167994</t>
  </si>
  <si>
    <t>9748_1</t>
  </si>
  <si>
    <t>ENSG00000087086</t>
  </si>
  <si>
    <t>9748_2</t>
  </si>
  <si>
    <t>ENSG00000181867</t>
  </si>
  <si>
    <t>9748_4</t>
  </si>
  <si>
    <t>ENSG00000132446</t>
  </si>
  <si>
    <t>9750_1</t>
  </si>
  <si>
    <t>ENSG00000149503</t>
  </si>
  <si>
    <t>9753_1</t>
  </si>
  <si>
    <t>ENSG00000110484</t>
  </si>
  <si>
    <t>In_file_9751_1</t>
  </si>
  <si>
    <t>ENSG00000124939</t>
  </si>
  <si>
    <t>ENST00000244930_Acinonyx_jubatus_zoonomia</t>
  </si>
  <si>
    <t>9762_1</t>
  </si>
  <si>
    <t>ENSG00000105227</t>
  </si>
  <si>
    <t>ENST00000674005_Acinonyx_jubatus_zoonomia</t>
  </si>
  <si>
    <t>9764_1</t>
  </si>
  <si>
    <t>ENSG00000185567</t>
  </si>
  <si>
    <t>In_file_9761_1</t>
  </si>
  <si>
    <t>9765_2</t>
  </si>
  <si>
    <t>ENSG00000149489</t>
  </si>
  <si>
    <t>97_6</t>
  </si>
  <si>
    <t>ENSG00000142156</t>
  </si>
  <si>
    <t>ENST00000361866_Acinonyx_jubatus_zoonomia</t>
  </si>
  <si>
    <t>9770_1</t>
  </si>
  <si>
    <t>ENSG00000204922</t>
  </si>
  <si>
    <t>ENST00000377953_Acinonyx_jubatus_zoonomia</t>
  </si>
  <si>
    <t>9775_1</t>
  </si>
  <si>
    <t>ENSG00000168002</t>
  </si>
  <si>
    <t>ENST00000301788_Acinonyx_jubatus_zoonomia</t>
  </si>
  <si>
    <t>9776_1</t>
  </si>
  <si>
    <t>ENSG00000168569</t>
  </si>
  <si>
    <t>ENST00000528367_Acinonyx_jubatus_zoonomia</t>
  </si>
  <si>
    <t>9778_1</t>
  </si>
  <si>
    <t>ENSG00000126952</t>
  </si>
  <si>
    <t>ENST00000473265_Acinonyx_jubatus_zoonomia</t>
  </si>
  <si>
    <t>ENSG00000147206</t>
  </si>
  <si>
    <t>ENST00000395065_Acinonyx_jubatus_zoonomia</t>
  </si>
  <si>
    <t>ENSG00000269405</t>
  </si>
  <si>
    <t>ENSG00000269437</t>
  </si>
  <si>
    <t>9778_3</t>
  </si>
  <si>
    <t>ENSG00000162231</t>
  </si>
  <si>
    <t>9783_1</t>
  </si>
  <si>
    <t>ENSG00000203737</t>
  </si>
  <si>
    <t>9786_1</t>
  </si>
  <si>
    <t>ENSG00000138134</t>
  </si>
  <si>
    <t>ENST00000371927_Acinonyx_jubatus_zoonomia</t>
  </si>
  <si>
    <t>9789_1</t>
  </si>
  <si>
    <t>ENSG00000115274</t>
  </si>
  <si>
    <t>9799_1</t>
  </si>
  <si>
    <t>ENSG00000115350</t>
  </si>
  <si>
    <t>ENST00000483063_Acinonyx_jubatus_zoonomia</t>
  </si>
  <si>
    <t>9802_1</t>
  </si>
  <si>
    <t>ENSG00000176407</t>
  </si>
  <si>
    <t>9815_1</t>
  </si>
  <si>
    <t>ENSG00000172116</t>
  </si>
  <si>
    <t>ENSG00000254126</t>
  </si>
  <si>
    <t>9817_1</t>
  </si>
  <si>
    <t>ENSG00000170231</t>
  </si>
  <si>
    <t>9820_1</t>
  </si>
  <si>
    <t>ENSG00000144029</t>
  </si>
  <si>
    <t>98_2</t>
  </si>
  <si>
    <t>ENSG00000124159</t>
  </si>
  <si>
    <t>ENST00000353917_Acinonyx_jubatus_zoonomia</t>
  </si>
  <si>
    <t>9830_1</t>
  </si>
  <si>
    <t>ENSG00000119946</t>
  </si>
  <si>
    <t>9830_3</t>
  </si>
  <si>
    <t>ENSG00000158158</t>
  </si>
  <si>
    <t>In_file_9830_4</t>
  </si>
  <si>
    <t>ENSG00000168763</t>
  </si>
  <si>
    <t>9836_1</t>
  </si>
  <si>
    <t>ENSG00000175267</t>
  </si>
  <si>
    <t>ENST00000389398_Acinonyx_jubatus_zoonomia</t>
  </si>
  <si>
    <t>9837_1</t>
  </si>
  <si>
    <t>ENSG00000183513</t>
  </si>
  <si>
    <t>9839_1</t>
  </si>
  <si>
    <t>ENSG00000185414</t>
  </si>
  <si>
    <t>ENSG00000273155</t>
  </si>
  <si>
    <t>9841_2</t>
  </si>
  <si>
    <t>ENSG00000185674</t>
  </si>
  <si>
    <t>984_1</t>
  </si>
  <si>
    <t>ENSG00000197921</t>
  </si>
  <si>
    <t>9844_2</t>
  </si>
  <si>
    <t>ENSG00000175556</t>
  </si>
  <si>
    <t>9847_1</t>
  </si>
  <si>
    <t>ENSG00000158435</t>
  </si>
  <si>
    <t>9848_1</t>
  </si>
  <si>
    <t>ENSG00000175874</t>
  </si>
  <si>
    <t>9859_1</t>
  </si>
  <si>
    <t>ENSG00000177791</t>
  </si>
  <si>
    <t>9860_1</t>
  </si>
  <si>
    <t>ENSG00000113272</t>
  </si>
  <si>
    <t>9871_1</t>
  </si>
  <si>
    <t>ENSG00000197046</t>
  </si>
  <si>
    <t>ENST00000389474_Acinonyx_jubatus_zoonomia</t>
  </si>
  <si>
    <t>987_2</t>
  </si>
  <si>
    <t>ENSG00000162390</t>
  </si>
  <si>
    <t>ENST00000371316_Acinonyx_jubatus_zoonomia</t>
  </si>
  <si>
    <t>9875_2</t>
  </si>
  <si>
    <t>ENSG00000183791</t>
  </si>
  <si>
    <t>ENSG00000206181</t>
  </si>
  <si>
    <t>In_file_9875_1</t>
  </si>
  <si>
    <t>ENSG00000274744</t>
  </si>
  <si>
    <t>ENSG00000278674</t>
  </si>
  <si>
    <t>9883_1</t>
  </si>
  <si>
    <t>ENSG00000154832</t>
  </si>
  <si>
    <t>9884_1</t>
  </si>
  <si>
    <t>ENSG00000154839</t>
  </si>
  <si>
    <t>9894_1</t>
  </si>
  <si>
    <t>ENSG00000150637</t>
  </si>
  <si>
    <t>9895_1</t>
  </si>
  <si>
    <t>ENSG00000110400</t>
  </si>
  <si>
    <t>9901_1</t>
  </si>
  <si>
    <t>ENSG00000130856</t>
  </si>
  <si>
    <t>9903_1</t>
  </si>
  <si>
    <t>ENSG00000060069</t>
  </si>
  <si>
    <t>9904_1</t>
  </si>
  <si>
    <t>ENSG00000122490</t>
  </si>
  <si>
    <t>9905_1</t>
  </si>
  <si>
    <t>ENSG00000226742</t>
  </si>
  <si>
    <t>ENST00000451882_Acinonyx_jubatus_zoonomia</t>
  </si>
  <si>
    <t>9906_1</t>
  </si>
  <si>
    <t>ENSG00000141759</t>
  </si>
  <si>
    <t>9915_1</t>
  </si>
  <si>
    <t>ENSG00000271303</t>
  </si>
  <si>
    <t>ENST00000381962_Acinonyx_jubatus_zoonomia</t>
  </si>
  <si>
    <t>9916_1</t>
  </si>
  <si>
    <t>ENSG00000125898</t>
  </si>
  <si>
    <t>9917_1</t>
  </si>
  <si>
    <t>ENSG00000184731</t>
  </si>
  <si>
    <t>9918_1</t>
  </si>
  <si>
    <t>ENSG00000125818</t>
  </si>
  <si>
    <t>9921_2</t>
  </si>
  <si>
    <t>ENSG00000215114</t>
  </si>
  <si>
    <t>ENST00000399598_Acinonyx_jubatus_zoonomia</t>
  </si>
  <si>
    <t>9923_1</t>
  </si>
  <si>
    <t>ENSG00000089012</t>
  </si>
  <si>
    <t>ENSG00000101307</t>
  </si>
  <si>
    <t>ENSG00000198053</t>
  </si>
  <si>
    <t>9930_2</t>
  </si>
  <si>
    <t>ENSG00000125834</t>
  </si>
  <si>
    <t>9936_2</t>
  </si>
  <si>
    <t>ENSG00000101405</t>
  </si>
  <si>
    <t>9942_1</t>
  </si>
  <si>
    <t>ENSG00000125861</t>
  </si>
  <si>
    <t>994_2</t>
  </si>
  <si>
    <t>ENSG00000119283</t>
  </si>
  <si>
    <t>In_file_994_1</t>
  </si>
  <si>
    <t>9943_1</t>
  </si>
  <si>
    <t>ENSG00000146013</t>
  </si>
  <si>
    <t>ENST00000274721_Acinonyx_jubatus_zoonomia</t>
  </si>
  <si>
    <t>9943_3</t>
  </si>
  <si>
    <t>ENSG00000151892</t>
  </si>
  <si>
    <t>9945_1</t>
  </si>
  <si>
    <t>ENSG00000105366</t>
  </si>
  <si>
    <t>ENST00000321424_Acinonyx_jubatus_zoonomia</t>
  </si>
  <si>
    <t>ENSG00000105383</t>
  </si>
  <si>
    <t>ENST00000262262_Acinonyx_jubatus_zoonomia</t>
  </si>
  <si>
    <t>ENSG00000105492</t>
  </si>
  <si>
    <t>ENSG00000129450</t>
  </si>
  <si>
    <t>ENSG00000254521</t>
  </si>
  <si>
    <t>ENST00000291707_Acinonyx_jubatus_zoonomia</t>
  </si>
  <si>
    <t>9945_6</t>
  </si>
  <si>
    <t>ENSG00000105501</t>
  </si>
  <si>
    <t>ENST00000534261_Acinonyx_jubatus_zoonomia</t>
  </si>
  <si>
    <t>ENSG00000254415</t>
  </si>
  <si>
    <t>ENST00000360844_Acinonyx_jubatus_zoonomia</t>
  </si>
  <si>
    <t>ENSG00000268500</t>
  </si>
  <si>
    <t>ENST00000429354_Acinonyx_jubatus_zoonomia</t>
  </si>
  <si>
    <t>9947_1</t>
  </si>
  <si>
    <t>ENSG00000168995</t>
  </si>
  <si>
    <t>995_1</t>
  </si>
  <si>
    <t>ENSG00000080561</t>
  </si>
  <si>
    <t>ENST00000262843_Acinonyx_jubatus_zoonomia</t>
  </si>
  <si>
    <t>995_2</t>
  </si>
  <si>
    <t>ENSG00000101871</t>
  </si>
  <si>
    <t>ENST00000317552_Acinonyx_jubatus_zoonomia</t>
  </si>
  <si>
    <t>995_4</t>
  </si>
  <si>
    <t>ENSG00000163462</t>
  </si>
  <si>
    <t>ENST00000334634_Acinonyx_jubatus_zoonomia</t>
  </si>
  <si>
    <t>9966_1</t>
  </si>
  <si>
    <t>ENSG00000132639</t>
  </si>
  <si>
    <t>9975_2</t>
  </si>
  <si>
    <t>ENSG00000135472</t>
  </si>
  <si>
    <t>ENST00000320634_Acinonyx_jubatus_zoonomia</t>
  </si>
  <si>
    <t>9977_1</t>
  </si>
  <si>
    <t>ENSG00000163872</t>
  </si>
  <si>
    <t>ENST00000305135_Acinonyx_jubatus_zoonomia</t>
  </si>
  <si>
    <t>9982_2</t>
  </si>
  <si>
    <t>ENSG00000189431</t>
  </si>
  <si>
    <t>ENST00000529419_Acinonyx_jubatus_zoonomia</t>
  </si>
  <si>
    <t>9986_1</t>
  </si>
  <si>
    <t>ENSG00000142186</t>
  </si>
  <si>
    <t>9988_1</t>
  </si>
  <si>
    <t>ENSG00000187855</t>
  </si>
  <si>
    <t>9992_1</t>
  </si>
  <si>
    <t>ENSG00000232237</t>
  </si>
  <si>
    <t>ENST00000449188_Acinonyx_jubatus_zoonomia</t>
  </si>
  <si>
    <t>9999_1</t>
  </si>
  <si>
    <t>ENSG00000076248</t>
  </si>
  <si>
    <t>5541 genes</t>
  </si>
  <si>
    <t>Lost before GSTF</t>
  </si>
  <si>
    <t>Discarded by GSTF</t>
  </si>
  <si>
    <t xml:space="preserve">In current file </t>
  </si>
  <si>
    <t>In different file</t>
  </si>
  <si>
    <t>Not in annotation</t>
  </si>
  <si>
    <t xml:space="preserve">Transcript </t>
  </si>
  <si>
    <t xml:space="preserve"> Species_start </t>
  </si>
  <si>
    <t xml:space="preserve"> Ref_start </t>
  </si>
  <si>
    <t xml:space="preserve"> Species_length </t>
  </si>
  <si>
    <t xml:space="preserve"> Ref_length </t>
  </si>
  <si>
    <t xml:space="preserve"> Percent_diff </t>
  </si>
  <si>
    <t xml:space="preserve"> Identity </t>
  </si>
  <si>
    <t xml:space="preserve"> Stop_present? </t>
  </si>
  <si>
    <t xml:space="preserve"> No_of_stops </t>
  </si>
  <si>
    <t xml:space="preserve"> Pos_of_1st_stop</t>
  </si>
  <si>
    <t>Identity</t>
  </si>
  <si>
    <t>Filtered</t>
  </si>
  <si>
    <t xml:space="preserve">ENST00000375433 </t>
  </si>
  <si>
    <t xml:space="preserve"> AAA </t>
  </si>
  <si>
    <t xml:space="preserve"> Y </t>
  </si>
  <si>
    <t xml:space="preserve">ENST00000398510 </t>
  </si>
  <si>
    <t xml:space="preserve"> ATG </t>
  </si>
  <si>
    <t xml:space="preserve">ENST00000380358 </t>
  </si>
  <si>
    <t xml:space="preserve"> CAG </t>
  </si>
  <si>
    <t xml:space="preserve"> CCC </t>
  </si>
  <si>
    <t xml:space="preserve">ENST00000373203 </t>
  </si>
  <si>
    <t xml:space="preserve">ENST00000616568 </t>
  </si>
  <si>
    <t xml:space="preserve"> TCC </t>
  </si>
  <si>
    <t xml:space="preserve"> cag </t>
  </si>
  <si>
    <t xml:space="preserve">ENST00000358746 </t>
  </si>
  <si>
    <t xml:space="preserve"> atg </t>
  </si>
  <si>
    <t xml:space="preserve">ENST00000347559 </t>
  </si>
  <si>
    <t xml:space="preserve"> tcc </t>
  </si>
  <si>
    <t xml:space="preserve">ENST00000297156 </t>
  </si>
  <si>
    <t xml:space="preserve"> NNG </t>
  </si>
  <si>
    <t xml:space="preserve">ENST00000301039 </t>
  </si>
  <si>
    <t xml:space="preserve">ENST00000367483 </t>
  </si>
  <si>
    <t xml:space="preserve">ENST00000332118 </t>
  </si>
  <si>
    <t xml:space="preserve">ENST00000216832 </t>
  </si>
  <si>
    <t xml:space="preserve">ENST00000298705 </t>
  </si>
  <si>
    <t xml:space="preserve"> ttc </t>
  </si>
  <si>
    <t xml:space="preserve"> GTG </t>
  </si>
  <si>
    <t xml:space="preserve">ENST00000253048 </t>
  </si>
  <si>
    <t xml:space="preserve">ENST00000404807 </t>
  </si>
  <si>
    <t xml:space="preserve">ENST00000228515 </t>
  </si>
  <si>
    <t xml:space="preserve">ENST00000361034 </t>
  </si>
  <si>
    <t xml:space="preserve">ENST00000380345 </t>
  </si>
  <si>
    <t xml:space="preserve">ENST00000335263 </t>
  </si>
  <si>
    <t xml:space="preserve"> att </t>
  </si>
  <si>
    <t xml:space="preserve">ENST00000361306 </t>
  </si>
  <si>
    <t xml:space="preserve"> AGT </t>
  </si>
  <si>
    <t xml:space="preserve">ENST00000253934 </t>
  </si>
  <si>
    <t xml:space="preserve">ENST00000293925 </t>
  </si>
  <si>
    <t xml:space="preserve"> GCT </t>
  </si>
  <si>
    <t xml:space="preserve"> NNN </t>
  </si>
  <si>
    <t xml:space="preserve">ENST00000544627 </t>
  </si>
  <si>
    <t xml:space="preserve">ENST00000299866 </t>
  </si>
  <si>
    <t xml:space="preserve"> GTC </t>
  </si>
  <si>
    <t xml:space="preserve">ENST00000352040 </t>
  </si>
  <si>
    <t xml:space="preserve">ENST00000271643 </t>
  </si>
  <si>
    <t xml:space="preserve"> ATC </t>
  </si>
  <si>
    <t xml:space="preserve"> GAA </t>
  </si>
  <si>
    <t xml:space="preserve">ENST00000204726 </t>
  </si>
  <si>
    <t xml:space="preserve">ENST00000243786 </t>
  </si>
  <si>
    <t xml:space="preserve"> CTC </t>
  </si>
  <si>
    <t xml:space="preserve">ENST00000511828 </t>
  </si>
  <si>
    <t xml:space="preserve"> gcc </t>
  </si>
  <si>
    <t xml:space="preserve">ENST00000269209 </t>
  </si>
  <si>
    <t xml:space="preserve"> gGA </t>
  </si>
  <si>
    <t xml:space="preserve">ENST00000359191 </t>
  </si>
  <si>
    <t xml:space="preserve">ENST00000221943 </t>
  </si>
  <si>
    <t xml:space="preserve"> CTT </t>
  </si>
  <si>
    <t xml:space="preserve">ENST00000375023 </t>
  </si>
  <si>
    <t xml:space="preserve"> ctg </t>
  </si>
  <si>
    <t xml:space="preserve"> TGT </t>
  </si>
  <si>
    <t xml:space="preserve">ENST00000292140 </t>
  </si>
  <si>
    <t xml:space="preserve"> GAG </t>
  </si>
  <si>
    <t xml:space="preserve">ENST00000393923 </t>
  </si>
  <si>
    <t xml:space="preserve"> CGA </t>
  </si>
  <si>
    <t xml:space="preserve"> GAT </t>
  </si>
  <si>
    <t xml:space="preserve">ENST00000643617 </t>
  </si>
  <si>
    <t xml:space="preserve"> tTC </t>
  </si>
  <si>
    <t xml:space="preserve"> TCA </t>
  </si>
  <si>
    <t xml:space="preserve">ENST00000391876 </t>
  </si>
  <si>
    <t xml:space="preserve"> GGC </t>
  </si>
  <si>
    <t xml:space="preserve"> N </t>
  </si>
  <si>
    <t xml:space="preserve"> NA</t>
  </si>
  <si>
    <t xml:space="preserve">ENST00000261195 </t>
  </si>
  <si>
    <t xml:space="preserve">ENST00000369367 </t>
  </si>
  <si>
    <t xml:space="preserve"> cCC </t>
  </si>
  <si>
    <t xml:space="preserve">ENST00000397583 </t>
  </si>
  <si>
    <t xml:space="preserve">ENST00000357780 </t>
  </si>
  <si>
    <t xml:space="preserve">ENST00000227349 </t>
  </si>
  <si>
    <t xml:space="preserve">ENST00000300093 </t>
  </si>
  <si>
    <t xml:space="preserve"> GGG </t>
  </si>
  <si>
    <t xml:space="preserve">ENST00000319283 </t>
  </si>
  <si>
    <t xml:space="preserve"> GTA </t>
  </si>
  <si>
    <t xml:space="preserve">ENST00000338745 </t>
  </si>
  <si>
    <t xml:space="preserve"> TAT </t>
  </si>
  <si>
    <t xml:space="preserve">ENST00000361420 </t>
  </si>
  <si>
    <t xml:space="preserve">ENST00000316219 </t>
  </si>
  <si>
    <t xml:space="preserve"> GGT </t>
  </si>
  <si>
    <t xml:space="preserve">ENST00000396284 </t>
  </si>
  <si>
    <t xml:space="preserve"> tct </t>
  </si>
  <si>
    <t xml:space="preserve"> TCT </t>
  </si>
  <si>
    <t xml:space="preserve">ENST00000265922 </t>
  </si>
  <si>
    <t xml:space="preserve">ENST00000393927 </t>
  </si>
  <si>
    <t xml:space="preserve">ENST00000290037 </t>
  </si>
  <si>
    <t xml:space="preserve"> GGA </t>
  </si>
  <si>
    <t xml:space="preserve"> CCG </t>
  </si>
  <si>
    <t xml:space="preserve">ENST00000304076 </t>
  </si>
  <si>
    <t xml:space="preserve"> AGG </t>
  </si>
  <si>
    <t xml:space="preserve">ENST00000329905 </t>
  </si>
  <si>
    <t xml:space="preserve">ENST00000297679 </t>
  </si>
  <si>
    <t xml:space="preserve">ENST00000255006 </t>
  </si>
  <si>
    <t xml:space="preserve"> CAA </t>
  </si>
  <si>
    <t xml:space="preserve"> TTC </t>
  </si>
  <si>
    <t xml:space="preserve">ENST00000393151 </t>
  </si>
  <si>
    <t xml:space="preserve">ENST00000293502 </t>
  </si>
  <si>
    <t xml:space="preserve">ENST00000438552 </t>
  </si>
  <si>
    <t xml:space="preserve">ENST00000362065 </t>
  </si>
  <si>
    <t xml:space="preserve">ENST00000263278 </t>
  </si>
  <si>
    <t xml:space="preserve">ENST00000416165 </t>
  </si>
  <si>
    <t xml:space="preserve">ENST00000318282 </t>
  </si>
  <si>
    <t xml:space="preserve">ENST00000261647 </t>
  </si>
  <si>
    <t xml:space="preserve"> ggg </t>
  </si>
  <si>
    <t xml:space="preserve">ENST00000470794 </t>
  </si>
  <si>
    <t xml:space="preserve">ENST00000335626 </t>
  </si>
  <si>
    <t xml:space="preserve">ENST00000395757 </t>
  </si>
  <si>
    <t xml:space="preserve"> gaC </t>
  </si>
  <si>
    <t xml:space="preserve">ENST00000321105 </t>
  </si>
  <si>
    <t xml:space="preserve">ENST00000589130 </t>
  </si>
  <si>
    <t xml:space="preserve"> AAT </t>
  </si>
  <si>
    <t xml:space="preserve">ENST00000401815 </t>
  </si>
  <si>
    <t xml:space="preserve">ENST00000393471 </t>
  </si>
  <si>
    <t xml:space="preserve">ENST00000428839 </t>
  </si>
  <si>
    <t xml:space="preserve"> ccc </t>
  </si>
  <si>
    <t xml:space="preserve">ENST00000254029 </t>
  </si>
  <si>
    <t xml:space="preserve">ENST00000396914 </t>
  </si>
  <si>
    <t xml:space="preserve">ENST00000287675 </t>
  </si>
  <si>
    <t xml:space="preserve">ENST00000248879 </t>
  </si>
  <si>
    <t xml:space="preserve">ENST00000331444 </t>
  </si>
  <si>
    <t xml:space="preserve">ENST00000331113 </t>
  </si>
  <si>
    <t xml:space="preserve">ENST00000302127 </t>
  </si>
  <si>
    <t xml:space="preserve">ENST00000528588 </t>
  </si>
  <si>
    <t xml:space="preserve"> GCC </t>
  </si>
  <si>
    <t xml:space="preserve">ENST00000259751 </t>
  </si>
  <si>
    <t xml:space="preserve">ENST00000625293 </t>
  </si>
  <si>
    <t xml:space="preserve">ENST00000369550 </t>
  </si>
  <si>
    <t xml:space="preserve"> gtg </t>
  </si>
  <si>
    <t xml:space="preserve">ENST00000280377 </t>
  </si>
  <si>
    <t xml:space="preserve">ENST00000537526 </t>
  </si>
  <si>
    <t xml:space="preserve">ENST00000378653 </t>
  </si>
  <si>
    <t xml:space="preserve"> aaG </t>
  </si>
  <si>
    <t xml:space="preserve">ENST00000301740 </t>
  </si>
  <si>
    <t xml:space="preserve">ENST00000573315 </t>
  </si>
  <si>
    <t xml:space="preserve"> CCT </t>
  </si>
  <si>
    <t xml:space="preserve">ENST00000620217 </t>
  </si>
  <si>
    <t xml:space="preserve">ENST00000598234 </t>
  </si>
  <si>
    <t xml:space="preserve">ENST00000375066 </t>
  </si>
  <si>
    <t xml:space="preserve">ENST00000276175 </t>
  </si>
  <si>
    <t xml:space="preserve">ENST00000359470 </t>
  </si>
  <si>
    <t xml:space="preserve">ENST00000574814 </t>
  </si>
  <si>
    <t xml:space="preserve">ENST00000356317 </t>
  </si>
  <si>
    <t xml:space="preserve">ENST00000429671 </t>
  </si>
  <si>
    <t xml:space="preserve">ENST00000392800 </t>
  </si>
  <si>
    <t xml:space="preserve">ENST00000330295 </t>
  </si>
  <si>
    <t xml:space="preserve">ENST00000320211 </t>
  </si>
  <si>
    <t xml:space="preserve">ENST00000308775 </t>
  </si>
  <si>
    <t xml:space="preserve">ENST00000263119 </t>
  </si>
  <si>
    <t xml:space="preserve"> ATT </t>
  </si>
  <si>
    <t xml:space="preserve">ENST00000216085 </t>
  </si>
  <si>
    <t xml:space="preserve">ENST00000216034 </t>
  </si>
  <si>
    <t xml:space="preserve"> Atg </t>
  </si>
  <si>
    <t xml:space="preserve">ENST00000310521 </t>
  </si>
  <si>
    <t xml:space="preserve">ENST00000242848 </t>
  </si>
  <si>
    <t xml:space="preserve">ENST00000606109 </t>
  </si>
  <si>
    <t xml:space="preserve">ENST00000607093 </t>
  </si>
  <si>
    <t xml:space="preserve">ENST00000367854 </t>
  </si>
  <si>
    <t xml:space="preserve">ENST00000367588 </t>
  </si>
  <si>
    <t xml:space="preserve"> aga </t>
  </si>
  <si>
    <t xml:space="preserve">ENST00000381950 </t>
  </si>
  <si>
    <t xml:space="preserve">ENST00000263205 </t>
  </si>
  <si>
    <t xml:space="preserve">ENST00000381821 </t>
  </si>
  <si>
    <t xml:space="preserve"> ctc </t>
  </si>
  <si>
    <t xml:space="preserve">ENST00000412331 </t>
  </si>
  <si>
    <t xml:space="preserve">ENST00000377815 </t>
  </si>
  <si>
    <t xml:space="preserve"> GCG </t>
  </si>
  <si>
    <t xml:space="preserve">ENST00000672824 </t>
  </si>
  <si>
    <t xml:space="preserve">ENST00000359003 </t>
  </si>
  <si>
    <t xml:space="preserve">ENST00000348655 </t>
  </si>
  <si>
    <t xml:space="preserve">ENST00000302177 </t>
  </si>
  <si>
    <t xml:space="preserve">ENST00000298552 </t>
  </si>
  <si>
    <t xml:space="preserve">ENST00000571838 </t>
  </si>
  <si>
    <t xml:space="preserve">ENST00000299687 </t>
  </si>
  <si>
    <t xml:space="preserve">ENST00000292180 </t>
  </si>
  <si>
    <t xml:space="preserve"> gaa </t>
  </si>
  <si>
    <t xml:space="preserve">ENST00000350908 </t>
  </si>
  <si>
    <t xml:space="preserve">ENST00000299162 </t>
  </si>
  <si>
    <t xml:space="preserve">ENST00000640769 </t>
  </si>
  <si>
    <t xml:space="preserve">ENST00000218364 </t>
  </si>
  <si>
    <t xml:space="preserve"> TTT </t>
  </si>
  <si>
    <t xml:space="preserve">ENST00000367506 </t>
  </si>
  <si>
    <t xml:space="preserve">ENST00000270583 </t>
  </si>
  <si>
    <t xml:space="preserve">ENST00000432962 </t>
  </si>
  <si>
    <t xml:space="preserve">ENST00000297524 </t>
  </si>
  <si>
    <t xml:space="preserve">ENST00000423145 </t>
  </si>
  <si>
    <t xml:space="preserve"> GAC </t>
  </si>
  <si>
    <t xml:space="preserve">ENST00000329003 </t>
  </si>
  <si>
    <t xml:space="preserve">ENST00000298048 </t>
  </si>
  <si>
    <t xml:space="preserve">ENST00000216288 </t>
  </si>
  <si>
    <t xml:space="preserve"> CAC </t>
  </si>
  <si>
    <t xml:space="preserve">ENST00000496259 </t>
  </si>
  <si>
    <t xml:space="preserve"> TTG </t>
  </si>
  <si>
    <t xml:space="preserve">ENST00000295589 </t>
  </si>
  <si>
    <t xml:space="preserve">ENST00000350490 </t>
  </si>
  <si>
    <t xml:space="preserve">ENST00000375300 </t>
  </si>
  <si>
    <t xml:space="preserve">ENST00000547368 </t>
  </si>
  <si>
    <t xml:space="preserve">ENST00000312143 </t>
  </si>
  <si>
    <t xml:space="preserve">ENST00000249389 </t>
  </si>
  <si>
    <t xml:space="preserve"> AAG </t>
  </si>
  <si>
    <t xml:space="preserve">ENST00000366554 </t>
  </si>
  <si>
    <t xml:space="preserve"> CTG </t>
  </si>
  <si>
    <t xml:space="preserve"> CGC </t>
  </si>
  <si>
    <t xml:space="preserve">ENST00000638160 </t>
  </si>
  <si>
    <t xml:space="preserve">ENST00000326010 </t>
  </si>
  <si>
    <t xml:space="preserve">ENST00000275198 </t>
  </si>
  <si>
    <t xml:space="preserve">ENST00000636584 </t>
  </si>
  <si>
    <t xml:space="preserve">ENST00000382409 </t>
  </si>
  <si>
    <t xml:space="preserve">ENST00000340800 </t>
  </si>
  <si>
    <t xml:space="preserve">ENST00000298808 </t>
  </si>
  <si>
    <t xml:space="preserve">ENST00000248633 </t>
  </si>
  <si>
    <t xml:space="preserve">ENST00000372764 </t>
  </si>
  <si>
    <t xml:space="preserve">ENST00000289431 </t>
  </si>
  <si>
    <t xml:space="preserve">ENST00000556922 </t>
  </si>
  <si>
    <t xml:space="preserve">ENST00000374472 </t>
  </si>
  <si>
    <t xml:space="preserve">ENST00000276218 </t>
  </si>
  <si>
    <t xml:space="preserve">ENST00000378404 </t>
  </si>
  <si>
    <t xml:space="preserve">ENST00000359621 </t>
  </si>
  <si>
    <t xml:space="preserve"> TGC </t>
  </si>
  <si>
    <t xml:space="preserve">ENST00000375949 </t>
  </si>
  <si>
    <t xml:space="preserve">ENST00000375910 </t>
  </si>
  <si>
    <t xml:space="preserve">ENST00000344275 </t>
  </si>
  <si>
    <t xml:space="preserve">ENST00000379661 </t>
  </si>
  <si>
    <t xml:space="preserve">ENST00000373275 </t>
  </si>
  <si>
    <t xml:space="preserve">ENST00000298841 </t>
  </si>
  <si>
    <t xml:space="preserve"> aTG </t>
  </si>
  <si>
    <t xml:space="preserve">ENST00000366872 </t>
  </si>
  <si>
    <t xml:space="preserve">ENST00000637507 </t>
  </si>
  <si>
    <t xml:space="preserve"> AGC </t>
  </si>
  <si>
    <t xml:space="preserve">ENST00000337774 </t>
  </si>
  <si>
    <t xml:space="preserve">ENST00000355703 </t>
  </si>
  <si>
    <t xml:space="preserve"> NGG </t>
  </si>
  <si>
    <t xml:space="preserve">ENST00000366609 </t>
  </si>
  <si>
    <t xml:space="preserve">ENST00000519389 </t>
  </si>
  <si>
    <t xml:space="preserve">ENST00000315782 </t>
  </si>
  <si>
    <t xml:space="preserve"> ccg </t>
  </si>
  <si>
    <t xml:space="preserve">ENST00000302347 </t>
  </si>
  <si>
    <t xml:space="preserve"> AAC </t>
  </si>
  <si>
    <t xml:space="preserve">ENST00000325888 </t>
  </si>
  <si>
    <t xml:space="preserve"> atG </t>
  </si>
  <si>
    <t xml:space="preserve">ENST00000615648 </t>
  </si>
  <si>
    <t xml:space="preserve">ENST00000395209 </t>
  </si>
  <si>
    <t xml:space="preserve">ENST00000301607 </t>
  </si>
  <si>
    <t xml:space="preserve">ENST00000399134 </t>
  </si>
  <si>
    <t xml:space="preserve">ENST00000276079 </t>
  </si>
  <si>
    <t xml:space="preserve">ENST00000231887 </t>
  </si>
  <si>
    <t xml:space="preserve">ENST00000526986 </t>
  </si>
  <si>
    <t xml:space="preserve">ENST00000430714 </t>
  </si>
  <si>
    <t xml:space="preserve"> ttt </t>
  </si>
  <si>
    <t xml:space="preserve">ENST00000374869 </t>
  </si>
  <si>
    <t xml:space="preserve">ENST00000333027 </t>
  </si>
  <si>
    <t xml:space="preserve">ENST00000264934 </t>
  </si>
  <si>
    <t xml:space="preserve">ENST00000303460 </t>
  </si>
  <si>
    <t xml:space="preserve">ENST00000260197 </t>
  </si>
  <si>
    <t xml:space="preserve">ENST00000265171 </t>
  </si>
  <si>
    <t xml:space="preserve">ENST00000366903 </t>
  </si>
  <si>
    <t xml:space="preserve">ENST00000271532 </t>
  </si>
  <si>
    <t xml:space="preserve">ENST00000262839 </t>
  </si>
  <si>
    <t xml:space="preserve">ENST00000273482 </t>
  </si>
  <si>
    <t xml:space="preserve">ENST00000560955 </t>
  </si>
  <si>
    <t xml:space="preserve"> caG </t>
  </si>
  <si>
    <t xml:space="preserve">ENST00000542188 </t>
  </si>
  <si>
    <t xml:space="preserve">ENST00000380880 </t>
  </si>
  <si>
    <t xml:space="preserve">ENST00000405460 </t>
  </si>
  <si>
    <t xml:space="preserve"> ctt </t>
  </si>
  <si>
    <t xml:space="preserve">ENST00000396373 </t>
  </si>
  <si>
    <t xml:space="preserve">ENST00000454449 </t>
  </si>
  <si>
    <t xml:space="preserve"> ACC </t>
  </si>
  <si>
    <t xml:space="preserve">ENST00000245663 </t>
  </si>
  <si>
    <t xml:space="preserve">ENST00000264057 </t>
  </si>
  <si>
    <t xml:space="preserve">ENST00000529681 </t>
  </si>
  <si>
    <t xml:space="preserve"> TTA </t>
  </si>
  <si>
    <t xml:space="preserve">ENST00000621226 </t>
  </si>
  <si>
    <t xml:space="preserve"> GCA </t>
  </si>
  <si>
    <t xml:space="preserve">ENST00000228495 </t>
  </si>
  <si>
    <t xml:space="preserve">ENST00000493112 </t>
  </si>
  <si>
    <t xml:space="preserve">ENST00000301067 </t>
  </si>
  <si>
    <t xml:space="preserve">ENST00000219596 </t>
  </si>
  <si>
    <t xml:space="preserve">ENST00000327705 </t>
  </si>
  <si>
    <t xml:space="preserve">ENST00000338700 </t>
  </si>
  <si>
    <t xml:space="preserve">ENST00000282356 </t>
  </si>
  <si>
    <t xml:space="preserve">ENST00000377918 </t>
  </si>
  <si>
    <t xml:space="preserve"> ggc </t>
  </si>
  <si>
    <t xml:space="preserve">ENST00000617380 </t>
  </si>
  <si>
    <t xml:space="preserve">ENST00000306549 </t>
  </si>
  <si>
    <t xml:space="preserve">ENST00000330634 </t>
  </si>
  <si>
    <t xml:space="preserve">ENST00000468660 </t>
  </si>
  <si>
    <t xml:space="preserve"> gat </t>
  </si>
  <si>
    <t xml:space="preserve">ENST00000259915 </t>
  </si>
  <si>
    <t xml:space="preserve">ENST00000333640 </t>
  </si>
  <si>
    <t xml:space="preserve">ENST00000246841 </t>
  </si>
  <si>
    <t xml:space="preserve">ENST00000306087 </t>
  </si>
  <si>
    <t xml:space="preserve">ENST00000445369 </t>
  </si>
  <si>
    <t xml:space="preserve">ENST00000395614 </t>
  </si>
  <si>
    <t xml:space="preserve">ENST00000381971 </t>
  </si>
  <si>
    <t xml:space="preserve"> cct </t>
  </si>
  <si>
    <t xml:space="preserve">ENST00000429584 </t>
  </si>
  <si>
    <t xml:space="preserve">ENST00000258886 </t>
  </si>
  <si>
    <t xml:space="preserve"> tca </t>
  </si>
  <si>
    <t xml:space="preserve">ENST00000224721 </t>
  </si>
  <si>
    <t xml:space="preserve">ENST00000319769 </t>
  </si>
  <si>
    <t xml:space="preserve">ENST00000360802 </t>
  </si>
  <si>
    <t xml:space="preserve">ENST00000477922 </t>
  </si>
  <si>
    <t xml:space="preserve">ENST00000371026 </t>
  </si>
  <si>
    <t xml:space="preserve">ENST00000579490 </t>
  </si>
  <si>
    <t xml:space="preserve"> CCA </t>
  </si>
  <si>
    <t xml:space="preserve">ENST00000346246 </t>
  </si>
  <si>
    <t xml:space="preserve">ENST00000398556 </t>
  </si>
  <si>
    <t xml:space="preserve">ENST00000324856 </t>
  </si>
  <si>
    <t xml:space="preserve"> cCA </t>
  </si>
  <si>
    <t xml:space="preserve">ENST00000296518 </t>
  </si>
  <si>
    <t xml:space="preserve">ENST00000373686 </t>
  </si>
  <si>
    <t xml:space="preserve">ENST00000316770 </t>
  </si>
  <si>
    <t xml:space="preserve">ENST00000307552 </t>
  </si>
  <si>
    <t xml:space="preserve">ENST00000377147 </t>
  </si>
  <si>
    <t xml:space="preserve">ENST00000359610 </t>
  </si>
  <si>
    <t xml:space="preserve">ENST00000318244 </t>
  </si>
  <si>
    <t xml:space="preserve">ENST00000350513 </t>
  </si>
  <si>
    <t xml:space="preserve">ENST00000321688 </t>
  </si>
  <si>
    <t xml:space="preserve">ENST00000279791 </t>
  </si>
  <si>
    <t xml:space="preserve">ENST00000641310 </t>
  </si>
  <si>
    <t xml:space="preserve"> gGC </t>
  </si>
  <si>
    <t xml:space="preserve">ENST00000307002 </t>
  </si>
  <si>
    <t xml:space="preserve"> CTA </t>
  </si>
  <si>
    <t xml:space="preserve">ENST00000531945 </t>
  </si>
  <si>
    <t xml:space="preserve"> ATA </t>
  </si>
  <si>
    <t xml:space="preserve">ENST00000309562 </t>
  </si>
  <si>
    <t xml:space="preserve">ENST00000315915 </t>
  </si>
  <si>
    <t xml:space="preserve">ENST00000623530 </t>
  </si>
  <si>
    <t xml:space="preserve">ENST00000370103 </t>
  </si>
  <si>
    <t xml:space="preserve">ENST00000290894 </t>
  </si>
  <si>
    <t xml:space="preserve">ENST00000294794 </t>
  </si>
  <si>
    <t xml:space="preserve">ENST00000671878 </t>
  </si>
  <si>
    <t xml:space="preserve">ENST00000251973 </t>
  </si>
  <si>
    <t xml:space="preserve"> NCG </t>
  </si>
  <si>
    <t xml:space="preserve">ENST00000222584 </t>
  </si>
  <si>
    <t xml:space="preserve"> gtt </t>
  </si>
  <si>
    <t xml:space="preserve">ENST00000262811 </t>
  </si>
  <si>
    <t xml:space="preserve"> TCG </t>
  </si>
  <si>
    <t xml:space="preserve">ENST00000617620 </t>
  </si>
  <si>
    <t xml:space="preserve">ENST00000612548 </t>
  </si>
  <si>
    <t xml:space="preserve">ENST00000374166 </t>
  </si>
  <si>
    <t xml:space="preserve">ENST00000220166 </t>
  </si>
  <si>
    <t xml:space="preserve"> cac </t>
  </si>
  <si>
    <t xml:space="preserve">ENST00000217131 </t>
  </si>
  <si>
    <t xml:space="preserve"> ACG </t>
  </si>
  <si>
    <t xml:space="preserve">ENST00000303143 </t>
  </si>
  <si>
    <t xml:space="preserve">ENST00000375643 </t>
  </si>
  <si>
    <t xml:space="preserve">ENST00000287996 </t>
  </si>
  <si>
    <t xml:space="preserve"> CGT </t>
  </si>
  <si>
    <t xml:space="preserve">ENST00000375464 </t>
  </si>
  <si>
    <t xml:space="preserve"> GTT </t>
  </si>
  <si>
    <t xml:space="preserve">ENST00000381140 </t>
  </si>
  <si>
    <t xml:space="preserve"> AGA </t>
  </si>
  <si>
    <t xml:space="preserve">ENST00000420959 </t>
  </si>
  <si>
    <t xml:space="preserve">ENST00000374680 </t>
  </si>
  <si>
    <t xml:space="preserve">ENST00000406310 </t>
  </si>
  <si>
    <t xml:space="preserve">ENST00000412844 </t>
  </si>
  <si>
    <t xml:space="preserve">ENST00000526285 </t>
  </si>
  <si>
    <t xml:space="preserve">ENST00000380332 </t>
  </si>
  <si>
    <t xml:space="preserve">ENST00000261047 </t>
  </si>
  <si>
    <t xml:space="preserve">ENST00000277225 </t>
  </si>
  <si>
    <t xml:space="preserve">ENST00000080059 </t>
  </si>
  <si>
    <t xml:space="preserve">ENST00000296440 </t>
  </si>
  <si>
    <t xml:space="preserve">ENST00000318636 </t>
  </si>
  <si>
    <t xml:space="preserve">ENST00000649158 </t>
  </si>
  <si>
    <t xml:space="preserve">ENST00000389793 </t>
  </si>
  <si>
    <t xml:space="preserve">ENST00000614971 </t>
  </si>
  <si>
    <t xml:space="preserve">ENST00000275603 </t>
  </si>
  <si>
    <t xml:space="preserve">ENST00000398564 </t>
  </si>
  <si>
    <t xml:space="preserve">ENST00000290130 </t>
  </si>
  <si>
    <t xml:space="preserve">ENST00000300255 </t>
  </si>
  <si>
    <t xml:space="preserve">ENST00000433931 </t>
  </si>
  <si>
    <t xml:space="preserve">ENST00000166244 </t>
  </si>
  <si>
    <t xml:space="preserve">ENST00000427468 </t>
  </si>
  <si>
    <t xml:space="preserve">ENST00000382373 </t>
  </si>
  <si>
    <t xml:space="preserve">ENST00000259089 </t>
  </si>
  <si>
    <t xml:space="preserve">ENST00000541774 </t>
  </si>
  <si>
    <t xml:space="preserve">ENST00000397821 </t>
  </si>
  <si>
    <t xml:space="preserve">ENST00000263734 </t>
  </si>
  <si>
    <t xml:space="preserve">ENST00000427185 </t>
  </si>
  <si>
    <t xml:space="preserve">ENST00000335953 </t>
  </si>
  <si>
    <t xml:space="preserve">ENST00000255266 </t>
  </si>
  <si>
    <t xml:space="preserve">ENST00000359062 </t>
  </si>
  <si>
    <t xml:space="preserve">ENST00000253024 </t>
  </si>
  <si>
    <t xml:space="preserve">ENST00000622352 </t>
  </si>
  <si>
    <t xml:space="preserve">ENST00000334670 </t>
  </si>
  <si>
    <t xml:space="preserve"> tgc </t>
  </si>
  <si>
    <t xml:space="preserve">ENST00000400274 </t>
  </si>
  <si>
    <t xml:space="preserve">ENST00000249363 </t>
  </si>
  <si>
    <t xml:space="preserve">ENST00000338305 </t>
  </si>
  <si>
    <t xml:space="preserve">ENST00000281419 </t>
  </si>
  <si>
    <t xml:space="preserve">ENST00000239440 </t>
  </si>
  <si>
    <t xml:space="preserve">ENST00000359373 </t>
  </si>
  <si>
    <t xml:space="preserve">ENST00000348165 </t>
  </si>
  <si>
    <t xml:space="preserve">ENST00000339773 </t>
  </si>
  <si>
    <t xml:space="preserve"> ACT </t>
  </si>
  <si>
    <t xml:space="preserve">ENST00000636502 </t>
  </si>
  <si>
    <t xml:space="preserve">ENST00000218316 </t>
  </si>
  <si>
    <t xml:space="preserve">ENST00000391851 </t>
  </si>
  <si>
    <t xml:space="preserve">ENST00000396432 </t>
  </si>
  <si>
    <t xml:space="preserve">ENST00000373983 </t>
  </si>
  <si>
    <t xml:space="preserve">ENST00000249373 </t>
  </si>
  <si>
    <t xml:space="preserve">ENST00000636488 </t>
  </si>
  <si>
    <t xml:space="preserve">ENST00000240132 </t>
  </si>
  <si>
    <t xml:space="preserve">ENST00000232978 </t>
  </si>
  <si>
    <t xml:space="preserve">ENST00000001008 </t>
  </si>
  <si>
    <t xml:space="preserve">ENST00000665637 </t>
  </si>
  <si>
    <t xml:space="preserve"> acT </t>
  </si>
  <si>
    <t xml:space="preserve">ENST00000378943 </t>
  </si>
  <si>
    <t xml:space="preserve">ENST00000359591 </t>
  </si>
  <si>
    <t xml:space="preserve">ENST00000230640 </t>
  </si>
  <si>
    <t xml:space="preserve">ENST00000414423 </t>
  </si>
  <si>
    <t xml:space="preserve">ENST00000297904 </t>
  </si>
  <si>
    <t xml:space="preserve">ENST00000504169 </t>
  </si>
  <si>
    <t xml:space="preserve"> agg </t>
  </si>
  <si>
    <t xml:space="preserve">ENST00000359033 </t>
  </si>
  <si>
    <t xml:space="preserve">ENST00000339717 </t>
  </si>
  <si>
    <t xml:space="preserve">ENST00000354161 </t>
  </si>
  <si>
    <t xml:space="preserve">ENST00000343164 </t>
  </si>
  <si>
    <t xml:space="preserve">ENST00000219833 </t>
  </si>
  <si>
    <t xml:space="preserve">ENST00000296733 </t>
  </si>
  <si>
    <t xml:space="preserve">ENST00000534328 </t>
  </si>
  <si>
    <t xml:space="preserve"> gca </t>
  </si>
  <si>
    <t xml:space="preserve">ENST00000339824 </t>
  </si>
  <si>
    <t xml:space="preserve">ENST00000373615 </t>
  </si>
  <si>
    <t xml:space="preserve">ENST00000373585 </t>
  </si>
  <si>
    <t xml:space="preserve">ENST00000396821 </t>
  </si>
  <si>
    <t xml:space="preserve">ENST00000396172 </t>
  </si>
  <si>
    <t xml:space="preserve">ENST00000616987 </t>
  </si>
  <si>
    <t xml:space="preserve">ENST00000376452 </t>
  </si>
  <si>
    <t xml:space="preserve">ENST00000611883 </t>
  </si>
  <si>
    <t xml:space="preserve">ENST00000357582 </t>
  </si>
  <si>
    <t xml:space="preserve">ENST00000255381 </t>
  </si>
  <si>
    <t xml:space="preserve">ENST00000403437 </t>
  </si>
  <si>
    <t xml:space="preserve">ENST00000264651 </t>
  </si>
  <si>
    <t xml:space="preserve">ENST00000254043 </t>
  </si>
  <si>
    <t xml:space="preserve">ENST00000257901 </t>
  </si>
  <si>
    <t xml:space="preserve">ENST00000293525 </t>
  </si>
  <si>
    <t xml:space="preserve"> NNC </t>
  </si>
  <si>
    <t xml:space="preserve">ENST00000327741 </t>
  </si>
  <si>
    <t xml:space="preserve">ENST00000305748 </t>
  </si>
  <si>
    <t xml:space="preserve">ENST00000293745 </t>
  </si>
  <si>
    <t xml:space="preserve"> NGC </t>
  </si>
  <si>
    <t xml:space="preserve">ENST00000341809 </t>
  </si>
  <si>
    <t xml:space="preserve">ENST00000259750 </t>
  </si>
  <si>
    <t xml:space="preserve">ENST00000216181 </t>
  </si>
  <si>
    <t xml:space="preserve">ENST00000436535 </t>
  </si>
  <si>
    <t xml:space="preserve">ENST00000306378 </t>
  </si>
  <si>
    <t xml:space="preserve">ENST00000264661 </t>
  </si>
  <si>
    <t xml:space="preserve">ENST00000262186 </t>
  </si>
  <si>
    <t xml:space="preserve">ENST00000382891 </t>
  </si>
  <si>
    <t xml:space="preserve">ENST00000368346 </t>
  </si>
  <si>
    <t xml:space="preserve">ENST00000053867 </t>
  </si>
  <si>
    <t xml:space="preserve">ENST00000591680 </t>
  </si>
  <si>
    <t xml:space="preserve">ENST00000331780 </t>
  </si>
  <si>
    <t xml:space="preserve">ENST00000344686 </t>
  </si>
  <si>
    <t xml:space="preserve">ENST00000230085 </t>
  </si>
  <si>
    <t xml:space="preserve"> gcg </t>
  </si>
  <si>
    <t xml:space="preserve">ENST00000421745 </t>
  </si>
  <si>
    <t xml:space="preserve"> ttg </t>
  </si>
  <si>
    <t xml:space="preserve">ENST00000590474 </t>
  </si>
  <si>
    <t xml:space="preserve">ENST00000392554 </t>
  </si>
  <si>
    <t xml:space="preserve">ENST00000361725 </t>
  </si>
  <si>
    <t xml:space="preserve">ENST00000315757 </t>
  </si>
  <si>
    <t xml:space="preserve"> cca </t>
  </si>
  <si>
    <t xml:space="preserve">ENST00000428696 </t>
  </si>
  <si>
    <t xml:space="preserve">ENST00000395626 </t>
  </si>
  <si>
    <t xml:space="preserve">ENST00000449082 </t>
  </si>
  <si>
    <t xml:space="preserve">ENST00000251127 </t>
  </si>
  <si>
    <t xml:space="preserve">ENST00000348261 </t>
  </si>
  <si>
    <t xml:space="preserve">ENST00000327492 </t>
  </si>
  <si>
    <t xml:space="preserve">ENST00000303694 </t>
  </si>
  <si>
    <t xml:space="preserve">ENST00000393238 </t>
  </si>
  <si>
    <t xml:space="preserve">ENST00000357760 </t>
  </si>
  <si>
    <t xml:space="preserve">ENST00000446929 </t>
  </si>
  <si>
    <t xml:space="preserve">ENST00000367204 </t>
  </si>
  <si>
    <t xml:space="preserve">ENST00000347108 </t>
  </si>
  <si>
    <t xml:space="preserve">ENST00000318074 </t>
  </si>
  <si>
    <t xml:space="preserve">ENST00000286349 </t>
  </si>
  <si>
    <t xml:space="preserve">ENST00000565039 </t>
  </si>
  <si>
    <t xml:space="preserve">ENST00000268482 </t>
  </si>
  <si>
    <t xml:space="preserve">ENST00000359479 </t>
  </si>
  <si>
    <t xml:space="preserve">ENST00000355560 </t>
  </si>
  <si>
    <t xml:space="preserve">ENST00000291971 </t>
  </si>
  <si>
    <t xml:space="preserve"> GGt </t>
  </si>
  <si>
    <t xml:space="preserve"> Ggt </t>
  </si>
  <si>
    <t xml:space="preserve">ENST00000328600 </t>
  </si>
  <si>
    <t xml:space="preserve">ENST00000367721 </t>
  </si>
  <si>
    <t xml:space="preserve">ENST00000296302 </t>
  </si>
  <si>
    <t xml:space="preserve">ENST00000418724 </t>
  </si>
  <si>
    <t xml:space="preserve">ENST00000546300 </t>
  </si>
  <si>
    <t xml:space="preserve">ENST00000357324 </t>
  </si>
  <si>
    <t xml:space="preserve"> NCA </t>
  </si>
  <si>
    <t xml:space="preserve">ENST00000376755 </t>
  </si>
  <si>
    <t xml:space="preserve">ENST00000373795 </t>
  </si>
  <si>
    <t xml:space="preserve">ENST00000268893 </t>
  </si>
  <si>
    <t xml:space="preserve">ENST00000390652 </t>
  </si>
  <si>
    <t xml:space="preserve">ENST00000373294 </t>
  </si>
  <si>
    <t xml:space="preserve">ENST00000312106 </t>
  </si>
  <si>
    <t xml:space="preserve">ENST00000647536 </t>
  </si>
  <si>
    <t xml:space="preserve"> tta </t>
  </si>
  <si>
    <t xml:space="preserve">ENST00000408923 </t>
  </si>
  <si>
    <t xml:space="preserve">ENST00000297313 </t>
  </si>
  <si>
    <t xml:space="preserve">ENST00000421743 </t>
  </si>
  <si>
    <t xml:space="preserve">ENST00000296452 </t>
  </si>
  <si>
    <t xml:space="preserve">ENST00000359783 </t>
  </si>
  <si>
    <t xml:space="preserve">ENST00000329783 </t>
  </si>
  <si>
    <t xml:space="preserve">ENST00000296358 </t>
  </si>
  <si>
    <t xml:space="preserve"> ggt </t>
  </si>
  <si>
    <t xml:space="preserve">ENST00000337231 </t>
  </si>
  <si>
    <t xml:space="preserve"> CGG </t>
  </si>
  <si>
    <t xml:space="preserve">ENST00000301618 </t>
  </si>
  <si>
    <t xml:space="preserve">ENST00000392476 </t>
  </si>
  <si>
    <t xml:space="preserve">ENST00000439023 </t>
  </si>
  <si>
    <t xml:space="preserve">ENST00000255858 </t>
  </si>
  <si>
    <t xml:space="preserve">ENST00000402034 </t>
  </si>
  <si>
    <t xml:space="preserve">ENST00000336990 </t>
  </si>
  <si>
    <t xml:space="preserve">ENST00000315183 </t>
  </si>
  <si>
    <t xml:space="preserve">ENST00000420323 </t>
  </si>
  <si>
    <t xml:space="preserve">ENST00000360184 </t>
  </si>
  <si>
    <t xml:space="preserve">ENST00000276609 </t>
  </si>
  <si>
    <t xml:space="preserve">ENST00000340010 </t>
  </si>
  <si>
    <t xml:space="preserve">ENST00000508628 </t>
  </si>
  <si>
    <t xml:space="preserve">ENST00000307745 </t>
  </si>
  <si>
    <t xml:space="preserve">ENST00000253031 </t>
  </si>
  <si>
    <t xml:space="preserve">ENST00000349157 </t>
  </si>
  <si>
    <t xml:space="preserve">ENST00000218758 </t>
  </si>
  <si>
    <t xml:space="preserve"> cGC </t>
  </si>
  <si>
    <t xml:space="preserve">ENST00000597961 </t>
  </si>
  <si>
    <t xml:space="preserve">ENST00000360468 </t>
  </si>
  <si>
    <t xml:space="preserve">ENST00000370641 </t>
  </si>
  <si>
    <t xml:space="preserve">ENST00000389857 </t>
  </si>
  <si>
    <t xml:space="preserve">ENST00000318003 </t>
  </si>
  <si>
    <t xml:space="preserve">ENST00000671891 </t>
  </si>
  <si>
    <t xml:space="preserve">ENST00000644946 </t>
  </si>
  <si>
    <t xml:space="preserve">ENST00000370759 </t>
  </si>
  <si>
    <t xml:space="preserve">ENST00000263383 </t>
  </si>
  <si>
    <t xml:space="preserve">ENST00000263381 </t>
  </si>
  <si>
    <t xml:space="preserve">ENST00000328828 </t>
  </si>
  <si>
    <t xml:space="preserve">ENST00000409578 </t>
  </si>
  <si>
    <t xml:space="preserve">ENST00000223642 </t>
  </si>
  <si>
    <t xml:space="preserve">ENST00000159087 </t>
  </si>
  <si>
    <t xml:space="preserve"> cta </t>
  </si>
  <si>
    <t xml:space="preserve">ENST00000521381 </t>
  </si>
  <si>
    <t xml:space="preserve">ENST00000540385 </t>
  </si>
  <si>
    <t xml:space="preserve">ENST00000506599 </t>
  </si>
  <si>
    <t xml:space="preserve">ENST00000269919 </t>
  </si>
  <si>
    <t xml:space="preserve">ENST00000637120 </t>
  </si>
  <si>
    <t xml:space="preserve">ENST00000295228 </t>
  </si>
  <si>
    <t xml:space="preserve">ENST00000368630 </t>
  </si>
  <si>
    <t xml:space="preserve">ENST00000487146 </t>
  </si>
  <si>
    <t xml:space="preserve">ENST00000262812 </t>
  </si>
  <si>
    <t xml:space="preserve">ENST00000555938 </t>
  </si>
  <si>
    <t xml:space="preserve">ENST00000627490 </t>
  </si>
  <si>
    <t xml:space="preserve">ENST00000374695 </t>
  </si>
  <si>
    <t xml:space="preserve">ENST00000302342 </t>
  </si>
  <si>
    <t xml:space="preserve">ENST00000330710 </t>
  </si>
  <si>
    <t xml:space="preserve"> TAC </t>
  </si>
  <si>
    <t xml:space="preserve">ENST00000164227 </t>
  </si>
  <si>
    <t xml:space="preserve">ENST00000520908 </t>
  </si>
  <si>
    <t xml:space="preserve">ENST00000296702 </t>
  </si>
  <si>
    <t xml:space="preserve">ENST00000666210 </t>
  </si>
  <si>
    <t xml:space="preserve">ENST00000524983 </t>
  </si>
  <si>
    <t xml:space="preserve">ENST00000368586 </t>
  </si>
  <si>
    <t xml:space="preserve">ENST00000359678 </t>
  </si>
  <si>
    <t xml:space="preserve">ENST00000280665 </t>
  </si>
  <si>
    <t xml:space="preserve">ENST00000397132 </t>
  </si>
  <si>
    <t xml:space="preserve">ENST00000295591 </t>
  </si>
  <si>
    <t xml:space="preserve">ENST00000308521 </t>
  </si>
  <si>
    <t xml:space="preserve">ENST00000216099 </t>
  </si>
  <si>
    <t xml:space="preserve">ENST00000381568 </t>
  </si>
  <si>
    <t xml:space="preserve">ENST00000264705 </t>
  </si>
  <si>
    <t xml:space="preserve">ENST00000312562 </t>
  </si>
  <si>
    <t xml:space="preserve">ENST00000353609 </t>
  </si>
  <si>
    <t xml:space="preserve">ENST00000374434 </t>
  </si>
  <si>
    <t xml:space="preserve">ENST00000372042 </t>
  </si>
  <si>
    <t xml:space="preserve">ENST00000370197 </t>
  </si>
  <si>
    <t xml:space="preserve">ENST00000377889 </t>
  </si>
  <si>
    <t xml:space="preserve">ENST00000317578 </t>
  </si>
  <si>
    <t xml:space="preserve">ENST00000434431 </t>
  </si>
  <si>
    <t xml:space="preserve">ENST00000444189 </t>
  </si>
  <si>
    <t xml:space="preserve">ENST00000307221 </t>
  </si>
  <si>
    <t xml:space="preserve">ENST00000217939 </t>
  </si>
  <si>
    <t xml:space="preserve">ENST00000375442 </t>
  </si>
  <si>
    <t xml:space="preserve">ENST00000215957 </t>
  </si>
  <si>
    <t xml:space="preserve">ENST00000265113 </t>
  </si>
  <si>
    <t xml:space="preserve">ENST00000431446 </t>
  </si>
  <si>
    <t xml:space="preserve">ENST00000397801 </t>
  </si>
  <si>
    <t xml:space="preserve">ENST00000262633 </t>
  </si>
  <si>
    <t xml:space="preserve">ENST00000274569 </t>
  </si>
  <si>
    <t xml:space="preserve">ENST00000403946 </t>
  </si>
  <si>
    <t xml:space="preserve">ENST00000295133 </t>
  </si>
  <si>
    <t xml:space="preserve">ENST00000547270 </t>
  </si>
  <si>
    <t xml:space="preserve">ENST00000332690 </t>
  </si>
  <si>
    <t xml:space="preserve">ENST00000408916 </t>
  </si>
  <si>
    <t xml:space="preserve">ENST00000509877 </t>
  </si>
  <si>
    <t xml:space="preserve">ENST00000389758 </t>
  </si>
  <si>
    <t xml:space="preserve">ENST00000513312 </t>
  </si>
  <si>
    <t xml:space="preserve">ENST00000369162 </t>
  </si>
  <si>
    <t xml:space="preserve">ENST00000256996 </t>
  </si>
  <si>
    <t xml:space="preserve">ENST00000303586 </t>
  </si>
  <si>
    <t xml:space="preserve">ENST00000536220 </t>
  </si>
  <si>
    <t xml:space="preserve"> CAT </t>
  </si>
  <si>
    <t xml:space="preserve">ENST00000360187 </t>
  </si>
  <si>
    <t xml:space="preserve">ENST00000650709 </t>
  </si>
  <si>
    <t xml:space="preserve">ENST00000300835 </t>
  </si>
  <si>
    <t xml:space="preserve">ENST00000422689 </t>
  </si>
  <si>
    <t xml:space="preserve">ENST00000613197 </t>
  </si>
  <si>
    <t xml:space="preserve">ENST00000379942 </t>
  </si>
  <si>
    <t xml:space="preserve">ENST00000546363 </t>
  </si>
  <si>
    <t xml:space="preserve">ENST00000601808 </t>
  </si>
  <si>
    <t xml:space="preserve">ENST00000294256 </t>
  </si>
  <si>
    <t xml:space="preserve">ENST00000258214 </t>
  </si>
  <si>
    <t xml:space="preserve">ENST00000299237 </t>
  </si>
  <si>
    <t xml:space="preserve">ENST00000423479 </t>
  </si>
  <si>
    <t xml:space="preserve">ENST00000399300 </t>
  </si>
  <si>
    <t xml:space="preserve">ENST00000295874 </t>
  </si>
  <si>
    <t xml:space="preserve"> ACA </t>
  </si>
  <si>
    <t xml:space="preserve">ENST00000358540 </t>
  </si>
  <si>
    <t xml:space="preserve"> TGc </t>
  </si>
  <si>
    <t xml:space="preserve">ENST00000477554 </t>
  </si>
  <si>
    <t xml:space="preserve">ENST00000540096 </t>
  </si>
  <si>
    <t xml:space="preserve">ENST00000616559 </t>
  </si>
  <si>
    <t xml:space="preserve">ENST00000220959 </t>
  </si>
  <si>
    <t xml:space="preserve">ENST00000419474 </t>
  </si>
  <si>
    <t xml:space="preserve">ENST00000219368 </t>
  </si>
  <si>
    <t xml:space="preserve">ENST00000316721 </t>
  </si>
  <si>
    <t xml:space="preserve">ENST00000456806 </t>
  </si>
  <si>
    <t xml:space="preserve">ENST00000297142 </t>
  </si>
  <si>
    <t xml:space="preserve">ENST00000313341 </t>
  </si>
  <si>
    <t xml:space="preserve">ENST00000254321 </t>
  </si>
  <si>
    <t xml:space="preserve">ENST00000587557 </t>
  </si>
  <si>
    <t xml:space="preserve">ENST00000219406 </t>
  </si>
  <si>
    <t xml:space="preserve">ENST00000252891 </t>
  </si>
  <si>
    <t xml:space="preserve">ENST00000301305 </t>
  </si>
  <si>
    <t xml:space="preserve">ENST00000304060 </t>
  </si>
  <si>
    <t xml:space="preserve">ENST00000366956 </t>
  </si>
  <si>
    <t xml:space="preserve">ENST00000369068 </t>
  </si>
  <si>
    <t xml:space="preserve">ENST00000375483 </t>
  </si>
  <si>
    <t xml:space="preserve">ENST00000202556 </t>
  </si>
  <si>
    <t xml:space="preserve">ENST00000263266 </t>
  </si>
  <si>
    <t xml:space="preserve">ENST00000373257 </t>
  </si>
  <si>
    <t xml:space="preserve">ENST00000217026 </t>
  </si>
  <si>
    <t xml:space="preserve">ENST00000305879 </t>
  </si>
  <si>
    <t xml:space="preserve">ENST00000250076 </t>
  </si>
  <si>
    <t xml:space="preserve">ENST00000327979 </t>
  </si>
  <si>
    <t xml:space="preserve">ENST00000244051 </t>
  </si>
  <si>
    <t xml:space="preserve">ENST00000393655 </t>
  </si>
  <si>
    <t xml:space="preserve">ENST00000314425 </t>
  </si>
  <si>
    <t xml:space="preserve">ENST00000357552 </t>
  </si>
  <si>
    <t xml:space="preserve"> ttA </t>
  </si>
  <si>
    <t xml:space="preserve">ENST00000382448 </t>
  </si>
  <si>
    <t xml:space="preserve">ENST00000452633 </t>
  </si>
  <si>
    <t xml:space="preserve">ENST00000397272 </t>
  </si>
  <si>
    <t xml:space="preserve">ENST00000574426 </t>
  </si>
  <si>
    <t xml:space="preserve">ENST00000396852 </t>
  </si>
  <si>
    <t xml:space="preserve">ENST00000370764 </t>
  </si>
  <si>
    <t xml:space="preserve">ENST00000206020 </t>
  </si>
  <si>
    <t xml:space="preserve">ENST00000216962 </t>
  </si>
  <si>
    <t xml:space="preserve">ENST00000336431 </t>
  </si>
  <si>
    <t xml:space="preserve">ENST00000374541 </t>
  </si>
  <si>
    <t xml:space="preserve">ENST00000252015 </t>
  </si>
  <si>
    <t xml:space="preserve">ENST00000219091 </t>
  </si>
  <si>
    <t xml:space="preserve">ENST00000372972 </t>
  </si>
  <si>
    <t xml:space="preserve">ENST00000253003 </t>
  </si>
  <si>
    <t xml:space="preserve">ENST00000445091 </t>
  </si>
  <si>
    <t xml:space="preserve">ENST00000436629 </t>
  </si>
  <si>
    <t xml:space="preserve">ENST00000270451 </t>
  </si>
  <si>
    <t xml:space="preserve">ENST00000380274 </t>
  </si>
  <si>
    <t xml:space="preserve">ENST00000316650 </t>
  </si>
  <si>
    <t xml:space="preserve">ENST00000380211 </t>
  </si>
  <si>
    <t xml:space="preserve">ENST00000331380 </t>
  </si>
  <si>
    <t xml:space="preserve">ENST00000331128 </t>
  </si>
  <si>
    <t xml:space="preserve">ENST00000373255 </t>
  </si>
  <si>
    <t xml:space="preserve">ENST00000357484 </t>
  </si>
  <si>
    <t xml:space="preserve">ENST00000398333 </t>
  </si>
  <si>
    <t xml:space="preserve">ENST00000373079 </t>
  </si>
  <si>
    <t xml:space="preserve">ENST00000323061 </t>
  </si>
  <si>
    <t xml:space="preserve">ENST00000223428 </t>
  </si>
  <si>
    <t xml:space="preserve">ENST00000449934 </t>
  </si>
  <si>
    <t xml:space="preserve">ENST00000319167 </t>
  </si>
  <si>
    <t xml:space="preserve">ENST00000220592 </t>
  </si>
  <si>
    <t xml:space="preserve">ENST00000376621 </t>
  </si>
  <si>
    <t xml:space="preserve">ENST00000272091 </t>
  </si>
  <si>
    <t xml:space="preserve">ENST00000638417 </t>
  </si>
  <si>
    <t xml:space="preserve">ENST00000372771 </t>
  </si>
  <si>
    <t xml:space="preserve"> acc </t>
  </si>
  <si>
    <t xml:space="preserve">ENST00000311044 </t>
  </si>
  <si>
    <t xml:space="preserve">ENST00000606738 </t>
  </si>
  <si>
    <t xml:space="preserve">ENST00000371614 </t>
  </si>
  <si>
    <t xml:space="preserve">ENST00000298289 </t>
  </si>
  <si>
    <t xml:space="preserve">ENST00000375135 </t>
  </si>
  <si>
    <t xml:space="preserve">ENST00000230354 </t>
  </si>
  <si>
    <t xml:space="preserve">ENST00000246043 </t>
  </si>
  <si>
    <t xml:space="preserve">ENST00000395116 </t>
  </si>
  <si>
    <t xml:space="preserve">ENST00000424985 </t>
  </si>
  <si>
    <t xml:space="preserve">ENST00000361956 </t>
  </si>
  <si>
    <t xml:space="preserve">ENST00000252268 </t>
  </si>
  <si>
    <t xml:space="preserve">ENST00000261973 </t>
  </si>
  <si>
    <t xml:space="preserve">ENST00000238651 </t>
  </si>
  <si>
    <t xml:space="preserve">ENST00000311148 </t>
  </si>
  <si>
    <t xml:space="preserve">ENST00000325680 </t>
  </si>
  <si>
    <t xml:space="preserve">ENST00000280346 </t>
  </si>
  <si>
    <t xml:space="preserve">ENST00000426086 </t>
  </si>
  <si>
    <t xml:space="preserve">ENST00000262225 </t>
  </si>
  <si>
    <t xml:space="preserve">ENST00000238667 </t>
  </si>
  <si>
    <t xml:space="preserve">ENST00000322224 </t>
  </si>
  <si>
    <t xml:space="preserve">ENST00000409168 </t>
  </si>
  <si>
    <t xml:space="preserve">ENST00000369886 </t>
  </si>
  <si>
    <t xml:space="preserve">ENST00000305232 </t>
  </si>
  <si>
    <t xml:space="preserve">ENST00000257261 </t>
  </si>
  <si>
    <t xml:space="preserve">ENST00000368804 </t>
  </si>
  <si>
    <t xml:space="preserve">ENST00000595444 </t>
  </si>
  <si>
    <t xml:space="preserve">ENST00000338042 </t>
  </si>
  <si>
    <t xml:space="preserve">ENST00000195649 </t>
  </si>
  <si>
    <t xml:space="preserve">ENST00000358752 </t>
  </si>
  <si>
    <t xml:space="preserve">ENST00000317357 </t>
  </si>
  <si>
    <t xml:space="preserve">ENST00000325486 </t>
  </si>
  <si>
    <t xml:space="preserve">ENST00000343289 </t>
  </si>
  <si>
    <t xml:space="preserve">ENST00000265018 </t>
  </si>
  <si>
    <t xml:space="preserve">ENST00000573100 </t>
  </si>
  <si>
    <t xml:space="preserve">ENST00000245105 </t>
  </si>
  <si>
    <t xml:space="preserve">ENST00000278070 </t>
  </si>
  <si>
    <t xml:space="preserve">ENST00000374314 </t>
  </si>
  <si>
    <t xml:space="preserve">ENST00000448521 </t>
  </si>
  <si>
    <t xml:space="preserve">ENST00000265801 </t>
  </si>
  <si>
    <t xml:space="preserve">ENST00000329152 </t>
  </si>
  <si>
    <t xml:space="preserve">ENST00000306125 </t>
  </si>
  <si>
    <t xml:space="preserve">ENST00000332912 </t>
  </si>
  <si>
    <t xml:space="preserve">ENST00000268712 </t>
  </si>
  <si>
    <t xml:space="preserve">ENST00000361742 </t>
  </si>
  <si>
    <t xml:space="preserve">ENST00000331238 </t>
  </si>
  <si>
    <t xml:space="preserve">ENST00000336078 </t>
  </si>
  <si>
    <t xml:space="preserve">ENST00000299927 </t>
  </si>
  <si>
    <t xml:space="preserve">ENST00000373142 </t>
  </si>
  <si>
    <t xml:space="preserve">ENST00000388711 </t>
  </si>
  <si>
    <t xml:space="preserve">ENST00000374884 </t>
  </si>
  <si>
    <t xml:space="preserve">ENST00000328278 </t>
  </si>
  <si>
    <t xml:space="preserve">ENST00000374169 </t>
  </si>
  <si>
    <t xml:space="preserve">ENST00000309976 </t>
  </si>
  <si>
    <t xml:space="preserve">ENST00000242108 </t>
  </si>
  <si>
    <t xml:space="preserve">ENST00000306984 </t>
  </si>
  <si>
    <t xml:space="preserve">ENST00000297283 </t>
  </si>
  <si>
    <t xml:space="preserve">ENST00000355451 </t>
  </si>
  <si>
    <t xml:space="preserve">ENST00000611351 </t>
  </si>
  <si>
    <t xml:space="preserve">ENST00000265136 </t>
  </si>
  <si>
    <t xml:space="preserve">ENST00000593767 </t>
  </si>
  <si>
    <t xml:space="preserve">ENST00000324432 </t>
  </si>
  <si>
    <t xml:space="preserve">ENST00000222969 </t>
  </si>
  <si>
    <t xml:space="preserve">ENST00000372838 </t>
  </si>
  <si>
    <t xml:space="preserve">ENST00000373563 </t>
  </si>
  <si>
    <t xml:space="preserve">ENST00000292566 </t>
  </si>
  <si>
    <t xml:space="preserve">ENST00000310380 </t>
  </si>
  <si>
    <t xml:space="preserve">ENST00000284476 </t>
  </si>
  <si>
    <t xml:space="preserve">ENST00000361445 </t>
  </si>
  <si>
    <t xml:space="preserve">ENST00000409262 </t>
  </si>
  <si>
    <t xml:space="preserve">ENST00000405356 </t>
  </si>
  <si>
    <t xml:space="preserve">ENST00000377022 </t>
  </si>
  <si>
    <t xml:space="preserve">ENST00000312912 </t>
  </si>
  <si>
    <t xml:space="preserve">ENST00000312841 </t>
  </si>
  <si>
    <t xml:space="preserve">ENST00000374144 </t>
  </si>
  <si>
    <t xml:space="preserve">ENST00000263265 </t>
  </si>
  <si>
    <t xml:space="preserve">ENST00000394810 </t>
  </si>
  <si>
    <t xml:space="preserve">ENST00000614444 </t>
  </si>
  <si>
    <t xml:space="preserve">ENST00000622211 </t>
  </si>
  <si>
    <t xml:space="preserve">ENST00000373930 </t>
  </si>
  <si>
    <t xml:space="preserve"> agT </t>
  </si>
  <si>
    <t xml:space="preserve">ENST00000309983 </t>
  </si>
  <si>
    <t xml:space="preserve">ENST00000264712 </t>
  </si>
  <si>
    <t xml:space="preserve">ENST00000343684 </t>
  </si>
  <si>
    <t xml:space="preserve">ENST00000376881 </t>
  </si>
  <si>
    <t xml:space="preserve">ENST00000260753 </t>
  </si>
  <si>
    <t xml:space="preserve">ENST00000294064 </t>
  </si>
  <si>
    <t xml:space="preserve">ENST00000247087 </t>
  </si>
  <si>
    <t xml:space="preserve">ENST00000615916 </t>
  </si>
  <si>
    <t xml:space="preserve">ENST00000370025 </t>
  </si>
  <si>
    <t xml:space="preserve">ENST00000308874 </t>
  </si>
  <si>
    <t xml:space="preserve">ENST00000339394 </t>
  </si>
  <si>
    <t xml:space="preserve">ENST00000431635 </t>
  </si>
  <si>
    <t xml:space="preserve">ENST00000394859 </t>
  </si>
  <si>
    <t xml:space="preserve">ENST00000394077 </t>
  </si>
  <si>
    <t xml:space="preserve"> aGG </t>
  </si>
  <si>
    <t xml:space="preserve">ENST00000360726 </t>
  </si>
  <si>
    <t xml:space="preserve">ENST00000267064 </t>
  </si>
  <si>
    <t xml:space="preserve">ENST00000187397 </t>
  </si>
  <si>
    <t xml:space="preserve">ENST00000369620 </t>
  </si>
  <si>
    <t xml:space="preserve">ENST00000375500 </t>
  </si>
  <si>
    <t xml:space="preserve">ENST00000375318 </t>
  </si>
  <si>
    <t xml:space="preserve">ENST00000358894 </t>
  </si>
  <si>
    <t xml:space="preserve">ENST00000266671 </t>
  </si>
  <si>
    <t xml:space="preserve">ENST00000322507 </t>
  </si>
  <si>
    <t xml:space="preserve">ENST00000339839 </t>
  </si>
  <si>
    <t xml:space="preserve">ENST00000436874 </t>
  </si>
  <si>
    <t xml:space="preserve">ENST00000371897 </t>
  </si>
  <si>
    <t xml:space="preserve">ENST00000229277 </t>
  </si>
  <si>
    <t xml:space="preserve">ENST00000346134 </t>
  </si>
  <si>
    <t xml:space="preserve">ENST00000264230 </t>
  </si>
  <si>
    <t xml:space="preserve">ENST00000226355 </t>
  </si>
  <si>
    <t xml:space="preserve">ENST00000356260 </t>
  </si>
  <si>
    <t xml:space="preserve">ENST00000381922 </t>
  </si>
  <si>
    <t xml:space="preserve">ENST00000303635 </t>
  </si>
  <si>
    <t xml:space="preserve"> cAG </t>
  </si>
  <si>
    <t xml:space="preserve">ENST00000404991 </t>
  </si>
  <si>
    <t xml:space="preserve">ENST00000475092 </t>
  </si>
  <si>
    <t xml:space="preserve"> gac </t>
  </si>
  <si>
    <t xml:space="preserve">ENST00000223129 </t>
  </si>
  <si>
    <t xml:space="preserve">ENST00000311101 </t>
  </si>
  <si>
    <t xml:space="preserve">ENST00000639401 </t>
  </si>
  <si>
    <t xml:space="preserve">ENST00000253332 </t>
  </si>
  <si>
    <t xml:space="preserve">ENST00000317799 </t>
  </si>
  <si>
    <t xml:space="preserve">ENST00000361499 </t>
  </si>
  <si>
    <t xml:space="preserve">ENST00000318911 </t>
  </si>
  <si>
    <t xml:space="preserve">ENST00000292894 </t>
  </si>
  <si>
    <t xml:space="preserve">ENST00000616140 </t>
  </si>
  <si>
    <t xml:space="preserve">ENST00000381461 </t>
  </si>
  <si>
    <t xml:space="preserve">ENST00000377028 </t>
  </si>
  <si>
    <t xml:space="preserve">ENST00000380821 </t>
  </si>
  <si>
    <t xml:space="preserve">ENST00000537259 </t>
  </si>
  <si>
    <t xml:space="preserve">ENST00000252674 </t>
  </si>
  <si>
    <t xml:space="preserve">ENST00000377844 </t>
  </si>
  <si>
    <t xml:space="preserve">ENST00000359942 </t>
  </si>
  <si>
    <t xml:space="preserve">ENST00000359358 </t>
  </si>
  <si>
    <t xml:space="preserve">ENST00000586329 </t>
  </si>
  <si>
    <t xml:space="preserve">ENST00000441068 </t>
  </si>
  <si>
    <t xml:space="preserve">ENST00000334801 </t>
  </si>
  <si>
    <t xml:space="preserve">ENST00000377674 </t>
  </si>
  <si>
    <t xml:space="preserve">ENST00000376423 </t>
  </si>
  <si>
    <t xml:space="preserve"> aag </t>
  </si>
  <si>
    <t xml:space="preserve">ENST00000315869 </t>
  </si>
  <si>
    <t xml:space="preserve"> NNT </t>
  </si>
  <si>
    <t xml:space="preserve">ENST00000358871 </t>
  </si>
  <si>
    <t xml:space="preserve"> Agg </t>
  </si>
  <si>
    <t xml:space="preserve">ENST00000374177 </t>
  </si>
  <si>
    <t xml:space="preserve"> Aga </t>
  </si>
  <si>
    <t xml:space="preserve">ENST00000609883 </t>
  </si>
  <si>
    <t xml:space="preserve">ENST00000299626 </t>
  </si>
  <si>
    <t xml:space="preserve">ENST00000294053 </t>
  </si>
  <si>
    <t xml:space="preserve">ENST00000300738 </t>
  </si>
  <si>
    <t xml:space="preserve">ENST00000441159 </t>
  </si>
  <si>
    <t xml:space="preserve">ENST00000216268 </t>
  </si>
  <si>
    <t xml:space="preserve">ENST00000488943 </t>
  </si>
  <si>
    <t xml:space="preserve"> cgc </t>
  </si>
  <si>
    <t xml:space="preserve">ENST00000410053 </t>
  </si>
  <si>
    <t xml:space="preserve">ENST00000321617 </t>
  </si>
  <si>
    <t xml:space="preserve"> ATg </t>
  </si>
  <si>
    <t xml:space="preserve">ENST00000649368 </t>
  </si>
  <si>
    <t xml:space="preserve">ENST00000334398 </t>
  </si>
  <si>
    <t xml:space="preserve">ENST00000418929 </t>
  </si>
  <si>
    <t xml:space="preserve">ENST00000287275 </t>
  </si>
  <si>
    <t xml:space="preserve">ENST00000300079 </t>
  </si>
  <si>
    <t xml:space="preserve">ENST00000301788 </t>
  </si>
  <si>
    <t xml:space="preserve">ENST00000528367 </t>
  </si>
  <si>
    <t xml:space="preserve">ENST00000371927 </t>
  </si>
  <si>
    <t xml:space="preserve">ENST00000353917 </t>
  </si>
  <si>
    <t xml:space="preserve">ENST00000389398 </t>
  </si>
  <si>
    <t xml:space="preserve"> agG </t>
  </si>
  <si>
    <t xml:space="preserve">ENST00000371316 </t>
  </si>
  <si>
    <t xml:space="preserve">ENST00000317552 </t>
  </si>
  <si>
    <t xml:space="preserve">ENST00000334634 </t>
  </si>
  <si>
    <t xml:space="preserve">ENST00000305135 </t>
  </si>
  <si>
    <t>Transcript</t>
  </si>
  <si>
    <t>Species_start</t>
  </si>
  <si>
    <t>Ref_start</t>
  </si>
  <si>
    <t>Species_length</t>
  </si>
  <si>
    <t>Ref_length</t>
  </si>
  <si>
    <t>Percent_diff</t>
  </si>
  <si>
    <t>Stop_present?</t>
  </si>
  <si>
    <t>No_of_stops</t>
  </si>
  <si>
    <t>Pos_of_1st_stop</t>
  </si>
  <si>
    <t>TranscriptID</t>
  </si>
  <si>
    <t>ENST00000358906</t>
  </si>
  <si>
    <t>AGC</t>
  </si>
  <si>
    <t>ATG</t>
  </si>
  <si>
    <t>ENST00000359228</t>
  </si>
  <si>
    <t>GCC</t>
  </si>
  <si>
    <t>ENST00000348459</t>
  </si>
  <si>
    <t>ENST00000355832</t>
  </si>
  <si>
    <t>ENST00000264079</t>
  </si>
  <si>
    <t>tct</t>
  </si>
  <si>
    <t>ENST00000343998</t>
  </si>
  <si>
    <t>GGC</t>
  </si>
  <si>
    <t>TGC</t>
  </si>
  <si>
    <t>ENST00000420781</t>
  </si>
  <si>
    <t>gat</t>
  </si>
  <si>
    <t>ENST00000260502</t>
  </si>
  <si>
    <t>ENST00000315033</t>
  </si>
  <si>
    <t>ENST00000344001</t>
  </si>
  <si>
    <t>ENST00000313237</t>
  </si>
  <si>
    <t>CGT</t>
  </si>
  <si>
    <t>CAG</t>
  </si>
  <si>
    <t>ENST00000291582</t>
  </si>
  <si>
    <t>GAG</t>
  </si>
  <si>
    <t>GAC</t>
  </si>
  <si>
    <t>ENST00000248244</t>
  </si>
  <si>
    <t>CCG</t>
  </si>
  <si>
    <t>ENST00000251076</t>
  </si>
  <si>
    <t>GAA</t>
  </si>
  <si>
    <t>ENST00000326648</t>
  </si>
  <si>
    <t>ENST00000164247</t>
  </si>
  <si>
    <t>ENST00000339365</t>
  </si>
  <si>
    <t>ENST00000618155</t>
  </si>
  <si>
    <t>ENST00000252102</t>
  </si>
  <si>
    <t>ENST00000270509</t>
  </si>
  <si>
    <t>ENST00000295628</t>
  </si>
  <si>
    <t>NCC</t>
  </si>
  <si>
    <t>ENST00000272845</t>
  </si>
  <si>
    <t>TAT</t>
  </si>
  <si>
    <t>ENST00000264158</t>
  </si>
  <si>
    <t>tcg</t>
  </si>
  <si>
    <t>CCC</t>
  </si>
  <si>
    <t>ENST00000547378</t>
  </si>
  <si>
    <t>ENST00000281741</t>
  </si>
  <si>
    <t>ENST00000216416</t>
  </si>
  <si>
    <t>cta</t>
  </si>
  <si>
    <t>ENST00000347136</t>
  </si>
  <si>
    <t>CAC</t>
  </si>
  <si>
    <t>LRRC8E</t>
  </si>
  <si>
    <t>ENST00000636457</t>
  </si>
  <si>
    <t>ENST00000425361</t>
  </si>
  <si>
    <t>GGA</t>
  </si>
  <si>
    <t>ENST00000294600</t>
  </si>
  <si>
    <t>GGG</t>
  </si>
  <si>
    <t>ENST00000216038</t>
  </si>
  <si>
    <t>AAG</t>
  </si>
  <si>
    <t>FBLN2</t>
  </si>
  <si>
    <t>ENST00000258428</t>
  </si>
  <si>
    <t>ENST00000255198</t>
  </si>
  <si>
    <t>ENST00000395338</t>
  </si>
  <si>
    <t>ENST00000245934</t>
  </si>
  <si>
    <t>ENST00000399645</t>
  </si>
  <si>
    <t>TCT</t>
  </si>
  <si>
    <t>tgc</t>
  </si>
  <si>
    <t>TFAP4</t>
  </si>
  <si>
    <t>ENST00000312251</t>
  </si>
  <si>
    <t>AGT</t>
  </si>
  <si>
    <t>METTL22</t>
  </si>
  <si>
    <t>ENST00000257359</t>
  </si>
  <si>
    <t>ENST00000320574</t>
  </si>
  <si>
    <t>AGG</t>
  </si>
  <si>
    <t>ENST00000266880</t>
  </si>
  <si>
    <t>GGT</t>
  </si>
  <si>
    <t>ENST00000330475</t>
  </si>
  <si>
    <t>ccc</t>
  </si>
  <si>
    <t>ENST00000331256</t>
  </si>
  <si>
    <t>TCC</t>
  </si>
  <si>
    <t>ENST00000271836</t>
  </si>
  <si>
    <t>ENST00000221972</t>
  </si>
  <si>
    <t>CTC</t>
  </si>
  <si>
    <t>ENST00000244289</t>
  </si>
  <si>
    <t>GTA</t>
  </si>
  <si>
    <t>ENST00000244314</t>
  </si>
  <si>
    <t>ggg</t>
  </si>
  <si>
    <t>ENST00000637974</t>
  </si>
  <si>
    <t>ENST00000341505</t>
  </si>
  <si>
    <t>ENST00000221455</t>
  </si>
  <si>
    <t>ENST00000254035</t>
  </si>
  <si>
    <t>ENST00000309424</t>
  </si>
  <si>
    <t>ENST00000396720</t>
  </si>
  <si>
    <t>ENST00000328759</t>
  </si>
  <si>
    <t>agg</t>
  </si>
  <si>
    <t>ENST00000312457</t>
  </si>
  <si>
    <t>ENST00000291715</t>
  </si>
  <si>
    <t>ENST00000254661</t>
  </si>
  <si>
    <t>TTC</t>
  </si>
  <si>
    <t>ENST00000388934</t>
  </si>
  <si>
    <t>ENST00000318407</t>
  </si>
  <si>
    <t>ENST00000254900</t>
  </si>
  <si>
    <t>ENST00000263636</t>
  </si>
  <si>
    <t>ENST00000504764</t>
  </si>
  <si>
    <t>ENST00000373388</t>
  </si>
  <si>
    <t>ENST00000535504</t>
  </si>
  <si>
    <t>ENST00000403263</t>
  </si>
  <si>
    <t>cag</t>
  </si>
  <si>
    <t>ENST00000333924</t>
  </si>
  <si>
    <t>ENST00000334651</t>
  </si>
  <si>
    <t>NGC</t>
  </si>
  <si>
    <t>TGT</t>
  </si>
  <si>
    <t>ENST00000372902</t>
  </si>
  <si>
    <t>ENST00000265881</t>
  </si>
  <si>
    <t>atT</t>
  </si>
  <si>
    <t>ENST00000284292</t>
  </si>
  <si>
    <t>gag</t>
  </si>
  <si>
    <t>ENST00000357156</t>
  </si>
  <si>
    <t>ENST00000230053</t>
  </si>
  <si>
    <t>ttc</t>
  </si>
  <si>
    <t>ENST00000360982</t>
  </si>
  <si>
    <t>CTT</t>
  </si>
  <si>
    <t>ENST00000260926</t>
  </si>
  <si>
    <t>ENST00000332624</t>
  </si>
  <si>
    <t>ENST00000286195</t>
  </si>
  <si>
    <t>ttg</t>
  </si>
  <si>
    <t>ENST00000288912</t>
  </si>
  <si>
    <t>ENST00000376608</t>
  </si>
  <si>
    <t>ENST00000381718</t>
  </si>
  <si>
    <t>NNN</t>
  </si>
  <si>
    <t>GCA</t>
  </si>
  <si>
    <t>ENST00000368525</t>
  </si>
  <si>
    <t>ACC</t>
  </si>
  <si>
    <t>ENST00000368467</t>
  </si>
  <si>
    <t>GTT</t>
  </si>
  <si>
    <t>ENST00000302000</t>
  </si>
  <si>
    <t>CAT</t>
  </si>
  <si>
    <t>ENST00000368399</t>
  </si>
  <si>
    <t>CGG</t>
  </si>
  <si>
    <t>ENST00000368318</t>
  </si>
  <si>
    <t>CAA</t>
  </si>
  <si>
    <t>ENST00000612353</t>
  </si>
  <si>
    <t>ENST00000368223</t>
  </si>
  <si>
    <t>ENST00000289707</t>
  </si>
  <si>
    <t>ENST00000355999</t>
  </si>
  <si>
    <t>ENST00000431696</t>
  </si>
  <si>
    <t>GTG</t>
  </si>
  <si>
    <t>ENST00000367817</t>
  </si>
  <si>
    <t>ENST00000289672</t>
  </si>
  <si>
    <t>ENST00000372480</t>
  </si>
  <si>
    <t>ENST00000299338</t>
  </si>
  <si>
    <t>AAA</t>
  </si>
  <si>
    <t>ENST00000310397</t>
  </si>
  <si>
    <t>ENST00000538696</t>
  </si>
  <si>
    <t>ENST00000634353</t>
  </si>
  <si>
    <t>ctc</t>
  </si>
  <si>
    <t>ENST00000415614</t>
  </si>
  <si>
    <t>ENST00000414716</t>
  </si>
  <si>
    <t>TCG</t>
  </si>
  <si>
    <t>ENST00000597229</t>
  </si>
  <si>
    <t>ENST00000333598</t>
  </si>
  <si>
    <t>ENST00000322912</t>
  </si>
  <si>
    <t>TTA</t>
  </si>
  <si>
    <t>ENST00000260404</t>
  </si>
  <si>
    <t>ENST00000427860</t>
  </si>
  <si>
    <t>ENST00000271583</t>
  </si>
  <si>
    <t>gaa</t>
  </si>
  <si>
    <t>ENST00000334661</t>
  </si>
  <si>
    <t>ENST00000279230</t>
  </si>
  <si>
    <t>ENST00000371757</t>
  </si>
  <si>
    <t>ENST00000013125</t>
  </si>
  <si>
    <t>gct</t>
  </si>
  <si>
    <t>ENST00000263831</t>
  </si>
  <si>
    <t>ACA</t>
  </si>
  <si>
    <t>ENST00000573099</t>
  </si>
  <si>
    <t>tGG</t>
  </si>
  <si>
    <t>ENST00000344415</t>
  </si>
  <si>
    <t>ENST00000523939</t>
  </si>
  <si>
    <t>gca</t>
  </si>
  <si>
    <t>CTG</t>
  </si>
  <si>
    <t>ENST00000395862</t>
  </si>
  <si>
    <t>ENST00000604414</t>
  </si>
  <si>
    <t>ctt</t>
  </si>
  <si>
    <t>ENST00000311575</t>
  </si>
  <si>
    <t>ENST00000616276</t>
  </si>
  <si>
    <t>AVEN</t>
  </si>
  <si>
    <t>ENST00000262213</t>
  </si>
  <si>
    <t>ENST00000370367</t>
  </si>
  <si>
    <t>ENST00000369393</t>
  </si>
  <si>
    <t>aca</t>
  </si>
  <si>
    <t>ENST00000395811</t>
  </si>
  <si>
    <t>ENST00000255389</t>
  </si>
  <si>
    <t>ENST00000361204</t>
  </si>
  <si>
    <t>ENST00000402881</t>
  </si>
  <si>
    <t>SLC38A7</t>
  </si>
  <si>
    <t>ENST00000324382</t>
  </si>
  <si>
    <t>ENST00000155674</t>
  </si>
  <si>
    <t>ENST00000309083</t>
  </si>
  <si>
    <t>ENST00000254260</t>
  </si>
  <si>
    <t>ENST00000222304</t>
  </si>
  <si>
    <t>THUMPD1</t>
  </si>
  <si>
    <t>ENST00000243189</t>
  </si>
  <si>
    <t>ENST00000344777</t>
  </si>
  <si>
    <t>ATT</t>
  </si>
  <si>
    <t>ENST00000251195</t>
  </si>
  <si>
    <t>ENST00000308733</t>
  </si>
  <si>
    <t>ENST00000378930</t>
  </si>
  <si>
    <t>GCT</t>
  </si>
  <si>
    <t>ENST00000307503</t>
  </si>
  <si>
    <t>ENST00000253692</t>
  </si>
  <si>
    <t>ENST00000636672</t>
  </si>
  <si>
    <t>ACG</t>
  </si>
  <si>
    <t>ENST00000375069</t>
  </si>
  <si>
    <t>atg</t>
  </si>
  <si>
    <t>ENST00000442822</t>
  </si>
  <si>
    <t>ENST00000374214</t>
  </si>
  <si>
    <t>ENST00000598519</t>
  </si>
  <si>
    <t>ENST00000314391</t>
  </si>
  <si>
    <t>ENST00000370416</t>
  </si>
  <si>
    <t>CCT</t>
  </si>
  <si>
    <t>ENST00000598963</t>
  </si>
  <si>
    <t>ENST00000265069</t>
  </si>
  <si>
    <t>ENST00000457775</t>
  </si>
  <si>
    <t>GTC</t>
  </si>
  <si>
    <t>ENST00000431993</t>
  </si>
  <si>
    <t>ENST00000382082</t>
  </si>
  <si>
    <t>ENST00000221444</t>
  </si>
  <si>
    <t>GAT</t>
  </si>
  <si>
    <t>ENST00000371571</t>
  </si>
  <si>
    <t>ABHD10</t>
  </si>
  <si>
    <t>ENST00000206423</t>
  </si>
  <si>
    <t>ENST00000347132</t>
  </si>
  <si>
    <t>ENST00000312049</t>
  </si>
  <si>
    <t>ENST00000341514</t>
  </si>
  <si>
    <t>ENST00000329563</t>
  </si>
  <si>
    <t>ENST00000623004</t>
  </si>
  <si>
    <t>caG</t>
  </si>
  <si>
    <t>ENST00000262640</t>
  </si>
  <si>
    <t>ENST00000519106</t>
  </si>
  <si>
    <t>ENST00000382209</t>
  </si>
  <si>
    <t>Gaa</t>
  </si>
  <si>
    <t>ENST00000328195</t>
  </si>
  <si>
    <t>ENST00000306177</t>
  </si>
  <si>
    <t>ENST00000397665</t>
  </si>
  <si>
    <t>ENST00000262301</t>
  </si>
  <si>
    <t>CGC</t>
  </si>
  <si>
    <t>ENST00000251507</t>
  </si>
  <si>
    <t>ENST00000564543</t>
  </si>
  <si>
    <t>ENST00000409939</t>
  </si>
  <si>
    <t>ENST00000329565</t>
  </si>
  <si>
    <t>ENST00000381774</t>
  </si>
  <si>
    <t>ENST00000436886</t>
  </si>
  <si>
    <t>ENST00000328957</t>
  </si>
  <si>
    <t>ENST00000278317</t>
  </si>
  <si>
    <t>ENST00000658476</t>
  </si>
  <si>
    <t>ENST00000294129</t>
  </si>
  <si>
    <t>TAC</t>
  </si>
  <si>
    <t>CRISPLD1</t>
  </si>
  <si>
    <t>ENST00000262424</t>
  </si>
  <si>
    <t>ENST00000321867</t>
  </si>
  <si>
    <t>ENST00000215754</t>
  </si>
  <si>
    <t>ENST00000291232</t>
  </si>
  <si>
    <t>cca</t>
  </si>
  <si>
    <t>cgc</t>
  </si>
  <si>
    <t>ENST00000409248</t>
  </si>
  <si>
    <t>PHF7</t>
  </si>
  <si>
    <t>ENOX1</t>
  </si>
  <si>
    <t>ENST00000177648</t>
  </si>
  <si>
    <t>ENST00000371021</t>
  </si>
  <si>
    <t>CTA</t>
  </si>
  <si>
    <t>ENST00000405930</t>
  </si>
  <si>
    <t>ENST00000267103</t>
  </si>
  <si>
    <t>aTG</t>
  </si>
  <si>
    <t>ENST00000394223</t>
  </si>
  <si>
    <t>ENST00000341068</t>
  </si>
  <si>
    <t>ENST00000360090</t>
  </si>
  <si>
    <t>ENST00000334371</t>
  </si>
  <si>
    <t>ENST00000539556</t>
  </si>
  <si>
    <t>ENST00000318967</t>
  </si>
  <si>
    <t>ENST00000358431</t>
  </si>
  <si>
    <t>ENST00000262825</t>
  </si>
  <si>
    <t>ENST00000429360</t>
  </si>
  <si>
    <t>NCG</t>
  </si>
  <si>
    <t>ENST00000249079</t>
  </si>
  <si>
    <t>ENST00000611519</t>
  </si>
  <si>
    <t>agt</t>
  </si>
  <si>
    <t>ENST00000396908</t>
  </si>
  <si>
    <t>ENST00000294353</t>
  </si>
  <si>
    <t>ENST00000356818</t>
  </si>
  <si>
    <t>ENST00000425225</t>
  </si>
  <si>
    <t>ENST00000341206</t>
  </si>
  <si>
    <t>ENST00000408973</t>
  </si>
  <si>
    <t>ENST00000419308</t>
  </si>
  <si>
    <t>ENST00000322310</t>
  </si>
  <si>
    <t>ATC</t>
  </si>
  <si>
    <t>ENST00000367535</t>
  </si>
  <si>
    <t>ENST00000640310</t>
  </si>
  <si>
    <t>CCA</t>
  </si>
  <si>
    <t>ENST00000288502</t>
  </si>
  <si>
    <t>ENST00000309971</t>
  </si>
  <si>
    <t>ENST00000359428</t>
  </si>
  <si>
    <t>ENST00000438774</t>
  </si>
  <si>
    <t>ENST00000649011</t>
  </si>
  <si>
    <t>gtt</t>
  </si>
  <si>
    <t>GCG</t>
  </si>
  <si>
    <t>ENST00000355221</t>
  </si>
  <si>
    <t>ENST00000296839</t>
  </si>
  <si>
    <t>ENST00000216241</t>
  </si>
  <si>
    <t>ACT</t>
  </si>
  <si>
    <t>ENST00000328914</t>
  </si>
  <si>
    <t>AASDHPPT</t>
  </si>
  <si>
    <t>ENST00000395878</t>
  </si>
  <si>
    <t>ENST00000305321</t>
  </si>
  <si>
    <t>ENST00000330978</t>
  </si>
  <si>
    <t>CFAP119</t>
  </si>
  <si>
    <t>ENST00000256857</t>
  </si>
  <si>
    <t>ENST00000641094</t>
  </si>
  <si>
    <t>ENST00000342595</t>
  </si>
  <si>
    <t>DEFB116</t>
  </si>
  <si>
    <t>ENST00000465301</t>
  </si>
  <si>
    <t>ENST00000245838</t>
  </si>
  <si>
    <t>TTG</t>
  </si>
  <si>
    <t>ENST00000429967</t>
  </si>
  <si>
    <t>TGG</t>
  </si>
  <si>
    <t>ENST00000568879</t>
  </si>
  <si>
    <t>ENST00000432680</t>
  </si>
  <si>
    <t>ENST00000281513</t>
  </si>
  <si>
    <t>ENST00000215582</t>
  </si>
  <si>
    <t>ENST00000650044</t>
  </si>
  <si>
    <t>ENST00000641816</t>
  </si>
  <si>
    <t>ENST00000427575</t>
  </si>
  <si>
    <t>ENST00000592652</t>
  </si>
  <si>
    <t>ENST00000325411</t>
  </si>
  <si>
    <t>ENST00000361822</t>
  </si>
  <si>
    <t>ENST00000479077</t>
  </si>
  <si>
    <t>ENST00000216211</t>
  </si>
  <si>
    <t>ENST00000380325</t>
  </si>
  <si>
    <t>ENST00000354725</t>
  </si>
  <si>
    <t>ENST00000218721</t>
  </si>
  <si>
    <t>ENST00000275767</t>
  </si>
  <si>
    <t>ENST00000306928</t>
  </si>
  <si>
    <t>ENST00000367444</t>
  </si>
  <si>
    <t>ENST00000347512</t>
  </si>
  <si>
    <t>ENST00000427937</t>
  </si>
  <si>
    <t>ENST00000418389</t>
  </si>
  <si>
    <t>ENST00000245817</t>
  </si>
  <si>
    <t>ENST00000610913</t>
  </si>
  <si>
    <t>ENST00000263563</t>
  </si>
  <si>
    <t>ENST00000263686</t>
  </si>
  <si>
    <t>ENST00000373693</t>
  </si>
  <si>
    <t>ENST00000523148</t>
  </si>
  <si>
    <t>TACR2</t>
  </si>
  <si>
    <t>ENST00000308219</t>
  </si>
  <si>
    <t>ENST00000270162</t>
  </si>
  <si>
    <t>ENST00000613488</t>
  </si>
  <si>
    <t>ENST00000334464</t>
  </si>
  <si>
    <t>ENST00000641801</t>
  </si>
  <si>
    <t>ENST00000641918</t>
  </si>
  <si>
    <t>ENST00000252825</t>
  </si>
  <si>
    <t>ENST00000370597</t>
  </si>
  <si>
    <t>ENST00000366834</t>
  </si>
  <si>
    <t>ENST00000253107</t>
  </si>
  <si>
    <t>ENST00000393796</t>
  </si>
  <si>
    <t>ENST00000595464</t>
  </si>
  <si>
    <t>NNT</t>
  </si>
  <si>
    <t>ENST00000307637</t>
  </si>
  <si>
    <t>ENST00000330120</t>
  </si>
  <si>
    <t>ENST00000345060</t>
  </si>
  <si>
    <t>ENST00000647937</t>
  </si>
  <si>
    <t>ENST00000317393</t>
  </si>
  <si>
    <t>ENST00000360295</t>
  </si>
  <si>
    <t>ENST00000332281</t>
  </si>
  <si>
    <t>ENST00000306385</t>
  </si>
  <si>
    <t>ENST00000562544</t>
  </si>
  <si>
    <t>ENST00000223061</t>
  </si>
  <si>
    <t>ENST00000301015</t>
  </si>
  <si>
    <t>ENST00000302079</t>
  </si>
  <si>
    <t>ENST00000448504</t>
  </si>
  <si>
    <t>ENST00000392790</t>
  </si>
  <si>
    <t>TTT</t>
  </si>
  <si>
    <t>ENST00000389131</t>
  </si>
  <si>
    <t>ENST00000258873</t>
  </si>
  <si>
    <t>ENST00000409379</t>
  </si>
  <si>
    <t>ENST00000646303</t>
  </si>
  <si>
    <t>KATNAL1</t>
  </si>
  <si>
    <t>ENST00000564840</t>
  </si>
  <si>
    <t>ENST00000398238</t>
  </si>
  <si>
    <t>SULT1C3</t>
  </si>
  <si>
    <t>ENST00000261615</t>
  </si>
  <si>
    <t>aGG</t>
  </si>
  <si>
    <t>ENST00000382774</t>
  </si>
  <si>
    <t>ENST00000389301</t>
  </si>
  <si>
    <t>ENST00000217133</t>
  </si>
  <si>
    <t>ENST00000248437</t>
  </si>
  <si>
    <t>ENST00000272233</t>
  </si>
  <si>
    <t>ENST00000249071</t>
  </si>
  <si>
    <t>ENST00000216127</t>
  </si>
  <si>
    <t>ENST00000338270</t>
  </si>
  <si>
    <t>ENST00000310653</t>
  </si>
  <si>
    <t>AAg</t>
  </si>
  <si>
    <t>ENST00000410061</t>
  </si>
  <si>
    <t>ENST00000623617</t>
  </si>
  <si>
    <t>ENST00000571995</t>
  </si>
  <si>
    <t>ENST00000371124</t>
  </si>
  <si>
    <t>ENST00000160382</t>
  </si>
  <si>
    <t>ACTR3B</t>
  </si>
  <si>
    <t>ENST00000376087</t>
  </si>
  <si>
    <t>ENST00000665241</t>
  </si>
  <si>
    <t>ATA</t>
  </si>
  <si>
    <t>ENST00000344517</t>
  </si>
  <si>
    <t>ENST00000449682</t>
  </si>
  <si>
    <t>PRSS3</t>
  </si>
  <si>
    <t>ENST00000311737</t>
  </si>
  <si>
    <t>tcc</t>
  </si>
  <si>
    <t>ENST00000632998</t>
  </si>
  <si>
    <t>ENST00000281708</t>
  </si>
  <si>
    <t>ENST00000346432</t>
  </si>
  <si>
    <t>ENST00000647060</t>
  </si>
  <si>
    <t>ENST00000391802</t>
  </si>
  <si>
    <t>ENST00000469830</t>
  </si>
  <si>
    <t>ENST00000646873</t>
  </si>
  <si>
    <t>ENST00000624810</t>
  </si>
  <si>
    <t>ENST00000616363</t>
  </si>
  <si>
    <t>att</t>
  </si>
  <si>
    <t>ENST00000270364</t>
  </si>
  <si>
    <t>CGA</t>
  </si>
  <si>
    <t>ENST00000366649</t>
  </si>
  <si>
    <t>ENST00000435213</t>
  </si>
  <si>
    <t>ENST00000361131</t>
  </si>
  <si>
    <t>NNG</t>
  </si>
  <si>
    <t>ENST00000402939</t>
  </si>
  <si>
    <t>ENST00000223357</t>
  </si>
  <si>
    <t>ENST00000317446</t>
  </si>
  <si>
    <t>ENST00000367255</t>
  </si>
  <si>
    <t>ENST00000334258</t>
  </si>
  <si>
    <t>ENST00000320700</t>
  </si>
  <si>
    <t>ENST00000361726</t>
  </si>
  <si>
    <t>ENST00000578689</t>
  </si>
  <si>
    <t>ENST00000309594</t>
  </si>
  <si>
    <t>ENST00000334134</t>
  </si>
  <si>
    <t>ENST00000298943</t>
  </si>
  <si>
    <t>ENST00000251864</t>
  </si>
  <si>
    <t>ENST00000359481</t>
  </si>
  <si>
    <t>ENST00000355705</t>
  </si>
  <si>
    <t>ENST00000348911</t>
  </si>
  <si>
    <t>ENST00000322712</t>
  </si>
  <si>
    <t>ENST00000243077</t>
  </si>
  <si>
    <t>ENST00000496902</t>
  </si>
  <si>
    <t>ENST00000231656</t>
  </si>
  <si>
    <t>TCA</t>
  </si>
  <si>
    <t>ENST00000381020</t>
  </si>
  <si>
    <t>ENST00000507866</t>
  </si>
  <si>
    <t>ENST00000292596</t>
  </si>
  <si>
    <t>ENST00000395871</t>
  </si>
  <si>
    <t>ENST00000370318</t>
  </si>
  <si>
    <t>ENST00000262643</t>
  </si>
  <si>
    <t>ENST00000599263</t>
  </si>
  <si>
    <t>ENST00000324695</t>
  </si>
  <si>
    <t>AAT</t>
  </si>
  <si>
    <t>ENST00000300954</t>
  </si>
  <si>
    <t>atG</t>
  </si>
  <si>
    <t>ENST00000374037</t>
  </si>
  <si>
    <t>ENST00000392668</t>
  </si>
  <si>
    <t>ENST00000379359</t>
  </si>
  <si>
    <t>ttt</t>
  </si>
  <si>
    <t>Tca</t>
  </si>
  <si>
    <t>ENST00000284061</t>
  </si>
  <si>
    <t>ENST00000510286</t>
  </si>
  <si>
    <t>ENST00000546292</t>
  </si>
  <si>
    <t>ENST00000610776</t>
  </si>
  <si>
    <t>TNFAIP1</t>
  </si>
  <si>
    <t>ENST00000317135</t>
  </si>
  <si>
    <t>tca</t>
  </si>
  <si>
    <t>ENST00000271640</t>
  </si>
  <si>
    <t>ENST00000389506</t>
  </si>
  <si>
    <t>aga</t>
  </si>
  <si>
    <t>ENST00000262189</t>
  </si>
  <si>
    <t>ENST00000646124</t>
  </si>
  <si>
    <t>ARL13A</t>
  </si>
  <si>
    <t>ENST00000651615</t>
  </si>
  <si>
    <t>ENST00000310924</t>
  </si>
  <si>
    <t>TTt</t>
  </si>
  <si>
    <t>ENST00000334256</t>
  </si>
  <si>
    <t>ENST00000333149</t>
  </si>
  <si>
    <t>ENST00000372514</t>
  </si>
  <si>
    <t>ENST00000449290</t>
  </si>
  <si>
    <t>ENST00000329758</t>
  </si>
  <si>
    <t>AAC</t>
  </si>
  <si>
    <t>ENST00000332682</t>
  </si>
  <si>
    <t>ENST00000448984</t>
  </si>
  <si>
    <t>ENST00000534741</t>
  </si>
  <si>
    <t>ENST00000432468</t>
  </si>
  <si>
    <t>ENST00000272395</t>
  </si>
  <si>
    <t>ENST00000379370</t>
  </si>
  <si>
    <t>ENST00000370752</t>
  </si>
  <si>
    <t>ENST00000312358</t>
  </si>
  <si>
    <t>ENST00000398594</t>
  </si>
  <si>
    <t>ENST00000239446</t>
  </si>
  <si>
    <t>ENST00000231137</t>
  </si>
  <si>
    <t>ENST00000239449</t>
  </si>
  <si>
    <t>ENST00000239450</t>
  </si>
  <si>
    <t>ENST00000194155</t>
  </si>
  <si>
    <t>ENST00000231130</t>
  </si>
  <si>
    <t>ENST00000258682</t>
  </si>
  <si>
    <t>DCLK2</t>
  </si>
  <si>
    <t>ENST00000264638</t>
  </si>
  <si>
    <t>ENST00000288670</t>
  </si>
  <si>
    <t>ENST00000319653</t>
  </si>
  <si>
    <t>cct</t>
  </si>
  <si>
    <t>MOV10L1</t>
  </si>
  <si>
    <t>ENST00000377669</t>
  </si>
  <si>
    <t>ENST00000447676</t>
  </si>
  <si>
    <t>POU3F2</t>
  </si>
  <si>
    <t>ENST00000325404</t>
  </si>
  <si>
    <t>ENST00000250055</t>
  </si>
  <si>
    <t>ENST00000296387</t>
  </si>
  <si>
    <t>ENST00000356575</t>
  </si>
  <si>
    <t>ENST00000370833</t>
  </si>
  <si>
    <t>ENST00000398022</t>
  </si>
  <si>
    <t>ENST00000628545</t>
  </si>
  <si>
    <t>ENST00000380229</t>
  </si>
  <si>
    <t>ENST00000271332</t>
  </si>
  <si>
    <t>agc</t>
  </si>
  <si>
    <t>ENST00000373965</t>
  </si>
  <si>
    <t>ENST00000315520</t>
  </si>
  <si>
    <t>ENST00000346178</t>
  </si>
  <si>
    <t>ENST00000221847</t>
  </si>
  <si>
    <t>ENST00000263620</t>
  </si>
  <si>
    <t>ENST00000340783</t>
  </si>
  <si>
    <t>ENST00000378788</t>
  </si>
  <si>
    <t>ENST00000361226</t>
  </si>
  <si>
    <t>ENST00000353704</t>
  </si>
  <si>
    <t>ENST00000378103</t>
  </si>
  <si>
    <t>ENST00000282249</t>
  </si>
  <si>
    <t>ENST00000280904</t>
  </si>
  <si>
    <t>ENST00000308128</t>
  </si>
  <si>
    <t>ENST00000339996</t>
  </si>
  <si>
    <t>ENST00000377167</t>
  </si>
  <si>
    <t>ENST00000377169</t>
  </si>
  <si>
    <t>ENST00000377171</t>
  </si>
  <si>
    <t>ENST00000429566</t>
  </si>
  <si>
    <t>ENST00000368146</t>
  </si>
  <si>
    <t>ENST00000317996</t>
  </si>
  <si>
    <t>ENST00000318021</t>
  </si>
  <si>
    <t>ENST00000319968</t>
  </si>
  <si>
    <t>ENST00000302084</t>
  </si>
  <si>
    <t>ENST00000302040</t>
  </si>
  <si>
    <t>ENST00000354565</t>
  </si>
  <si>
    <t>ENST00000335397</t>
  </si>
  <si>
    <t>ENST00000287008</t>
  </si>
  <si>
    <t>ENST00000314644</t>
  </si>
  <si>
    <t>ENST00000628444</t>
  </si>
  <si>
    <t>ENST00000639059</t>
  </si>
  <si>
    <t>ENST00000420770</t>
  </si>
  <si>
    <t>ENST00000309340</t>
  </si>
  <si>
    <t>ctG</t>
  </si>
  <si>
    <t>ENST00000276185</t>
  </si>
  <si>
    <t>FRMPD1</t>
  </si>
  <si>
    <t>ENST00000652515</t>
  </si>
  <si>
    <t>ENST00000335312</t>
  </si>
  <si>
    <t>ENST00000371734</t>
  </si>
  <si>
    <t>ENST00000583337</t>
  </si>
  <si>
    <t>ENST00000220244</t>
  </si>
  <si>
    <t>ENST00000371117</t>
  </si>
  <si>
    <t>ENST00000376854</t>
  </si>
  <si>
    <t>ENST00000378567</t>
  </si>
  <si>
    <t>ENST00000370513</t>
  </si>
  <si>
    <t>ctg</t>
  </si>
  <si>
    <t>ENST00000361246</t>
  </si>
  <si>
    <t>ENST00000301944</t>
  </si>
  <si>
    <t>ENST00000216101</t>
  </si>
  <si>
    <t>ENST00000216484</t>
  </si>
  <si>
    <t>ENST00000652176</t>
  </si>
  <si>
    <t>ENST00000253262</t>
  </si>
  <si>
    <t>ENST00000429984</t>
  </si>
  <si>
    <t>ENST00000266594</t>
  </si>
  <si>
    <t>ENST00000465139</t>
  </si>
  <si>
    <t>ENST00000352511</t>
  </si>
  <si>
    <t>ENST00000243349</t>
  </si>
  <si>
    <t>ENST00000545748</t>
  </si>
  <si>
    <t>ENST00000383772</t>
  </si>
  <si>
    <t>ENST00000316673</t>
  </si>
  <si>
    <t>ENST00000291442</t>
  </si>
  <si>
    <t>ENST00000327111</t>
  </si>
  <si>
    <t>ENST00000591608</t>
  </si>
  <si>
    <t>ENST00000359894</t>
  </si>
  <si>
    <t>ENST00000434325</t>
  </si>
  <si>
    <t>gcc</t>
  </si>
  <si>
    <t>ENST00000371130</t>
  </si>
  <si>
    <t>ENST00000271227</t>
  </si>
  <si>
    <t>ENST00000369682</t>
  </si>
  <si>
    <t>ENST00000324093</t>
  </si>
  <si>
    <t>AGA</t>
  </si>
  <si>
    <t>ENST00000216061</t>
  </si>
  <si>
    <t>ENST00000311027</t>
  </si>
  <si>
    <t>ENST00000381480</t>
  </si>
  <si>
    <t>ENST00000264709</t>
  </si>
  <si>
    <t>ENST00000449802</t>
  </si>
  <si>
    <t>ENST00000450053</t>
  </si>
  <si>
    <t>ENST00000291574</t>
  </si>
  <si>
    <t>ENST00000623998</t>
  </si>
  <si>
    <t>ENST00000352178</t>
  </si>
  <si>
    <t>ENST00000398168</t>
  </si>
  <si>
    <t>ENST00000291552</t>
  </si>
  <si>
    <t>aGA</t>
  </si>
  <si>
    <t>ENST00000445273</t>
  </si>
  <si>
    <t>ENST00000356892</t>
  </si>
  <si>
    <t>ENST00000161559</t>
  </si>
  <si>
    <t>ENST00000405314</t>
  </si>
  <si>
    <t>ENST00000264818</t>
  </si>
  <si>
    <t>GRIK4</t>
  </si>
  <si>
    <t>ENST00000262895</t>
  </si>
  <si>
    <t>ENST00000293190</t>
  </si>
  <si>
    <t>ENST00000297293</t>
  </si>
  <si>
    <t>ENST00000360366</t>
  </si>
  <si>
    <t>ENST00000263674</t>
  </si>
  <si>
    <t>ENST00000361221</t>
  </si>
  <si>
    <t>ENST00000286835</t>
  </si>
  <si>
    <t>ENST00000339944</t>
  </si>
  <si>
    <t>ENST00000372476</t>
  </si>
  <si>
    <t>ENST00000400191</t>
  </si>
  <si>
    <t>ENST00000358173</t>
  </si>
  <si>
    <t>ENST00000275815</t>
  </si>
  <si>
    <t>ENST00000270139</t>
  </si>
  <si>
    <t>ENST00000359314</t>
  </si>
  <si>
    <t>tta</t>
  </si>
  <si>
    <t>ENST00000576263</t>
  </si>
  <si>
    <t>ENST00000332131</t>
  </si>
  <si>
    <t>ENST00000397641</t>
  </si>
  <si>
    <t>ENST00000509700</t>
  </si>
  <si>
    <t>ENST00000333634</t>
  </si>
  <si>
    <t>ENST00000287590</t>
  </si>
  <si>
    <t>ENST00000277554</t>
  </si>
  <si>
    <t>ENST00000291539</t>
  </si>
  <si>
    <t>ENST00000286063</t>
  </si>
  <si>
    <t>ENST00000398506</t>
  </si>
  <si>
    <t>ENST00000618001</t>
  </si>
  <si>
    <t>ENST00000343805</t>
  </si>
  <si>
    <t>ENST00000650440</t>
  </si>
  <si>
    <t>ENST00000325223</t>
  </si>
  <si>
    <t>ENST00000323084</t>
  </si>
  <si>
    <t>ENST00000609664</t>
  </si>
  <si>
    <t>ENST00000391618</t>
  </si>
  <si>
    <t>ENST00000318066</t>
  </si>
  <si>
    <t>ENST00000392302</t>
  </si>
  <si>
    <t>ENST00000567670</t>
  </si>
  <si>
    <t>ENST00000296370</t>
  </si>
  <si>
    <t>ENST00000380200</t>
  </si>
  <si>
    <t>ENST00000338875</t>
  </si>
  <si>
    <t>ENST00000354700</t>
  </si>
  <si>
    <t>ENST00000539900</t>
  </si>
  <si>
    <t>ENST00000477278</t>
  </si>
  <si>
    <t>ENST00000422725</t>
  </si>
  <si>
    <t>ENST00000360564</t>
  </si>
  <si>
    <t>ENST00000370328</t>
  </si>
  <si>
    <t>tcT</t>
  </si>
  <si>
    <t>ENST00000372617</t>
  </si>
  <si>
    <t>ENST00000378425</t>
  </si>
  <si>
    <t>ENST00000339507</t>
  </si>
  <si>
    <t>ENST00000311380</t>
  </si>
  <si>
    <t>ENST00000353632</t>
  </si>
  <si>
    <t>ENST00000403581</t>
  </si>
  <si>
    <t>ENST00000309415</t>
  </si>
  <si>
    <t>ENST00000369250</t>
  </si>
  <si>
    <t>cTT</t>
  </si>
  <si>
    <t>ENST00000263985</t>
  </si>
  <si>
    <t>ENST00000542735</t>
  </si>
  <si>
    <t>ENST00000261007</t>
  </si>
  <si>
    <t>gta</t>
  </si>
  <si>
    <t>Gta</t>
  </si>
  <si>
    <t>ENST00000258385</t>
  </si>
  <si>
    <t>ENST00000649488</t>
  </si>
  <si>
    <t>ENST00000306442</t>
  </si>
  <si>
    <t>ENST00000389212</t>
  </si>
  <si>
    <t>ENST00000423516</t>
  </si>
  <si>
    <t>MARCHF6</t>
  </si>
  <si>
    <t>ENST00000244360</t>
  </si>
  <si>
    <t>ENST00000253193</t>
  </si>
  <si>
    <t>ENST00000621776</t>
  </si>
  <si>
    <t>HMGB1</t>
  </si>
  <si>
    <t>ENST00000264824</t>
  </si>
  <si>
    <t>ENST00000325509</t>
  </si>
  <si>
    <t>ENST00000369983</t>
  </si>
  <si>
    <t>ENST00000248901</t>
  </si>
  <si>
    <t>ENST00000302327</t>
  </si>
  <si>
    <t>ENST00000326397</t>
  </si>
  <si>
    <t>ENST00000330838</t>
  </si>
  <si>
    <t>ENST00000356371</t>
  </si>
  <si>
    <t>ENST00000222382</t>
  </si>
  <si>
    <t>ENST00000620220</t>
  </si>
  <si>
    <t>ENST00000611620</t>
  </si>
  <si>
    <t>ENST00000651965</t>
  </si>
  <si>
    <t>ENST00000282549</t>
  </si>
  <si>
    <t>NCT</t>
  </si>
  <si>
    <t>ENST00000394688</t>
  </si>
  <si>
    <t>ENST00000307729</t>
  </si>
  <si>
    <t>ENST00000454036</t>
  </si>
  <si>
    <t>ENST00000598581</t>
  </si>
  <si>
    <t>ENST00000264670</t>
  </si>
  <si>
    <t>ENST00000356458</t>
  </si>
  <si>
    <t>ENST00000375213</t>
  </si>
  <si>
    <t>ENST00000261842</t>
  </si>
  <si>
    <t>ENST00000605587</t>
  </si>
  <si>
    <t>ENST00000261731</t>
  </si>
  <si>
    <t>ENST00000331588</t>
  </si>
  <si>
    <t>ENST00000343217</t>
  </si>
  <si>
    <t>ENST00000612223</t>
  </si>
  <si>
    <t>ENST00000625837</t>
  </si>
  <si>
    <t>ENST00000389924</t>
  </si>
  <si>
    <t>ENST00000613727</t>
  </si>
  <si>
    <t>ENST00000393992</t>
  </si>
  <si>
    <t>ENST00000242140</t>
  </si>
  <si>
    <t>acc</t>
  </si>
  <si>
    <t>gtg</t>
  </si>
  <si>
    <t>ENST00000264331</t>
  </si>
  <si>
    <t>aCT</t>
  </si>
  <si>
    <t>ENST00000610510</t>
  </si>
  <si>
    <t>ENST00000527372</t>
  </si>
  <si>
    <t>ENST00000269243</t>
  </si>
  <si>
    <t>ENST00000285039</t>
  </si>
  <si>
    <t>ENST00000583535</t>
  </si>
  <si>
    <t>ENST00000594824</t>
  </si>
  <si>
    <t>ENST00000301653</t>
  </si>
  <si>
    <t>ENST00000246635</t>
  </si>
  <si>
    <t>KRT13</t>
  </si>
  <si>
    <t>ENST00000309680</t>
  </si>
  <si>
    <t>ENST00000257860</t>
  </si>
  <si>
    <t>ENST00000306271</t>
  </si>
  <si>
    <t>ENST00000377747</t>
  </si>
  <si>
    <t>ENST00000344363</t>
  </si>
  <si>
    <t>ENST00000293349</t>
  </si>
  <si>
    <t>ENST00000376970</t>
  </si>
  <si>
    <t>ENST00000221566</t>
  </si>
  <si>
    <t>ENST00000494108</t>
  </si>
  <si>
    <t>ENST00000293330</t>
  </si>
  <si>
    <t>ENST00000314128</t>
  </si>
  <si>
    <t>ENST00000265686</t>
  </si>
  <si>
    <t>ENST00000319080</t>
  </si>
  <si>
    <t>ENST00000320356</t>
  </si>
  <si>
    <t>ENST00000295206</t>
  </si>
  <si>
    <t>ENST00000413384</t>
  </si>
  <si>
    <t>ENST00000272716</t>
  </si>
  <si>
    <t>ENST00000253410</t>
  </si>
  <si>
    <t>ENST00000268206</t>
  </si>
  <si>
    <t>ENST00000426333</t>
  </si>
  <si>
    <t>ENST00000263433</t>
  </si>
  <si>
    <t>ENST00000293493</t>
  </si>
  <si>
    <t>ENST00000313049</t>
  </si>
  <si>
    <t>ENST00000359558</t>
  </si>
  <si>
    <t>ENST00000339464</t>
  </si>
  <si>
    <t>ENST00000233948</t>
  </si>
  <si>
    <t>ENST00000293549</t>
  </si>
  <si>
    <t>ENST00000290167</t>
  </si>
  <si>
    <t>ENST00000373701</t>
  </si>
  <si>
    <t>ENST00000265162</t>
  </si>
  <si>
    <t>ENST00000397256</t>
  </si>
  <si>
    <t>ENST00000397261</t>
  </si>
  <si>
    <t>ENST00000310544</t>
  </si>
  <si>
    <t>ENST00000261023</t>
  </si>
  <si>
    <t>ITGAX</t>
  </si>
  <si>
    <t>ENST00000356798</t>
  </si>
  <si>
    <t>CLINT1</t>
  </si>
  <si>
    <t>ENST00000537686</t>
  </si>
  <si>
    <t>ENST00000306121</t>
  </si>
  <si>
    <t>ENST00000274134</t>
  </si>
  <si>
    <t>ENST00000304301</t>
  </si>
  <si>
    <t>ENST00000521288</t>
  </si>
  <si>
    <t>ENST00000440944</t>
  </si>
  <si>
    <t>ENST00000390665</t>
  </si>
  <si>
    <t>ENST00000457458</t>
  </si>
  <si>
    <t>ENST00000554914</t>
  </si>
  <si>
    <t>ENST00000341832</t>
  </si>
  <si>
    <t>ENST00000379989</t>
  </si>
  <si>
    <t>ENST00000430627</t>
  </si>
  <si>
    <t>ENST00000293894</t>
  </si>
  <si>
    <t>ENST00000308406</t>
  </si>
  <si>
    <t>ENST00000297239</t>
  </si>
  <si>
    <t>ENST00000316356</t>
  </si>
  <si>
    <t>ENST00000389385</t>
  </si>
  <si>
    <t>ENST00000263846</t>
  </si>
  <si>
    <t>ENST00000222330</t>
  </si>
  <si>
    <t>ENST00000263150</t>
  </si>
  <si>
    <t>ENST00000261729</t>
  </si>
  <si>
    <t>ENST00000274376</t>
  </si>
  <si>
    <t>ENST00000259371</t>
  </si>
  <si>
    <t>ENST00000629380</t>
  </si>
  <si>
    <t>ENST00000332272</t>
  </si>
  <si>
    <t>ENST00000373115</t>
  </si>
  <si>
    <t>ENST00000358571</t>
  </si>
  <si>
    <t>ENST00000528054</t>
  </si>
  <si>
    <t>ENST00000334060</t>
  </si>
  <si>
    <t>ENST00000379044</t>
  </si>
  <si>
    <t>ENST00000265340</t>
  </si>
  <si>
    <t>ENST00000370002</t>
  </si>
  <si>
    <t>ENST00000361804</t>
  </si>
  <si>
    <t>ENST00000358741</t>
  </si>
  <si>
    <t>ENST00000328092</t>
  </si>
  <si>
    <t>ENST00000378536</t>
  </si>
  <si>
    <t>ENST00000341418</t>
  </si>
  <si>
    <t>ENST00000166139</t>
  </si>
  <si>
    <t>ENST00000598833</t>
  </si>
  <si>
    <t>ENST00000215941</t>
  </si>
  <si>
    <t>ENST00000264276</t>
  </si>
  <si>
    <t>ENST00000510878</t>
  </si>
  <si>
    <t>ENST00000480945</t>
  </si>
  <si>
    <t>ENST00000293805</t>
  </si>
  <si>
    <t>ENST00000375116</t>
  </si>
  <si>
    <t>ENST00000342358</t>
  </si>
  <si>
    <t>ENST00000341676</t>
  </si>
  <si>
    <t>ENST00000321556</t>
  </si>
  <si>
    <t>ENST00000444387</t>
  </si>
  <si>
    <t>ENST00000356208</t>
  </si>
  <si>
    <t>ENST00000662078</t>
  </si>
  <si>
    <t>ENST00000500635</t>
  </si>
  <si>
    <t>ENST00000216068</t>
  </si>
  <si>
    <t>ENST00000382363</t>
  </si>
  <si>
    <t>ENST00000287727</t>
  </si>
  <si>
    <t>ENST00000354228</t>
  </si>
  <si>
    <t>ENST00000310127</t>
  </si>
  <si>
    <t>ENST00000342206</t>
  </si>
  <si>
    <t>ENST00000534810</t>
  </si>
  <si>
    <t>ENST00000240328</t>
  </si>
  <si>
    <t>ENST00000397786</t>
  </si>
  <si>
    <t>ENST00000562889</t>
  </si>
  <si>
    <t>Tgg</t>
  </si>
  <si>
    <t>ENST00000290866</t>
  </si>
  <si>
    <t>ENST00000563924</t>
  </si>
  <si>
    <t>ENST00000317905</t>
  </si>
  <si>
    <t>ENST00000333891</t>
  </si>
  <si>
    <t>ENST00000504942</t>
  </si>
  <si>
    <t>ENST00000352431</t>
  </si>
  <si>
    <t>ENST00000553851</t>
  </si>
  <si>
    <t>ENST00000332132</t>
  </si>
  <si>
    <t>ENST00000262577</t>
  </si>
  <si>
    <t>ENST00000389022</t>
  </si>
  <si>
    <t>ENST00000225614</t>
  </si>
  <si>
    <t>ENST00000589666</t>
  </si>
  <si>
    <t>ENST00000254806</t>
  </si>
  <si>
    <t>ENST00000225276</t>
  </si>
  <si>
    <t>ENST00000359995</t>
  </si>
  <si>
    <t>ENST00000587424</t>
  </si>
  <si>
    <t>ENST00000636222</t>
  </si>
  <si>
    <t>ENST00000262764</t>
  </si>
  <si>
    <t>ENST00000262442</t>
  </si>
  <si>
    <t>ENST00000389840</t>
  </si>
  <si>
    <t>ENST00000334267</t>
  </si>
  <si>
    <t>ENST00000397545</t>
  </si>
  <si>
    <t>NNC</t>
  </si>
  <si>
    <t>ENST00000378378</t>
  </si>
  <si>
    <t>ENST00000264051</t>
  </si>
  <si>
    <t>ENST00000321300</t>
  </si>
  <si>
    <t>ENST00000334850</t>
  </si>
  <si>
    <t>ENST00000327787</t>
  </si>
  <si>
    <t>ENST00000345734</t>
  </si>
  <si>
    <t>ENST00000301458</t>
  </si>
  <si>
    <t>ENST00000251157</t>
  </si>
  <si>
    <t>ENST00000294618</t>
  </si>
  <si>
    <t>ENST00000276202</t>
  </si>
  <si>
    <t>ENST00000271628</t>
  </si>
  <si>
    <t>ENST00000222190</t>
  </si>
  <si>
    <t>ENST00000242784</t>
  </si>
  <si>
    <t>ENST00000357332</t>
  </si>
  <si>
    <t>ENST00000371208</t>
  </si>
  <si>
    <t>ENST00000361243</t>
  </si>
  <si>
    <t>ENST00000222219</t>
  </si>
  <si>
    <t>ENST00000592199</t>
  </si>
  <si>
    <t>ENST00000425699</t>
  </si>
  <si>
    <t>ccg</t>
  </si>
  <si>
    <t>RFX5</t>
  </si>
  <si>
    <t>ENST00000431365</t>
  </si>
  <si>
    <t>ENST00000548523</t>
  </si>
  <si>
    <t>ENST00000517536</t>
  </si>
  <si>
    <t>ENST00000340880</t>
  </si>
  <si>
    <t>ENST00000274979</t>
  </si>
  <si>
    <t>ENST00000672621</t>
  </si>
  <si>
    <t>ggt</t>
  </si>
  <si>
    <t>ENST00000636079</t>
  </si>
  <si>
    <t>ENST00000317306</t>
  </si>
  <si>
    <t>ENST00000222254</t>
  </si>
  <si>
    <t>ENST00000543589</t>
  </si>
  <si>
    <t>ENST00000375733</t>
  </si>
  <si>
    <t>ENST00000270061</t>
  </si>
  <si>
    <t>ENST00000304231</t>
  </si>
  <si>
    <t>ENST00000600377</t>
  </si>
  <si>
    <t>act</t>
  </si>
  <si>
    <t>ENST00000439461</t>
  </si>
  <si>
    <t>ENST00000301085</t>
  </si>
  <si>
    <t>ENST00000443185</t>
  </si>
  <si>
    <t>ENST00000382438</t>
  </si>
  <si>
    <t>FHL5</t>
  </si>
  <si>
    <t>ENST00000325017</t>
  </si>
  <si>
    <t>ENST00000329198</t>
  </si>
  <si>
    <t>ENST00000539015</t>
  </si>
  <si>
    <t>ENST00000258829</t>
  </si>
  <si>
    <t>ENST00000354822</t>
  </si>
  <si>
    <t>ENST00000307050</t>
  </si>
  <si>
    <t>EDRF1</t>
  </si>
  <si>
    <t>ENST00000428084</t>
  </si>
  <si>
    <t>ENST00000313708</t>
  </si>
  <si>
    <t>ENST00000343218</t>
  </si>
  <si>
    <t>aGT</t>
  </si>
  <si>
    <t>ENST00000375608</t>
  </si>
  <si>
    <t>ENST00000304613</t>
  </si>
  <si>
    <t>ENST00000520602</t>
  </si>
  <si>
    <t>tTT</t>
  </si>
  <si>
    <t>ENST00000317502</t>
  </si>
  <si>
    <t>ENST00000274710</t>
  </si>
  <si>
    <t>ENST00000286824</t>
  </si>
  <si>
    <t>ENST00000361529</t>
  </si>
  <si>
    <t>ENST00000229239</t>
  </si>
  <si>
    <t>ENST00000011653</t>
  </si>
  <si>
    <t>ENST00000320230</t>
  </si>
  <si>
    <t>ENST00000535540</t>
  </si>
  <si>
    <t>ENST00000281154</t>
  </si>
  <si>
    <t>aag</t>
  </si>
  <si>
    <t>ENST00000536833</t>
  </si>
  <si>
    <t>ENST00000347831</t>
  </si>
  <si>
    <t>ENST00000539033</t>
  </si>
  <si>
    <t>ENST00000396591</t>
  </si>
  <si>
    <t>ENST00000252530</t>
  </si>
  <si>
    <t>ENST00000254322</t>
  </si>
  <si>
    <t>ENST00000282388</t>
  </si>
  <si>
    <t>ENST00000405006</t>
  </si>
  <si>
    <t>ENST00000260649</t>
  </si>
  <si>
    <t>ENST00000265081</t>
  </si>
  <si>
    <t>OS9</t>
  </si>
  <si>
    <t>ENST00000309295</t>
  </si>
  <si>
    <t>gAT</t>
  </si>
  <si>
    <t>ENST00000316763</t>
  </si>
  <si>
    <t>ENST00000402714</t>
  </si>
  <si>
    <t>ENST00000303714</t>
  </si>
  <si>
    <t>ENST00000463439</t>
  </si>
  <si>
    <t>ENST00000337190</t>
  </si>
  <si>
    <t>aac</t>
  </si>
  <si>
    <t>ENST00000640428</t>
  </si>
  <si>
    <t>ENST00000464233</t>
  </si>
  <si>
    <t>ENST00000392650</t>
  </si>
  <si>
    <t>ENST00000409561</t>
  </si>
  <si>
    <t>ENST00000297494</t>
  </si>
  <si>
    <t>ENST00000461988</t>
  </si>
  <si>
    <t>ENST00000645271</t>
  </si>
  <si>
    <t>ENST00000533467</t>
  </si>
  <si>
    <t>ENST00000531678</t>
  </si>
  <si>
    <t>ENST00000538986</t>
  </si>
  <si>
    <t>ENST00000390675</t>
  </si>
  <si>
    <t>ENST00000296657</t>
  </si>
  <si>
    <t>ENST00000358897</t>
  </si>
  <si>
    <t>ENST00000034275</t>
  </si>
  <si>
    <t>ENST00000381826</t>
  </si>
  <si>
    <t>ENST00000225371</t>
  </si>
  <si>
    <t>ENST00000326134</t>
  </si>
  <si>
    <t>ENST00000399564</t>
  </si>
  <si>
    <t>ENST00000638674</t>
  </si>
  <si>
    <t>ENST00000281631</t>
  </si>
  <si>
    <t>DEPDC1B</t>
  </si>
  <si>
    <t>ENST00000354666</t>
  </si>
  <si>
    <t>ENST00000339020</t>
  </si>
  <si>
    <t>ENST00000600228</t>
  </si>
  <si>
    <t>ENST00000535439</t>
  </si>
  <si>
    <t>ENST00000298110</t>
  </si>
  <si>
    <t>ENST00000325215</t>
  </si>
  <si>
    <t>ENST00000357573</t>
  </si>
  <si>
    <t>ENST00000395384</t>
  </si>
  <si>
    <t>gGC</t>
  </si>
  <si>
    <t>ENST00000279392</t>
  </si>
  <si>
    <t>ENST00000569198</t>
  </si>
  <si>
    <t>ENST00000561666</t>
  </si>
  <si>
    <t>ENST00000295902</t>
  </si>
  <si>
    <t>ZC3H12B</t>
  </si>
  <si>
    <t>ENST00000423026</t>
  </si>
  <si>
    <t>ENST00000262135</t>
  </si>
  <si>
    <t>ENST00000355481</t>
  </si>
  <si>
    <t>ENST00000371518</t>
  </si>
  <si>
    <t>ENST00000342740</t>
  </si>
  <si>
    <t>gaC</t>
  </si>
  <si>
    <t>ENST00000374881</t>
  </si>
  <si>
    <t>ENST00000356100</t>
  </si>
  <si>
    <t>HAS3</t>
  </si>
  <si>
    <t>ENST00000418331</t>
  </si>
  <si>
    <t>ENST00000435634</t>
  </si>
  <si>
    <t>ENST00000265431</t>
  </si>
  <si>
    <t>ENST00000525105</t>
  </si>
  <si>
    <t>ENST00000512439</t>
  </si>
  <si>
    <t>ENST00000268489</t>
  </si>
  <si>
    <t>ENST00000397902</t>
  </si>
  <si>
    <t>ENST00000595174</t>
  </si>
  <si>
    <t>ENST00000594030</t>
  </si>
  <si>
    <t>ENST00000357901</t>
  </si>
  <si>
    <t>ENST00000344980</t>
  </si>
  <si>
    <t>ENST00000429654</t>
  </si>
  <si>
    <t>ENST00000547628</t>
  </si>
  <si>
    <t>ENST00000314744</t>
  </si>
  <si>
    <t>ENST00000428311</t>
  </si>
  <si>
    <t>ENST00000242804</t>
  </si>
  <si>
    <t>ENST00000323303</t>
  </si>
  <si>
    <t>ENST00000604458</t>
  </si>
  <si>
    <t>ENST00000258761</t>
  </si>
  <si>
    <t>ENST00000395734</t>
  </si>
  <si>
    <t>ENST00000441178</t>
  </si>
  <si>
    <t>ENST00000361475</t>
  </si>
  <si>
    <t>ENST00000334018</t>
  </si>
  <si>
    <t>ENST00000322927</t>
  </si>
  <si>
    <t>ENST00000306346</t>
  </si>
  <si>
    <t>ENST00000256079</t>
  </si>
  <si>
    <t>ENST00000322244</t>
  </si>
  <si>
    <t>ENST00000265755</t>
  </si>
  <si>
    <t>ENST00000371173</t>
  </si>
  <si>
    <t>taT</t>
  </si>
  <si>
    <t>PRELID2</t>
  </si>
  <si>
    <t>ENST00000389413</t>
  </si>
  <si>
    <t>ENST00000371935</t>
  </si>
  <si>
    <t>ENST00000374837</t>
  </si>
  <si>
    <t>ENST00000567713</t>
  </si>
  <si>
    <t>ENST00000356404</t>
  </si>
  <si>
    <t>ENST00000344595</t>
  </si>
  <si>
    <t>ENST00000261740</t>
  </si>
  <si>
    <t>ENST00000248378</t>
  </si>
  <si>
    <t>ARR3</t>
  </si>
  <si>
    <t>ENST00000573584</t>
  </si>
  <si>
    <t>aat</t>
  </si>
  <si>
    <t>ENST00000164640</t>
  </si>
  <si>
    <t>ENST00000263857</t>
  </si>
  <si>
    <t>ENST00000215368</t>
  </si>
  <si>
    <t>ENST00000389017</t>
  </si>
  <si>
    <t>ENST00000376112</t>
  </si>
  <si>
    <t>ENST00000374561</t>
  </si>
  <si>
    <t>ENST00000373884</t>
  </si>
  <si>
    <t>ENST00000261592</t>
  </si>
  <si>
    <t>ENST00000374273</t>
  </si>
  <si>
    <t>ENST00000375222</t>
  </si>
  <si>
    <t>ENST00000374954</t>
  </si>
  <si>
    <t>ENST00000263112</t>
  </si>
  <si>
    <t>ENST00000262878</t>
  </si>
  <si>
    <t>ENST00000371149</t>
  </si>
  <si>
    <t>ENST00000343986</t>
  </si>
  <si>
    <t>ENST00000330728</t>
  </si>
  <si>
    <t>gtc</t>
  </si>
  <si>
    <t>ENST00000340110</t>
  </si>
  <si>
    <t>ENST00000297012</t>
  </si>
  <si>
    <t>ENST00000369158</t>
  </si>
  <si>
    <t>ENST00000403683</t>
  </si>
  <si>
    <t>ENST00000244534</t>
  </si>
  <si>
    <t>ENST00000304218</t>
  </si>
  <si>
    <t>ENST00000331442</t>
  </si>
  <si>
    <t>ENST00000244573</t>
  </si>
  <si>
    <t>ENST00000330377</t>
  </si>
  <si>
    <t>ENST00000221466</t>
  </si>
  <si>
    <t>ENST00000328902</t>
  </si>
  <si>
    <t>ata</t>
  </si>
  <si>
    <t>ENST00000429154</t>
  </si>
  <si>
    <t>ENST00000378988</t>
  </si>
  <si>
    <t>MAGEB4</t>
  </si>
  <si>
    <t>ENST00000379034</t>
  </si>
  <si>
    <t>ENST00000416929</t>
  </si>
  <si>
    <t>ENST00000599522</t>
  </si>
  <si>
    <t>ENST00000335504</t>
  </si>
  <si>
    <t>ENST00000262306</t>
  </si>
  <si>
    <t>ENST00000380122</t>
  </si>
  <si>
    <t>ENST00000291358</t>
  </si>
  <si>
    <t>ENST00000344461</t>
  </si>
  <si>
    <t>ENST00000611074</t>
  </si>
  <si>
    <t>NCDN</t>
  </si>
  <si>
    <t>ENST00000332271</t>
  </si>
  <si>
    <t>MAP7D2</t>
  </si>
  <si>
    <t>ENST00000370663</t>
  </si>
  <si>
    <t>ENST00000373042</t>
  </si>
  <si>
    <t>ENST00000372616</t>
  </si>
  <si>
    <t>ENST00000372581</t>
  </si>
  <si>
    <t>ENST00000432792</t>
  </si>
  <si>
    <t>ENST00000562955</t>
  </si>
  <si>
    <t>IPO13</t>
  </si>
  <si>
    <t>ENST00000359978</t>
  </si>
  <si>
    <t>ENST00000634804</t>
  </si>
  <si>
    <t>ENST00000337352</t>
  </si>
  <si>
    <t>ENST00000340918</t>
  </si>
  <si>
    <t>ENST00000366796</t>
  </si>
  <si>
    <t>ENST00000555868</t>
  </si>
  <si>
    <t>ENST00000366935</t>
  </si>
  <si>
    <t>ENST00000557431</t>
  </si>
  <si>
    <t>ENST00000243583</t>
  </si>
  <si>
    <t>Atg</t>
  </si>
  <si>
    <t>ENST00000491431</t>
  </si>
  <si>
    <t>ENST00000598031</t>
  </si>
  <si>
    <t>ENST00000594684</t>
  </si>
  <si>
    <t>ENST00000621082</t>
  </si>
  <si>
    <t>ENST00000354216</t>
  </si>
  <si>
    <t>ENST00000370978</t>
  </si>
  <si>
    <t>ENST00000226460</t>
  </si>
  <si>
    <t>ENST00000304915</t>
  </si>
  <si>
    <t>ENST00000301281</t>
  </si>
  <si>
    <t>aaa</t>
  </si>
  <si>
    <t>ENST00000602548</t>
  </si>
  <si>
    <t>ENST00000417339</t>
  </si>
  <si>
    <t>ENST00000634648</t>
  </si>
  <si>
    <t>ENST00000519718</t>
  </si>
  <si>
    <t>ENST00000376227</t>
  </si>
  <si>
    <t>ENST00000292901</t>
  </si>
  <si>
    <t>ENST00000305815</t>
  </si>
  <si>
    <t>ENST00000334269</t>
  </si>
  <si>
    <t>ENST00000529903</t>
  </si>
  <si>
    <t>ENST00000344726</t>
  </si>
  <si>
    <t>ENST00000412306</t>
  </si>
  <si>
    <t>ENST00000392644</t>
  </si>
  <si>
    <t>ENST00000419765</t>
  </si>
  <si>
    <t>NT5DC4</t>
  </si>
  <si>
    <t>ENST00000628083</t>
  </si>
  <si>
    <t>ENST00000380060</t>
  </si>
  <si>
    <t>ENST00000421812</t>
  </si>
  <si>
    <t>ENST00000251268</t>
  </si>
  <si>
    <t>EEA1</t>
  </si>
  <si>
    <t>ENST00000292599</t>
  </si>
  <si>
    <t>ENST00000509479</t>
  </si>
  <si>
    <t>ENST00000294889</t>
  </si>
  <si>
    <t>ENST00000243440</t>
  </si>
  <si>
    <t>ENST00000222673</t>
  </si>
  <si>
    <t>ENST00000341105</t>
  </si>
  <si>
    <t>ENST00000335099</t>
  </si>
  <si>
    <t>ggT</t>
  </si>
  <si>
    <t>ENST00000344293</t>
  </si>
  <si>
    <t>ENST00000248444</t>
  </si>
  <si>
    <t>ENST00000449733</t>
  </si>
  <si>
    <t>HACD4</t>
  </si>
  <si>
    <t>ENST00000447906</t>
  </si>
  <si>
    <t>ENST00000221249</t>
  </si>
  <si>
    <t>ENST00000304735</t>
  </si>
  <si>
    <t>ENST00000434739</t>
  </si>
  <si>
    <t>ENST00000359187</t>
  </si>
  <si>
    <t>ENST00000421285</t>
  </si>
  <si>
    <t>ENST00000342314</t>
  </si>
  <si>
    <t>ENST00000614055</t>
  </si>
  <si>
    <t>ENST00000619213</t>
  </si>
  <si>
    <t>ENST00000620691</t>
  </si>
  <si>
    <t>ENST00000316097</t>
  </si>
  <si>
    <t>ENST00000324767</t>
  </si>
  <si>
    <t>ENST00000244458</t>
  </si>
  <si>
    <t>ENST00000607359</t>
  </si>
  <si>
    <t>ENST00000258888</t>
  </si>
  <si>
    <t>MSGN1</t>
  </si>
  <si>
    <t>ENST00000318442</t>
  </si>
  <si>
    <t>ATg</t>
  </si>
  <si>
    <t>ENST00000352645</t>
  </si>
  <si>
    <t>ENST00000307650</t>
  </si>
  <si>
    <t>ggc</t>
  </si>
  <si>
    <t>ENST00000640768</t>
  </si>
  <si>
    <t>ENST00000442668</t>
  </si>
  <si>
    <t>ENST00000374279</t>
  </si>
  <si>
    <t>ENST00000371625</t>
  </si>
  <si>
    <t>AADACL2</t>
  </si>
  <si>
    <t>ENST00000538721</t>
  </si>
  <si>
    <t>ENST00000409745</t>
  </si>
  <si>
    <t>ENST00000409413</t>
  </si>
  <si>
    <t>ENST00000506447</t>
  </si>
  <si>
    <t>ENST00000610533</t>
  </si>
  <si>
    <t>ENST00000395699</t>
  </si>
  <si>
    <t>ENST00000636578</t>
  </si>
  <si>
    <t>ENST00000431089</t>
  </si>
  <si>
    <t>ENST00000297933</t>
  </si>
  <si>
    <t>ENST00000395176</t>
  </si>
  <si>
    <t>ENST00000289473</t>
  </si>
  <si>
    <t>ENST00000355946</t>
  </si>
  <si>
    <t>ENST00000370065</t>
  </si>
  <si>
    <t>MFN2</t>
  </si>
  <si>
    <t>ENST00000638617</t>
  </si>
  <si>
    <t>ENST00000316937</t>
  </si>
  <si>
    <t>ENST00000317716</t>
  </si>
  <si>
    <t>ENST00000354287</t>
  </si>
  <si>
    <t>ENST00000287611</t>
  </si>
  <si>
    <t>ENST00000221431</t>
  </si>
  <si>
    <t>ENST00000599996</t>
  </si>
  <si>
    <t>ENST00000304312</t>
  </si>
  <si>
    <t>ENST00000303746</t>
  </si>
  <si>
    <t>ENST00000643608</t>
  </si>
  <si>
    <t>ENST00000265016</t>
  </si>
  <si>
    <t>ENST00000370649</t>
  </si>
  <si>
    <t>DSTN</t>
  </si>
  <si>
    <t>ENST00000233078</t>
  </si>
  <si>
    <t>ENST00000604255</t>
  </si>
  <si>
    <t>ENST00000379376</t>
  </si>
  <si>
    <t>ENST00000233596</t>
  </si>
  <si>
    <t>ENST00000399262</t>
  </si>
  <si>
    <t>ENST00000334984</t>
  </si>
  <si>
    <t>ENST00000379491</t>
  </si>
  <si>
    <t>ENST00000394412</t>
  </si>
  <si>
    <t>ENST00000608736</t>
  </si>
  <si>
    <t>ENST00000263181</t>
  </si>
  <si>
    <t>ENST00000367350</t>
  </si>
  <si>
    <t>ENST00000320389</t>
  </si>
  <si>
    <t>ENST00000326047</t>
  </si>
  <si>
    <t>ENST00000274853</t>
  </si>
  <si>
    <t>ENST00000259874</t>
  </si>
  <si>
    <t>ENST00000376007</t>
  </si>
  <si>
    <t>ENST00000456570</t>
  </si>
  <si>
    <t>ENST00000425368</t>
  </si>
  <si>
    <t>ENST00000335987</t>
  </si>
  <si>
    <t>ENST00000221283</t>
  </si>
  <si>
    <t>ENST00000370563</t>
  </si>
  <si>
    <t>ENST00000338086</t>
  </si>
  <si>
    <t>ENST00000294635</t>
  </si>
  <si>
    <t>ENST00000402627</t>
  </si>
  <si>
    <t>ENST00000292123</t>
  </si>
  <si>
    <t>ENST00000360587</t>
  </si>
  <si>
    <t>PLEKHO1</t>
  </si>
  <si>
    <t>ENST00000265970</t>
  </si>
  <si>
    <t>ENST00000292291</t>
  </si>
  <si>
    <t>ENST00000296292</t>
  </si>
  <si>
    <t>ENST00000302692</t>
  </si>
  <si>
    <t>ENST00000373068</t>
  </si>
  <si>
    <t>ENST00000233607</t>
  </si>
  <si>
    <t>MBD1</t>
  </si>
  <si>
    <t>ENST00000295981</t>
  </si>
  <si>
    <t>ENST00000383807</t>
  </si>
  <si>
    <t>ENST00000587394</t>
  </si>
  <si>
    <t>ENST00000328923</t>
  </si>
  <si>
    <t>tCC</t>
  </si>
  <si>
    <t>ENST00000250003</t>
  </si>
  <si>
    <t>ENST00000539277</t>
  </si>
  <si>
    <t>atc</t>
  </si>
  <si>
    <t>ENST00000433835</t>
  </si>
  <si>
    <t>ENST00000266744</t>
  </si>
  <si>
    <t>ENST00000295213</t>
  </si>
  <si>
    <t>ENST00000388940</t>
  </si>
  <si>
    <t>TSGA10</t>
  </si>
  <si>
    <t>ENST00000278823</t>
  </si>
  <si>
    <t>ENST00000378693</t>
  </si>
  <si>
    <t>ENST00000381311</t>
  </si>
  <si>
    <t>ENST00000370009</t>
  </si>
  <si>
    <t>ENST00000297440</t>
  </si>
  <si>
    <t>ENST00000401903</t>
  </si>
  <si>
    <t>tgt</t>
  </si>
  <si>
    <t>ENST00000222145</t>
  </si>
  <si>
    <t>ENST00000238714</t>
  </si>
  <si>
    <t>ENST00000354396</t>
  </si>
  <si>
    <t>ENST00000305786</t>
  </si>
  <si>
    <t>ENST00000005226</t>
  </si>
  <si>
    <t>ENST00000591291</t>
  </si>
  <si>
    <t>ENST00000295092</t>
  </si>
  <si>
    <t>ENST00000304916</t>
  </si>
  <si>
    <t>ENST00000562505</t>
  </si>
  <si>
    <t>ENST00000622500</t>
  </si>
  <si>
    <t>ENST00000340042</t>
  </si>
  <si>
    <t>ENST00000355091</t>
  </si>
  <si>
    <t>ENST00000398712</t>
  </si>
  <si>
    <t>ENST00000372264</t>
  </si>
  <si>
    <t>ENST00000339450</t>
  </si>
  <si>
    <t>ENST00000379499</t>
  </si>
  <si>
    <t>ENST00000486442</t>
  </si>
  <si>
    <t>ENST00000409223</t>
  </si>
  <si>
    <t>ENST00000396554</t>
  </si>
  <si>
    <t>ENST00000361852</t>
  </si>
  <si>
    <t>ENST00000369737</t>
  </si>
  <si>
    <t>ENST00000534365</t>
  </si>
  <si>
    <t>ENST00000375820</t>
  </si>
  <si>
    <t>gga</t>
  </si>
  <si>
    <t>ENST00000255681</t>
  </si>
  <si>
    <t>ENST00000254101</t>
  </si>
  <si>
    <t>ENST00000376958</t>
  </si>
  <si>
    <t>ENST00000252338</t>
  </si>
  <si>
    <t>ENST00000372129</t>
  </si>
  <si>
    <t>ENST00000404115</t>
  </si>
  <si>
    <t>ENST00000325222</t>
  </si>
  <si>
    <t>ENST00000378533</t>
  </si>
  <si>
    <t>ggA</t>
  </si>
  <si>
    <t>ENST00000420999</t>
  </si>
  <si>
    <t>ENST00000295987</t>
  </si>
  <si>
    <t>SSX5</t>
  </si>
  <si>
    <t>ENST00000218230</t>
  </si>
  <si>
    <t>ENST00000231188</t>
  </si>
  <si>
    <t>ENST00000373829</t>
  </si>
  <si>
    <t>PCF11</t>
  </si>
  <si>
    <t>ENST00000399429</t>
  </si>
  <si>
    <t>COMT</t>
  </si>
  <si>
    <t>ENST00000382108</t>
  </si>
  <si>
    <t>ENST00000329630</t>
  </si>
  <si>
    <t>ENST00000641717</t>
  </si>
  <si>
    <t>ENST00000356800</t>
  </si>
  <si>
    <t>ENST00000394571</t>
  </si>
  <si>
    <t>ENST00000340660</t>
  </si>
  <si>
    <t>ENST00000547776</t>
  </si>
  <si>
    <t>ENST00000360359</t>
  </si>
  <si>
    <t>ENST00000334956</t>
  </si>
  <si>
    <t>ENST00000361010</t>
  </si>
  <si>
    <t>ENST00000354193</t>
  </si>
  <si>
    <t>ENST00000379011</t>
  </si>
  <si>
    <t>ENST00000449465</t>
  </si>
  <si>
    <t>ENST00000527482</t>
  </si>
  <si>
    <t>ENST00000343597</t>
  </si>
  <si>
    <t>ENST00000651255</t>
  </si>
  <si>
    <t>ENST00000244930</t>
  </si>
  <si>
    <t>ENST00000674005</t>
  </si>
  <si>
    <t>gCC</t>
  </si>
  <si>
    <t>ENST00000361866</t>
  </si>
  <si>
    <t>ENST00000377953</t>
  </si>
  <si>
    <t>ENST00000473265</t>
  </si>
  <si>
    <t>ENST00000395065</t>
  </si>
  <si>
    <t>ENST00000483063</t>
  </si>
  <si>
    <t>gcg</t>
  </si>
  <si>
    <t>ENST00000389474</t>
  </si>
  <si>
    <t>ENST00000451882</t>
  </si>
  <si>
    <t>ENST00000381962</t>
  </si>
  <si>
    <t>ENST00000399598</t>
  </si>
  <si>
    <t>ENST00000274721</t>
  </si>
  <si>
    <t>ENST00000321424</t>
  </si>
  <si>
    <t>ENST00000262262</t>
  </si>
  <si>
    <t>ENST00000291707</t>
  </si>
  <si>
    <t>ENST00000534261</t>
  </si>
  <si>
    <t>ENST00000360844</t>
  </si>
  <si>
    <t>ENST00000429354</t>
  </si>
  <si>
    <t>ENST00000262843</t>
  </si>
  <si>
    <t>ENST00000320634</t>
  </si>
  <si>
    <t>ENST00000529419</t>
  </si>
  <si>
    <t>ENST00000449188</t>
  </si>
  <si>
    <t>Gene name</t>
  </si>
  <si>
    <t>IGBP1C</t>
  </si>
  <si>
    <t>Transcript ID</t>
  </si>
  <si>
    <t xml:space="preserve">ENSG00000127561 </t>
  </si>
  <si>
    <t xml:space="preserve"> ENST00000618464 </t>
  </si>
  <si>
    <t xml:space="preserve"> present but unannotated </t>
  </si>
  <si>
    <t>-</t>
  </si>
  <si>
    <t>Yes</t>
  </si>
  <si>
    <t xml:space="preserve">ENSG00000284395 </t>
  </si>
  <si>
    <t xml:space="preserve"> ENST00000640283 </t>
  </si>
  <si>
    <t>No</t>
  </si>
  <si>
    <t xml:space="preserve">ENSG00000268163 </t>
  </si>
  <si>
    <t xml:space="preserve"> ENST00000596831 </t>
  </si>
  <si>
    <t xml:space="preserve">ENSG00000237693 </t>
  </si>
  <si>
    <t xml:space="preserve"> ENST00000522154 </t>
  </si>
  <si>
    <t xml:space="preserve">ENSG00000173041 </t>
  </si>
  <si>
    <t xml:space="preserve"> ENST00000309683 </t>
  </si>
  <si>
    <t xml:space="preserve">ENSG00000197020 </t>
  </si>
  <si>
    <t xml:space="preserve"> ENST00000608416 </t>
  </si>
  <si>
    <t xml:space="preserve">ENSG00000125498 </t>
  </si>
  <si>
    <t xml:space="preserve"> NA </t>
  </si>
  <si>
    <t xml:space="preserve">ENSG00000167633 </t>
  </si>
  <si>
    <t xml:space="preserve">ENSG00000240403 </t>
  </si>
  <si>
    <t xml:space="preserve">ENSG00000242019 </t>
  </si>
  <si>
    <t xml:space="preserve">ENSG00000243772 </t>
  </si>
  <si>
    <t xml:space="preserve">ENSG00000143793 </t>
  </si>
  <si>
    <t xml:space="preserve"> ENST00000272139 </t>
  </si>
  <si>
    <t xml:space="preserve">ENSG00000273045 </t>
  </si>
  <si>
    <t xml:space="preserve"> ENST00000650052 </t>
  </si>
  <si>
    <t xml:space="preserve">ENSG00000242259 </t>
  </si>
  <si>
    <t xml:space="preserve"> ENST00000542103 </t>
  </si>
  <si>
    <t xml:space="preserve"> ENST00000310597 </t>
  </si>
  <si>
    <t xml:space="preserve">ENSG00000177854 </t>
  </si>
  <si>
    <t xml:space="preserve"> ENST00000369982 </t>
  </si>
  <si>
    <t xml:space="preserve">ENSG00000175643 </t>
  </si>
  <si>
    <t xml:space="preserve"> ENST00000648619 </t>
  </si>
  <si>
    <t xml:space="preserve">ENSG00000284730 </t>
  </si>
  <si>
    <t xml:space="preserve"> ENST00000642069 </t>
  </si>
  <si>
    <t xml:space="preserve">ENSG00000135116 </t>
  </si>
  <si>
    <t xml:space="preserve"> ENST00000257572 </t>
  </si>
  <si>
    <t xml:space="preserve">ENSG00000175701 </t>
  </si>
  <si>
    <t xml:space="preserve"> ENST00000414416 </t>
  </si>
  <si>
    <t xml:space="preserve">ENSG00000188483 </t>
  </si>
  <si>
    <t xml:space="preserve"> ENST00000372491 </t>
  </si>
  <si>
    <t xml:space="preserve">ENSG00000179751 </t>
  </si>
  <si>
    <t xml:space="preserve"> ENST00000318438 </t>
  </si>
  <si>
    <t xml:space="preserve">ENSG00000182600 </t>
  </si>
  <si>
    <t xml:space="preserve"> ENST00000331342 </t>
  </si>
  <si>
    <t xml:space="preserve">ENSG00000184292 </t>
  </si>
  <si>
    <t xml:space="preserve"> ENST00000371225 </t>
  </si>
  <si>
    <t xml:space="preserve">ENSG00000184905 </t>
  </si>
  <si>
    <t xml:space="preserve"> ENST00000329035 </t>
  </si>
  <si>
    <t xml:space="preserve">ENSG00000176076 </t>
  </si>
  <si>
    <t xml:space="preserve"> ENST00000372101 </t>
  </si>
  <si>
    <t xml:space="preserve">ENSG00000173349 </t>
  </si>
  <si>
    <t xml:space="preserve"> ENST00000310981 </t>
  </si>
  <si>
    <t xml:space="preserve">ENSG00000257704 </t>
  </si>
  <si>
    <t xml:space="preserve"> ENST00000552360 </t>
  </si>
  <si>
    <t xml:space="preserve">ENSG00000156381 </t>
  </si>
  <si>
    <t xml:space="preserve"> ENST00000286918 </t>
  </si>
  <si>
    <t xml:space="preserve">ENSG00000183729 </t>
  </si>
  <si>
    <t xml:space="preserve"> ENST00000331251 </t>
  </si>
  <si>
    <t xml:space="preserve">ENSG00000259330 </t>
  </si>
  <si>
    <t xml:space="preserve"> ENST00000638170 </t>
  </si>
  <si>
    <t xml:space="preserve">ENSG00000284704 </t>
  </si>
  <si>
    <t xml:space="preserve"> ENST00000642029 </t>
  </si>
  <si>
    <t xml:space="preserve">ENSG00000142544 </t>
  </si>
  <si>
    <t xml:space="preserve"> ENST00000421832 </t>
  </si>
  <si>
    <t xml:space="preserve">ENSG00000170128 </t>
  </si>
  <si>
    <t xml:space="preserve"> ENST00000304244 </t>
  </si>
  <si>
    <t xml:space="preserve">ENSG00000182162 </t>
  </si>
  <si>
    <t xml:space="preserve"> ENST00000381297 </t>
  </si>
  <si>
    <t xml:space="preserve">ENSG00000173213 </t>
  </si>
  <si>
    <t xml:space="preserve">ENSG00000261456 </t>
  </si>
  <si>
    <t xml:space="preserve">ENSG00000181786 </t>
  </si>
  <si>
    <t xml:space="preserve"> ENST00000324436 </t>
  </si>
  <si>
    <t xml:space="preserve">ENSG00000121743 </t>
  </si>
  <si>
    <t xml:space="preserve"> ENST00000241125 </t>
  </si>
  <si>
    <t xml:space="preserve">ENSG00000198788 </t>
  </si>
  <si>
    <t xml:space="preserve"> ENST00000616479 </t>
  </si>
  <si>
    <t xml:space="preserve">ENSG00000113303 </t>
  </si>
  <si>
    <t xml:space="preserve">ENSG00000168903 </t>
  </si>
  <si>
    <t xml:space="preserve">ENSG00000212993 </t>
  </si>
  <si>
    <t xml:space="preserve">ENSG00000134595 </t>
  </si>
  <si>
    <t xml:space="preserve"> ENST00000370536 </t>
  </si>
  <si>
    <t xml:space="preserve">ENSG00000184895 </t>
  </si>
  <si>
    <t xml:space="preserve">ENSG00000165215 </t>
  </si>
  <si>
    <t xml:space="preserve"> ENST00000395145 </t>
  </si>
  <si>
    <t xml:space="preserve">ENSG00000184216 </t>
  </si>
  <si>
    <t xml:space="preserve"> ENST00000444230 </t>
  </si>
  <si>
    <t xml:space="preserve">ENSG00000172365 </t>
  </si>
  <si>
    <t xml:space="preserve">ENSG00000197849 </t>
  </si>
  <si>
    <t xml:space="preserve"> ENST00000341493 </t>
  </si>
  <si>
    <t xml:space="preserve">ENSG00000279761 </t>
  </si>
  <si>
    <t xml:space="preserve">ENSG00000205030 </t>
  </si>
  <si>
    <t xml:space="preserve">ENSG00000048545 </t>
  </si>
  <si>
    <t xml:space="preserve">ENSG00000063438 </t>
  </si>
  <si>
    <t xml:space="preserve">ENSG00000160877 </t>
  </si>
  <si>
    <t xml:space="preserve"> ENST00000292431 </t>
  </si>
  <si>
    <t xml:space="preserve">ENSG00000284741 </t>
  </si>
  <si>
    <t xml:space="preserve">ENSG00000231767 </t>
  </si>
  <si>
    <t xml:space="preserve">ENSG00000179886 </t>
  </si>
  <si>
    <t xml:space="preserve"> ENST00000504548 </t>
  </si>
  <si>
    <t xml:space="preserve">ENSG00000163251 </t>
  </si>
  <si>
    <t xml:space="preserve"> ENST00000295417 </t>
  </si>
  <si>
    <t xml:space="preserve">ENSG00000159496 </t>
  </si>
  <si>
    <t xml:space="preserve">ENSG00000138135 </t>
  </si>
  <si>
    <t xml:space="preserve"> ENST00000371852 </t>
  </si>
  <si>
    <t xml:space="preserve">ENSG00000205702 </t>
  </si>
  <si>
    <t xml:space="preserve">ENSG00000107187 </t>
  </si>
  <si>
    <t xml:space="preserve"> ENST00000371748 </t>
  </si>
  <si>
    <t xml:space="preserve">ENSG00000130829 </t>
  </si>
  <si>
    <t xml:space="preserve"> ENST00000342782 </t>
  </si>
  <si>
    <t xml:space="preserve">ENSG00000186860 </t>
  </si>
  <si>
    <t xml:space="preserve"> ENST00000334202 </t>
  </si>
  <si>
    <t xml:space="preserve">ENSG00000203618 </t>
  </si>
  <si>
    <t xml:space="preserve"> ENST00000366425 </t>
  </si>
  <si>
    <t xml:space="preserve">ENSG00000254093 </t>
  </si>
  <si>
    <t xml:space="preserve">ENSG00000147119 </t>
  </si>
  <si>
    <t xml:space="preserve"> ENST00000276055 </t>
  </si>
  <si>
    <t xml:space="preserve">ENSG00000180044 </t>
  </si>
  <si>
    <t xml:space="preserve"> ENST00000326474 </t>
  </si>
  <si>
    <t xml:space="preserve">ENSG00000183114 </t>
  </si>
  <si>
    <t xml:space="preserve"> ENST00000332947 </t>
  </si>
  <si>
    <t xml:space="preserve">ENSG00000224383 </t>
  </si>
  <si>
    <t xml:space="preserve"> ENST00000425164 </t>
  </si>
  <si>
    <t xml:space="preserve">ENSG00000224877 </t>
  </si>
  <si>
    <t xml:space="preserve"> ENST00000431388 </t>
  </si>
  <si>
    <t xml:space="preserve">ENSG00000142444 </t>
  </si>
  <si>
    <t xml:space="preserve"> ENST00000270502 </t>
  </si>
  <si>
    <t xml:space="preserve">ENSG00000283980 </t>
  </si>
  <si>
    <t xml:space="preserve"> ENST00000640117 </t>
  </si>
  <si>
    <t xml:space="preserve">ENSG00000160888 </t>
  </si>
  <si>
    <t xml:space="preserve"> ENST00000292433 </t>
  </si>
  <si>
    <t xml:space="preserve">ENSG00000261130 </t>
  </si>
  <si>
    <t xml:space="preserve"> ENST00000568766 </t>
  </si>
  <si>
    <t xml:space="preserve">ENSG00000151846 </t>
  </si>
  <si>
    <t xml:space="preserve"> ENST00000281589 </t>
  </si>
  <si>
    <t xml:space="preserve">ENSG00000188816 </t>
  </si>
  <si>
    <t xml:space="preserve"> ENST00000339992 </t>
  </si>
  <si>
    <t xml:space="preserve">ENSG00000188620 </t>
  </si>
  <si>
    <t xml:space="preserve"> ENST00000357878 </t>
  </si>
  <si>
    <t xml:space="preserve">ENSG00000215612 </t>
  </si>
  <si>
    <t xml:space="preserve">ENSG00000171794 </t>
  </si>
  <si>
    <t xml:space="preserve"> ENST00000304477 </t>
  </si>
  <si>
    <t xml:space="preserve">ENSG00000163794 </t>
  </si>
  <si>
    <t xml:space="preserve"> ENST00000296099 </t>
  </si>
  <si>
    <t xml:space="preserve">ENSG00000230667 </t>
  </si>
  <si>
    <t xml:space="preserve">ENSG00000102178 </t>
  </si>
  <si>
    <t xml:space="preserve"> ENST00000369653 </t>
  </si>
  <si>
    <t xml:space="preserve">ENSG00000175602 </t>
  </si>
  <si>
    <t xml:space="preserve"> ENST00000312579 </t>
  </si>
  <si>
    <t xml:space="preserve">ENSG00000125650 </t>
  </si>
  <si>
    <t xml:space="preserve"> ENST00000245810 </t>
  </si>
  <si>
    <t xml:space="preserve">ENSG00000175938 </t>
  </si>
  <si>
    <t xml:space="preserve"> ENST00000562699 </t>
  </si>
  <si>
    <t xml:space="preserve">ENSG00000214534 </t>
  </si>
  <si>
    <t xml:space="preserve"> ENST00000525199 </t>
  </si>
  <si>
    <t xml:space="preserve">ENSG00000083828 </t>
  </si>
  <si>
    <t xml:space="preserve">ENSG00000213799 </t>
  </si>
  <si>
    <t xml:space="preserve"> ENST00000458035 </t>
  </si>
  <si>
    <t xml:space="preserve">ENSG00000258405 </t>
  </si>
  <si>
    <t xml:space="preserve"> ENST00000421239 </t>
  </si>
  <si>
    <t xml:space="preserve">ENSG00000160336 </t>
  </si>
  <si>
    <t xml:space="preserve">ENSG00000167562 </t>
  </si>
  <si>
    <t xml:space="preserve">ENSG00000180257 </t>
  </si>
  <si>
    <t xml:space="preserve">ENSG00000182986 </t>
  </si>
  <si>
    <t xml:space="preserve">ENSG00000189190 </t>
  </si>
  <si>
    <t xml:space="preserve">ENSG00000197385 </t>
  </si>
  <si>
    <t xml:space="preserve">ENSG00000198346 </t>
  </si>
  <si>
    <t xml:space="preserve">ENSG00000198482 </t>
  </si>
  <si>
    <t xml:space="preserve">ENSG00000198538 </t>
  </si>
  <si>
    <t xml:space="preserve"> ENST00000457749 </t>
  </si>
  <si>
    <t xml:space="preserve">ENSG00000203326 </t>
  </si>
  <si>
    <t xml:space="preserve">ENSG00000204604 </t>
  </si>
  <si>
    <t xml:space="preserve">ENSG00000213020 </t>
  </si>
  <si>
    <t xml:space="preserve">ENSG00000213793 </t>
  </si>
  <si>
    <t xml:space="preserve">ENSG00000181450 </t>
  </si>
  <si>
    <t xml:space="preserve"> ENST00000440339 </t>
  </si>
  <si>
    <t xml:space="preserve">ENSG00000235194 </t>
  </si>
  <si>
    <t xml:space="preserve"> ENST00000452015 </t>
  </si>
  <si>
    <t xml:space="preserve">ENSG00000171222 </t>
  </si>
  <si>
    <t xml:space="preserve"> ENST00000305978 </t>
  </si>
  <si>
    <t xml:space="preserve">ENSG00000143590 </t>
  </si>
  <si>
    <t xml:space="preserve"> ENST00000368408 </t>
  </si>
  <si>
    <t xml:space="preserve">ENSG00000179172 </t>
  </si>
  <si>
    <t xml:space="preserve">ENSG00000179412 </t>
  </si>
  <si>
    <t xml:space="preserve">ENSG00000275774 </t>
  </si>
  <si>
    <t xml:space="preserve">ENSG00000277058 </t>
  </si>
  <si>
    <t xml:space="preserve">ENSG00000124635 </t>
  </si>
  <si>
    <t xml:space="preserve">ENSG00000234289 </t>
  </si>
  <si>
    <t xml:space="preserve">ENSG00000274559 </t>
  </si>
  <si>
    <t xml:space="preserve">ENSG00000188486 </t>
  </si>
  <si>
    <t xml:space="preserve"> ENST00000530167 </t>
  </si>
  <si>
    <t xml:space="preserve">ENSG00000229674 </t>
  </si>
  <si>
    <t xml:space="preserve"> ENST00000448797 </t>
  </si>
  <si>
    <t xml:space="preserve">ENSG00000274183 </t>
  </si>
  <si>
    <t xml:space="preserve"> ENST00000620016 </t>
  </si>
  <si>
    <t xml:space="preserve">ENSG00000277745 </t>
  </si>
  <si>
    <t xml:space="preserve"> ENST00000615853 </t>
  </si>
  <si>
    <t xml:space="preserve">ENSG00000277858 </t>
  </si>
  <si>
    <t xml:space="preserve"> ENST00000354514 </t>
  </si>
  <si>
    <t xml:space="preserve">ENSG00000184785 </t>
  </si>
  <si>
    <t xml:space="preserve"> ENST00000330288 </t>
  </si>
  <si>
    <t xml:space="preserve">ENSG00000234444 </t>
  </si>
  <si>
    <t xml:space="preserve"> ENST00000355095 </t>
  </si>
  <si>
    <t xml:space="preserve">ENSG00000188785 </t>
  </si>
  <si>
    <t xml:space="preserve">ENSG00000179862 </t>
  </si>
  <si>
    <t xml:space="preserve"> ENST00000372638 </t>
  </si>
  <si>
    <t xml:space="preserve">ENSG00000233954 </t>
  </si>
  <si>
    <t xml:space="preserve">ENSG00000142700 </t>
  </si>
  <si>
    <t xml:space="preserve"> ENST00000404795 </t>
  </si>
  <si>
    <t xml:space="preserve">ENSG00000268133 </t>
  </si>
  <si>
    <t xml:space="preserve"> ENST00000597658 </t>
  </si>
  <si>
    <t xml:space="preserve">ENSG00000213934 </t>
  </si>
  <si>
    <t xml:space="preserve">ENSG00000284931 </t>
  </si>
  <si>
    <t xml:space="preserve">ENSG00000086506 </t>
  </si>
  <si>
    <t xml:space="preserve"> ENST00000199708 </t>
  </si>
  <si>
    <t xml:space="preserve">ENSG00000169509 </t>
  </si>
  <si>
    <t xml:space="preserve"> ENST00000368790 </t>
  </si>
  <si>
    <t xml:space="preserve">ENSG00000250254 </t>
  </si>
  <si>
    <t xml:space="preserve">ENSG00000184709 </t>
  </si>
  <si>
    <t xml:space="preserve"> ENST00000371542 </t>
  </si>
  <si>
    <t xml:space="preserve">ENSG00000226784 </t>
  </si>
  <si>
    <t xml:space="preserve">ENSG00000285437 </t>
  </si>
  <si>
    <t xml:space="preserve">ENSG00000270170 </t>
  </si>
  <si>
    <t xml:space="preserve"> ENST00000602845 </t>
  </si>
  <si>
    <t xml:space="preserve">ENSG00000120055 </t>
  </si>
  <si>
    <t xml:space="preserve"> ENST00000625129 </t>
  </si>
  <si>
    <t xml:space="preserve">ENSG00000185361 </t>
  </si>
  <si>
    <t xml:space="preserve"> ENST00000327473 </t>
  </si>
  <si>
    <t xml:space="preserve">ENSG00000178015 </t>
  </si>
  <si>
    <t xml:space="preserve"> ENST00000380007 </t>
  </si>
  <si>
    <t xml:space="preserve">ENSG00000187808 </t>
  </si>
  <si>
    <t xml:space="preserve"> ENST00000343905 </t>
  </si>
  <si>
    <t xml:space="preserve">ENSG00000238205 </t>
  </si>
  <si>
    <t xml:space="preserve"> ENST00000423387 </t>
  </si>
  <si>
    <t xml:space="preserve">ENSG00000255181 </t>
  </si>
  <si>
    <t xml:space="preserve"> ENST00000542437 </t>
  </si>
  <si>
    <t xml:space="preserve">ENSG00000198680 </t>
  </si>
  <si>
    <t xml:space="preserve"> ENST00000358022 </t>
  </si>
  <si>
    <t xml:space="preserve">ENSG00000165175 </t>
  </si>
  <si>
    <t xml:space="preserve"> ENST00000336949 </t>
  </si>
  <si>
    <t xml:space="preserve">ENSG00000101940 </t>
  </si>
  <si>
    <t xml:space="preserve"> ENST00000470124 </t>
  </si>
  <si>
    <t xml:space="preserve">ENSG00000179431 </t>
  </si>
  <si>
    <t xml:space="preserve"> ENST00000317811 </t>
  </si>
  <si>
    <t xml:space="preserve">ENSG00000197921 </t>
  </si>
  <si>
    <t xml:space="preserve"> ENST00000378453 </t>
  </si>
  <si>
    <t xml:space="preserve">ENSG00000183791 </t>
  </si>
  <si>
    <t xml:space="preserve"> ENST00000330682 </t>
  </si>
  <si>
    <t xml:space="preserve">ENSG00000274744 </t>
  </si>
  <si>
    <t xml:space="preserve"> ENST00000620881 </t>
  </si>
  <si>
    <t xml:space="preserve">ENSG00000278674 </t>
  </si>
  <si>
    <t xml:space="preserve"> ENST00000611323 </t>
  </si>
  <si>
    <t xml:space="preserve">ENSG00000184731 </t>
  </si>
  <si>
    <t xml:space="preserve"> ENST00000327669 </t>
  </si>
  <si>
    <t xml:space="preserve">ENSG00000101405 </t>
  </si>
  <si>
    <t xml:space="preserve"> ENST00000217386 </t>
  </si>
  <si>
    <t xml:space="preserve">ENSG00000187855 </t>
  </si>
  <si>
    <t xml:space="preserve"> ENST00000342331 </t>
  </si>
  <si>
    <t>Part of sequence missing</t>
  </si>
  <si>
    <t>Full sequence present</t>
  </si>
  <si>
    <t>Full sequence missing (pseudogene in human)</t>
  </si>
  <si>
    <t>Filtered out</t>
  </si>
  <si>
    <t>Felidae-specific alternative stop site</t>
  </si>
  <si>
    <t>Felidae-specific PTC</t>
  </si>
  <si>
    <t>Non-specific PTC</t>
  </si>
  <si>
    <t>Stop fixed</t>
  </si>
  <si>
    <t>ENST00000216288</t>
  </si>
  <si>
    <t>ENST00000220959</t>
  </si>
  <si>
    <t>ENST00000226355</t>
  </si>
  <si>
    <t>ENST00000227349</t>
  </si>
  <si>
    <t>ENST00000228515</t>
  </si>
  <si>
    <t>ENST00000244051</t>
  </si>
  <si>
    <t>ENST00000249363</t>
  </si>
  <si>
    <t>ENST00000249389</t>
  </si>
  <si>
    <t>ENST00000255266</t>
  </si>
  <si>
    <t>ENST00000255858</t>
  </si>
  <si>
    <t>ENST00000256996</t>
  </si>
  <si>
    <t>ENST00000260753</t>
  </si>
  <si>
    <t>ENST00000263119</t>
  </si>
  <si>
    <t>ENST00000264712</t>
  </si>
  <si>
    <t>ENST00000265171</t>
  </si>
  <si>
    <t>ENST00000269209</t>
  </si>
  <si>
    <t>ENST00000275198</t>
  </si>
  <si>
    <t>ENST00000276079</t>
  </si>
  <si>
    <t>ENST00000276609</t>
  </si>
  <si>
    <t>ENST00000278070</t>
  </si>
  <si>
    <t>ENST00000280377</t>
  </si>
  <si>
    <t>ENST00000282356</t>
  </si>
  <si>
    <t>ENST00000284476</t>
  </si>
  <si>
    <t>ENST00000287275</t>
  </si>
  <si>
    <t>ENST00000291971</t>
  </si>
  <si>
    <t>ENST00000293502</t>
  </si>
  <si>
    <t>ENST00000295589</t>
  </si>
  <si>
    <t>ENST00000296358</t>
  </si>
  <si>
    <t>ENST00000298552</t>
  </si>
  <si>
    <t>ENST00000298841</t>
  </si>
  <si>
    <t>ENST00000299866</t>
  </si>
  <si>
    <t>ENST00000300079</t>
  </si>
  <si>
    <t>ENST00000306125</t>
  </si>
  <si>
    <t>ENST00000306378</t>
  </si>
  <si>
    <t>ENST00000307221</t>
  </si>
  <si>
    <t>ENST00000310521</t>
  </si>
  <si>
    <t>ENST00000317799</t>
  </si>
  <si>
    <t>ENST00000319769</t>
  </si>
  <si>
    <t>ENST00000321105</t>
  </si>
  <si>
    <t>ENST00000322507</t>
  </si>
  <si>
    <t>ENST00000331780</t>
  </si>
  <si>
    <t>ENST00000332118</t>
  </si>
  <si>
    <t>ENST00000337774</t>
  </si>
  <si>
    <t>ENST00000338042</t>
  </si>
  <si>
    <t>ENST00000340010</t>
  </si>
  <si>
    <t>ENST00000340800</t>
  </si>
  <si>
    <t>ENST00000346134</t>
  </si>
  <si>
    <t>ENST00000349157</t>
  </si>
  <si>
    <t>ENST00000358746</t>
  </si>
  <si>
    <t>ENST00000359479</t>
  </si>
  <si>
    <t>ENST00000360726</t>
  </si>
  <si>
    <t>ENST00000360802</t>
  </si>
  <si>
    <t>ENST00000361420</t>
  </si>
  <si>
    <t>ENST00000362065</t>
  </si>
  <si>
    <t>ENST00000367721</t>
  </si>
  <si>
    <t>ENST00000369162</t>
  </si>
  <si>
    <t>ENST00000371927</t>
  </si>
  <si>
    <t>ENST00000373257</t>
  </si>
  <si>
    <t>ENST00000373294</t>
  </si>
  <si>
    <t>ENST00000373563</t>
  </si>
  <si>
    <t>ENST00000373983</t>
  </si>
  <si>
    <t>ENST00000374169</t>
  </si>
  <si>
    <t>ENST00000374314</t>
  </si>
  <si>
    <t>ENST00000374472</t>
  </si>
  <si>
    <t>ENST00000374541</t>
  </si>
  <si>
    <t>ENST00000375643</t>
  </si>
  <si>
    <t>ENST00000376755</t>
  </si>
  <si>
    <t>ENST00000377028</t>
  </si>
  <si>
    <t>ENST00000377889</t>
  </si>
  <si>
    <t>ENST00000380332</t>
  </si>
  <si>
    <t>ENST00000380358</t>
  </si>
  <si>
    <t>ENST00000382891</t>
  </si>
  <si>
    <t>ENST00000390652</t>
  </si>
  <si>
    <t>ENST00000392800</t>
  </si>
  <si>
    <t>ENST00000393238</t>
  </si>
  <si>
    <t>ENST00000394810</t>
  </si>
  <si>
    <t>ENST00000395614</t>
  </si>
  <si>
    <t>ENST00000396432</t>
  </si>
  <si>
    <t>ENST00000398510</t>
  </si>
  <si>
    <t>ENST00000399300</t>
  </si>
  <si>
    <t>ENST00000400274</t>
  </si>
  <si>
    <t>ENST00000402034</t>
  </si>
  <si>
    <t>ENST00000405460</t>
  </si>
  <si>
    <t>ENST00000410053</t>
  </si>
  <si>
    <t>ENST00000412331</t>
  </si>
  <si>
    <t>ENST00000414423</t>
  </si>
  <si>
    <t>ENST00000421745</t>
  </si>
  <si>
    <t>ENST00000428839</t>
  </si>
  <si>
    <t>ENST00000431446</t>
  </si>
  <si>
    <t>ENST00000436874</t>
  </si>
  <si>
    <t>ENST00000444189</t>
  </si>
  <si>
    <t>ENST00000449082</t>
  </si>
  <si>
    <t>ENST00000477922</t>
  </si>
  <si>
    <t>ENST00000509877</t>
  </si>
  <si>
    <t>ENST00000520908</t>
  </si>
  <si>
    <t>ENST00000537526</t>
  </si>
  <si>
    <t>ENST00000540385</t>
  </si>
  <si>
    <t>ENST00000544627</t>
  </si>
  <si>
    <t>ENST00000571838</t>
  </si>
  <si>
    <t>ENST00000607093</t>
  </si>
  <si>
    <t>ENST00000616559</t>
  </si>
  <si>
    <t>ENST00000620217</t>
  </si>
  <si>
    <t>ENST00000636502</t>
  </si>
  <si>
    <t>ENST00000665637</t>
  </si>
  <si>
    <t>ENST00000248879</t>
  </si>
  <si>
    <t>ENST00000261047</t>
  </si>
  <si>
    <t>ENST00000331444</t>
  </si>
  <si>
    <t>ENST00000439023</t>
  </si>
  <si>
    <t>ENST00000475092</t>
  </si>
  <si>
    <t>ENST00000555938</t>
  </si>
  <si>
    <t>Alternative stop site</t>
  </si>
  <si>
    <t>Gene not found</t>
  </si>
  <si>
    <t>312_340,350_399_420_435_464_476,482,484_496_552_566,571,580,581_596_611_644_660,667,675_699,704_716_731_753,761_780</t>
  </si>
  <si>
    <t>764_1649_1677_1693,1698,1704_1723,1725_1746_1757_1768_1780_1797_1833,1839_1853,1861_1876,1880,1881,1888,1895_1907_1918,1925_1956,1961_2005,2010_2043_2056_2069,2074,2078_2089,2091_2103_2142_2164_2175,2180,2190_2203,2208</t>
  </si>
  <si>
    <t>147_164_220,229,238_258_273_336</t>
  </si>
  <si>
    <t>149,152,159_170</t>
  </si>
  <si>
    <t>499_531,536,544_560,564_578,582_598,600,603_615,618_673_689,692,701,710,713,718,727,730,737,741,743_768_793,798_814,822,824_838,841_855_870,875_887,892_932,939,942_953,955,957,963,968,977,987_1013_1038,1042,1044,1054_1076,1079_1144,1150,1151,1157_1172_1183_1197_1222,1230,1232,1238,1239_1253_1276_1311,1314,1319,1321,1323,1328,1336_1351_1365,1366_1389_1426_1442,1451,1453,1454,1464_1477,1482,1491_1517,1521,1530,1532,1535,1545_1580_1591,1598_1611,1617,1618,1619,1621,1629,1632,1637_1668_1683_1723_1739_1764_1780_1794_1817,1818_1837,1845,1849,1850,1858,1862_1876,1884,1885,1893_1910,1912,1922,1924,1927,1930,1934_1986,1988_2021_2049,2051_2068,2069,2070,2077,2079,2087_2099_2134_2178_2196,2201_2220_2250,2252,2262,2266_2291,2294,2301_2317</t>
  </si>
  <si>
    <t>163_193_278_325_348_367_518_533,534_578_598_617_641,644_691,701_713_743_757_779_801,802_821_862_888_905_936_981_1033,1035,1040,1043_1103,1107_1162,1164_1182_1215</t>
  </si>
  <si>
    <t>92,100_122_149,159,160_175_201_216,224_258,263_304,305,310_324,328,338,342,349_373_428_448,452_472</t>
  </si>
  <si>
    <t>347_361_377_389_411</t>
  </si>
  <si>
    <t>1779_1797_1820</t>
  </si>
  <si>
    <t>51,56</t>
  </si>
  <si>
    <t>1847_1863_1892,1893,1901,1908_1938,1939,1943,1951_1979</t>
  </si>
  <si>
    <t>1723_1739_1788_1824_1845_1937</t>
  </si>
  <si>
    <t>83_99_110_148</t>
  </si>
  <si>
    <t>705_769</t>
  </si>
  <si>
    <t>41_70_95,104,109_122_137,145,146,153,154,155,161,163</t>
  </si>
  <si>
    <t>3349_3368_3396_3413,3417_3433_3471,3472,3473_3485,3487,3497_3531_3564,3565_3578,3586_3597_3620,3628_3651_3668,3678_3701,3711_3725,3727,3729_3745_3762_3773,3776,3777,3781,3788,3794_3836,3837_3872_3884_3899,3903_3917,3922,3931,3936,3942,3943,3951,3955_4006,4015,4023,4031_4064_4086_4111,4114,4121,4122_4157_4170_4199,4204_4239,4241,4246_4272,4276_4313_4337,4346,4351,4360_4378_4398_4417_4430,4433,4437,4439,4446_4460_4494,4495,4499_4519,4521_4544,4553,4554_4595,4599,4600,4604,4607_4620,4624,4629_4644_4657_4675,4676_4712,4714,4715_4727,4733</t>
  </si>
  <si>
    <t>DNAH1</t>
  </si>
  <si>
    <t>1534_2155_2369,2372_2458_2472_2507_2525,2530_2543_2605,2612_2624_2652_2666_2741,2744,2749_2761,2770_2796_2813_2830,2838_2898,2908,2909,2916_2935,2938_2995,2996,3001_3018_3046_3114_3146,3147,3151_3191_3236_3261_3319,3322_3337_3365,3374,3381_3392_3403,3409_3425_3441_3463_3517,3520_3538,3545_3560,3565_3590_3603_3618_3655,3660_3683,3687,3693_3748,3751,3753,3754</t>
  </si>
  <si>
    <t>259_277_290_338,342,345_384_452,455_466,467_499,503</t>
  </si>
  <si>
    <t>37_88,92_107_143_170_275,276_340_354_365,366_400_485_538_568</t>
  </si>
  <si>
    <t>565,575_598_611,612,620,622,629_641_692,702,707_737,741,745,755,764_788,794_814_829,839_878,881,890,897,900_916,917_987,995_1012_1090,1100,1106,1109,1110_1126,1130_1141_1187_1205,1208_1221,1228,1230,1231_1249_1272_1283_1299,1300,1304_1333_1361_1372_1385,1394_1416,1419_1435_1452_1464,1470,1479,1483,1490_1545_1563,1564_1645_1663_1685_1720_1739_1762_1777_1809,1815_1844,1851,1852_1887,1890,1899,1905_1967_2001,2002,2004,2012,2013_2031_2058_2083,2084_2108_2140_2152,2159,2169,2177_2206,2215,2218_2244,2252,2254,2258_2292_2305_2323_2334_2352_2373_2396_2427_2466_2486,2489_2506_2539,2548_2560,2570,2572,2581_2608,2609,2617,2620_2635,2638,2644_2657_2672_2693_2715_2727_2747_2765_2821,2822_2842_2860_2882,2886_2911_2929_2941_2954,2957_2968,2974_3021,3026,3029,3034,3035,3036,3042_3070,3071,3072,3080,3083_3099_3161,3166,3174,3180_3209,3216_3230,3233_3245_3303,3311,3314,3317_3329,3333_3368_3383,3385_3428_3442,3445,3452,3458,3465_3483_3506,3507_3551,3561_3579,3588,3592,3595,3599,3602_3613,3614_3626,3628_3639,3649,3650,3651_3665,3674,3681_3697,3701,3702_3714_3728,3729_3750,3754,3759_3773_3784,3789,3794_3808_3821,3830,3834,3836_3864,3867_3878,3885_3902,3906,3909,3910,3916_3931_3963,3970,3977,3981_3993,3994,3996,3998_4019_4030,4039,4046,4047,4052,4053,4055_4080,4083,4085_4096,4097,4101,4111_4128,4129,4138,4147_4160_4205_4228,4229,4232,4238,4246,4252_4265_4276_4306_4328_4339,4342,4343_4367_4382_4397,4398,4404,4406,4413_4438_4477,4478,4479,4480,4482,4488_4514,4524,4525,4532_4603,4606,4608,4614,4616,4623,4629_4640,4650,4654_4694_4710,4714,4718,4725,4728,4730_4761,4762_4783,4784,4789_4809,4817,4818_4833_4884,4894_4914_4960_5001,5003,5013_5027_5042,5051,5059,5069,5074,5078,5083,5088,5096_5109,5111_5130,5131,5132,5142,5150,5159,5166_5178,5185,5194,5201_5225,5234,5243_5264,5268_5282_5294,5299_5315,5323,5324,5325_5351_5366,5376,5386,5389,5390_5406_5417_5433_5455,5465,5474,5484,5491,5496_5515_5537,5547_5567,5573_5597,5605,5613,5620,5626_5646,5649_5666_5677,5681,5690,5697,5704,5711,5718,5721,5730,5738,5745_5768,5773_5797,5805_5822_5838,5841,5845,5850_5873,5881_5904,5911_5943_5972_6007,6008_6054_6097_6216_6231_6256,6257,6263,6264_6279,6280,6281_6294</t>
  </si>
  <si>
    <t>325_348</t>
  </si>
  <si>
    <t>1099,1107_1152_1164_1251_1283_1311_1380_1411_1523,1528</t>
  </si>
  <si>
    <t>770_794</t>
  </si>
  <si>
    <t>1675,1680,1682,1683,1691,1694_1728_1747,1749,1753_1773,1774_1798,1799_1822,1827,1829_1847,1850,1860,1862,1867,1872,1876,1879,1882,1883,1884_1931_1948_1969,1970_1991,1993_2007_2035,2040,2050,2052,2055,2062,2069,2078_2101_2121_2133,2135,2137,2139,2141_2167_2200,2202_2220_2232,2236_2287,2291_2314_2327_2424_2445,2450,2453,2456_2494_2505_2517_2532,2537_2551,2552,2556,2557_2568_2601,2607_2618_2708_2749,2751_2797_2816_2829,2837,2842_2854,2863,2869,2874_2886,2887</t>
  </si>
  <si>
    <t>453_491_534,537_563_582_640_711,719,726_762_797,805_823_882_909_946,950_986,988,995_1029,1035,1037,1044_1081,1082,1086,1088_1101_1113,1122</t>
  </si>
  <si>
    <t>596,599_652_673_695_711</t>
  </si>
  <si>
    <t>232_255,256,262,264,272_313_328_340_357_375_401_415</t>
  </si>
  <si>
    <t>254,259_300,307_379,383,386_417_437_466,474_529_543_574_615</t>
  </si>
  <si>
    <t>900,907,911_941_989,997,1007,1010_1033_1063_1159_1199_1210,1215</t>
  </si>
  <si>
    <t>46_69,74_122_134</t>
  </si>
  <si>
    <t>73_156_178_198_220_232_270_289,292_304,310_335_379_401_413,422_436_457_507,513,523</t>
  </si>
  <si>
    <t>195,200,209_274_291_309_324_353_367,368,378_409_441,448_507</t>
  </si>
  <si>
    <t>101,103_147</t>
  </si>
  <si>
    <t>34_69_110,116,126,127_178_210_247_258,260_364,372_383_429_451_480_508_589,591_603_629,635_651_670_693_721_732,739,744_781,786,789_815_830,836,845,849_876_894_907,914,915,921,926_975_1011_1024_1039,1043_1062_1114,1116,1126_1147_1181_1233_1247,1250,1252</t>
  </si>
  <si>
    <t>713_745_803_827,830,833,841,848_863_885</t>
  </si>
  <si>
    <t>131_182,190_226_328_340,344</t>
  </si>
  <si>
    <t>268_322_388_402_417</t>
  </si>
  <si>
    <t>166_325_373,377_402_417_434,439,442_467_483</t>
  </si>
  <si>
    <t>945_1051,1056,1060,1064,1068,1077,1085,1090,1092,1099,1105,1109_1126,1136,1143,1147_1165,1168,1171,1179_1252</t>
  </si>
  <si>
    <t>106,110_152_196,197,204,207_233,243,246,251,254_278,281_308_377_390_425_436_449_474,481_493,494,495,500</t>
  </si>
  <si>
    <t>653_830</t>
  </si>
  <si>
    <t>37_51_77,78_100_118,128_213_258_280_298,299_318_354_378_397</t>
  </si>
  <si>
    <t>585,586,594_806,812_844_867_898_914,917,926,931_946_966_1014_1031,1034,1038_1050,1057_1098,1105,1110_1127_1138,1141,1151,1154,1159,1166_1198_1216,1224_1239_1277_1290_1361_1381_1396_1407,1411,1415_1444,1452_1466_1486,1493_1541_1559_1575,1576_1589_1603,1608,1610,1616_1631,1636_1649,1653,1659,1660_1686_1702,1708_1723,1728,1735_1765,1772,1775,1780_1813_1824_1836_1849_1860,1867_1938,1941,1950,1956_1967_2013,2018,2021,2023_2035,2036,2040_2061_2110,2117,2119_2130_2162</t>
  </si>
  <si>
    <t>107_133_171,179_211_249,257,264</t>
  </si>
  <si>
    <t>836_852_897_985,990,999_1013</t>
  </si>
  <si>
    <t>1127,1133_1150,1158,1159,1162_1191,1197_1225,1235,1242_1266_1306,1309</t>
  </si>
  <si>
    <t>550,558,560,561_574_610,619,625_704_798_828,829_861,862,867,875_925_970,971_1016_1029,1030</t>
  </si>
  <si>
    <t>152_209_224_342</t>
  </si>
  <si>
    <t>477,481_513_533</t>
  </si>
  <si>
    <t>1510_1534,1539</t>
  </si>
  <si>
    <t>285_375_393,394_416,426_493,496</t>
  </si>
  <si>
    <t>698_710,717_749_774,781,784_803,809,812_825,831,832_851,857,860</t>
  </si>
  <si>
    <t>387,393,403_429,439_455_469_500_521_568,571,575_592,597,598_612_623_650,660_673_691,696</t>
  </si>
  <si>
    <t>624_659_674_706,716,717_740</t>
  </si>
  <si>
    <t>164_185,186_206_227,233,237,243,248,250_298_328,337_355,361_390_421_469_511,518,526,528_543,548,550_603,608_643,653</t>
  </si>
  <si>
    <t>405_428,435_456_492_512,516_538_559_573_584,592,595,596_623</t>
  </si>
  <si>
    <t>170,178_199</t>
  </si>
  <si>
    <t>2066,2067,2077,2086,2090,2098_2124,2125_2145,2149,2155_2179,2187_2221_2265_2278_2327,2335,2338_2352,2353_2368,2373,2381_2393_2438_2460,2462,2465,2468,2475,2483,2485,2488,2491,2500_2520,2523_2590,2600,2603_2614,2621,2627,2634,2637_2659,2666_2681,2684,2691_2705,2715,2720,2724,2727_2759,2764_2811_2839_2869_2893_2911_2931_2977,2986_3043</t>
  </si>
  <si>
    <t>763,768_789,791</t>
  </si>
  <si>
    <t>178_224_249,251_277_292_322,325</t>
  </si>
  <si>
    <t>134_219,224_257</t>
  </si>
  <si>
    <t>2471_2485_2545,2555,2560,2562,2568_2585,2590_2629,2636,2641,2642,2651_2669_2683,2684,2691,2692_2703_2716</t>
  </si>
  <si>
    <t>121_182_210_228,234_271_301,302,306_335,338_350_386_397_437,444_494_528_557,561_596,597_613,616,626_664_686,691,700,704,712_737,742</t>
  </si>
  <si>
    <t>72_104_163,171,175</t>
  </si>
  <si>
    <t>882,883,891_933_966_978_1007_1107,1116_1134</t>
  </si>
  <si>
    <t>244_298,308_319_441</t>
  </si>
  <si>
    <t>131_180,189_203_243,251_340</t>
  </si>
  <si>
    <t>88,95_108,113,123,129,131,134,139,142_197_248,251_299,304</t>
  </si>
  <si>
    <t>37_274,277</t>
  </si>
  <si>
    <t>1025,1028_1118</t>
  </si>
  <si>
    <t>393,394,399,407_420_435,436,440</t>
  </si>
  <si>
    <t>1524_1539,1544_1589_1627</t>
  </si>
  <si>
    <t>179,183,192,202_237_248_264,266_285,287_303,309_353_385,392,393,398_418,422,428_466,469,479,481,484,491_503,508,515,524,525,527_573,580_607,614,615,618_639</t>
  </si>
  <si>
    <t>634_708,711_729_766_786,794</t>
  </si>
  <si>
    <t>981,987_1059_1071,1078,1079_1117_1131_1149,1150_1167,1176</t>
  </si>
  <si>
    <t>673_709_725,731_758</t>
  </si>
  <si>
    <t>1029_1053,1063_1077,1087_1105_1124,1126,1133_1146_1160,1164_1181,1188,1195_1208_1223_1237_1251_1271,1279,1281_1297,1299_1311,1316_1330,1336,1342_1360,1362_1427,1431_1448_1459_1493,1497_1514,1519_1560,1565_1587_1601,1610_1630_1715,1719,1727,1729_1759,1761,1766</t>
  </si>
  <si>
    <t>275_287_298,306,310_359,367,372,375_387_398</t>
  </si>
  <si>
    <t>325_348_390</t>
  </si>
  <si>
    <t>128,135_184_274_305_323,325,333</t>
  </si>
  <si>
    <t>592_635</t>
  </si>
  <si>
    <t>175,179,182,191,192_210,219_280_297_323,324_343_358_418</t>
  </si>
  <si>
    <t>299_403,409_427_446_478,481</t>
  </si>
  <si>
    <t>497,498_517,523_536_549_581_621_634_660,662_685_703_716_728_748</t>
  </si>
  <si>
    <t>405_416_444_465,471,472_486_510,515,516_539_559_574</t>
  </si>
  <si>
    <t>1105_1221_1233,1243_1270,1278_1294_1322,1324,1329_1346,1347,1355_1374,1384_1454_1472,1473,1483_1499,1505,1512_1523,1533_1550,1556,1564_1578_1599,1604,1610,1612_1624_1648_1665,1668</t>
  </si>
  <si>
    <t>780_811_832,833_857_874,882_967,972,973,977_1002_1056,1057_1070_1095,1102_1114_1224_1260,1269_1300_1320,1323_1341_1369,1379,1383,1387_1405,1407_1453,1459,1463_1485_1598_1665_1676_1725_1759,1765_1779,1789,1798,1800,1806,1812_1840_1865_1891,1899,1905_1925_1942_1985_2010_2066_2089,2092,2093_2129,2134,2137,2139_2167_2193,2201_2213,2223_2237_2258_2272_2293_2307,2311_2327_2413,2419_2431_2448_2468,2472_2506_2530,2534_2554_2602_2625,2634_2647,2650,2659,2665,2670_2697,2698,2701,2703_2734</t>
  </si>
  <si>
    <t>575_607_618_668_681</t>
  </si>
  <si>
    <t>95_110</t>
  </si>
  <si>
    <t>Part of gene missing</t>
  </si>
  <si>
    <t>69,70</t>
  </si>
  <si>
    <t>33,38</t>
  </si>
  <si>
    <t>533_766</t>
  </si>
  <si>
    <t>29,38</t>
  </si>
  <si>
    <t>299_310,311</t>
  </si>
  <si>
    <t>454_465,471</t>
  </si>
  <si>
    <t>541_779</t>
  </si>
  <si>
    <t>481_493</t>
  </si>
  <si>
    <t>64,72</t>
  </si>
  <si>
    <t>1179_1195</t>
  </si>
  <si>
    <t>245,250_264</t>
  </si>
  <si>
    <t>200_764</t>
  </si>
  <si>
    <t>758_786,788</t>
  </si>
  <si>
    <t>194_702</t>
  </si>
  <si>
    <t>233_251</t>
  </si>
  <si>
    <t>406_422</t>
  </si>
  <si>
    <t>441_674</t>
  </si>
  <si>
    <t>414_427</t>
  </si>
  <si>
    <t>728_743</t>
  </si>
  <si>
    <t xml:space="preserve"> Identityafter(nuc)</t>
  </si>
  <si>
    <t xml:space="preserve"> Identityafter(prot) </t>
  </si>
  <si>
    <t xml:space="preserve"> Identitybefore(nuc) </t>
  </si>
  <si>
    <t xml:space="preserve"> Identitybefore(prot) </t>
  </si>
  <si>
    <t>TotalNumStops</t>
  </si>
  <si>
    <t>ProteinLength</t>
  </si>
  <si>
    <t>Positions of stop codons</t>
  </si>
  <si>
    <t>Supplementary Table 1</t>
  </si>
  <si>
    <t>Supplementary Table 2</t>
  </si>
  <si>
    <t>Supplementary Table 3</t>
  </si>
  <si>
    <t>Supplementary Table 4</t>
  </si>
  <si>
    <t>Supplementary Table 5</t>
  </si>
  <si>
    <t>Supplementary Table 6</t>
  </si>
  <si>
    <t>Supplementary Table 9</t>
  </si>
  <si>
    <t>Supplementary Table 10</t>
  </si>
  <si>
    <t xml:space="preserve">Sequences that do not follow coding logic </t>
  </si>
  <si>
    <t>Gene not found in VMU genome</t>
  </si>
  <si>
    <t>Pattern consistent in both genomes?</t>
  </si>
  <si>
    <t>Potential annotation error</t>
  </si>
  <si>
    <t>PTC caused by point mutation</t>
  </si>
  <si>
    <t>PTCs caused by point mutation and frameshift</t>
  </si>
  <si>
    <t>Potential alternative termination site</t>
  </si>
  <si>
    <t>Potential sequencing error</t>
  </si>
  <si>
    <t>PTC present in both genomes</t>
  </si>
  <si>
    <t>PTC caused by frameshift mutation</t>
  </si>
  <si>
    <t>Frameshift mutation/potential annotation error</t>
  </si>
  <si>
    <t>Manual interrogation of genes with PTCs in multiple species, some of which have unique PTCs in the cheetah</t>
  </si>
  <si>
    <t>Unique PTC in cheetah?</t>
  </si>
  <si>
    <t>Pattern shared in VMU cheetah?</t>
  </si>
  <si>
    <t>Predicted status</t>
  </si>
  <si>
    <t>89 genes with biologically-likely novel premature termination codons.</t>
  </si>
  <si>
    <t>Reported as variant site in population data?</t>
  </si>
  <si>
    <t>GRTP1</t>
  </si>
  <si>
    <t>TBX22</t>
  </si>
  <si>
    <t>IGSF1</t>
  </si>
  <si>
    <t>RTTN</t>
  </si>
  <si>
    <t>SEC14L4</t>
  </si>
  <si>
    <t>MOCS3</t>
  </si>
  <si>
    <t>SEC14L6</t>
  </si>
  <si>
    <t>RPF2ENST00000256001</t>
  </si>
  <si>
    <t>ABDH16A</t>
  </si>
  <si>
    <t>TVP23A</t>
  </si>
  <si>
    <t>IARS1</t>
  </si>
  <si>
    <t>STAMBPL1</t>
  </si>
  <si>
    <t>CCKAR</t>
  </si>
  <si>
    <t>SDR9C7</t>
  </si>
  <si>
    <t>OPN1SW</t>
  </si>
  <si>
    <t>SPATA32</t>
  </si>
  <si>
    <t>CHAC1</t>
  </si>
  <si>
    <t>REELD1</t>
  </si>
  <si>
    <t>RPL37</t>
  </si>
  <si>
    <t>MGAM2</t>
  </si>
  <si>
    <t>C5</t>
  </si>
  <si>
    <t>ATF7IP</t>
  </si>
  <si>
    <t>LCE1C</t>
  </si>
  <si>
    <t>CCER2</t>
  </si>
  <si>
    <t>DDB2</t>
  </si>
  <si>
    <t>SLC3A2</t>
  </si>
  <si>
    <t>FASLG</t>
  </si>
  <si>
    <t>Genome assemblies</t>
  </si>
  <si>
    <t>Filtering settings used for samtools and bcftools</t>
  </si>
  <si>
    <t>Primary results from GeneSeqToFamily</t>
  </si>
  <si>
    <t>Coding sequences from twelve species were extracted, the longest nucleotide transcript per gene was identified and sequences that do not follow coding logic (i.e. the length is not a multiple of three, premature termination codon was identified) were filtered out in two stages, once whilst extracting the longest transcript and once during GeneSeqToFamily step one (Thanki et al., 2018). This table summarises the number of sequences for each species at each step of this process.								
								"</t>
  </si>
  <si>
    <t>Status of each of the potential gene losses in the cheetah</t>
  </si>
  <si>
    <t>A total of 4,623 gene trees with a loss in the cheetah were extracted, containing 5,541 genes. This table describes the status of each of these 5,541 genes. A key can be found below which explains each of the five categories: lost before GSTF, discarded by GSTF, in current file, in different file and not in annotation.</t>
  </si>
  <si>
    <t>Genes filtered out prior to GeneSeqToFamily</t>
  </si>
  <si>
    <t xml:space="preserve">743 genes were filtered out during the process of extracting the longest transcript per gene (see TS4). These genes were investigated to determine the cause for this. To determine if these genes are potential pseudogenes or are misannotations, the start codons, length of cheetah vs puma (or domestic cat) sequences, percent sequence identity and presence of premature termination codons were investigated. Genes with the same start codon, &lt;10% difference in length, at least one stop codon and a sequence identity of 90-99.9% were carried through to further analysis. In the table below, "species" refers to the cheetah and "ref" refers to the puma or domestic cat. </t>
  </si>
  <si>
    <t>Lost before GSTF: genes which were filtered out during the process of extracting the longest transcript per gene. These genes are in the aciJub1 annotation but not the GeneSeqToFamily input file.
Discarded by GSTF: genes which were filtered out during the GeneSeqToFamily pipeline.
In current file: genes that are in the expected gene tree file. These genes are either incorrectly reported as losses due to incomplete lineage sorting or are in the same gene tree as a lost gene.
In different file: genes that were clustered into a different gene tree file than expected, likely genes part of highly-duplicated families.
Not in annotation: genes that were not in the aciJub1 annotation file, either because they are biologically missing or because they were unannotated.</t>
  </si>
  <si>
    <t>Variants were called to identify prevalence of PTCs in a population of 6 cheetahs. This table describes the filtering settings that were used with SAMtools and BCFtools to filter the variants and extract high quality SNPs.</t>
  </si>
  <si>
    <t>Genes discarded during the GeneSeqToFamily pipeline.</t>
  </si>
  <si>
    <t xml:space="preserve">1196 genes were filtered out during the GeneSeqToFamily pipeline. These genes were investigated to determine the cause for this. To determine if these genes are potential pseudogenes or are misannotations, the start codons, length of cheetah vs puma (or domestic cat) sequences, percent sequence identity and presence of premature termination codons were investigated. Genes with the same start codon, &lt;10% difference in length, at least one stop codon and a sequence identity of 90-99.9% were carried through to further analysis. In the table below, "species" refers to the cheetah and "ref" refers to the puma or domestic cat. 																						</t>
  </si>
  <si>
    <t>Genes not present in the aciJub1 annotation</t>
  </si>
  <si>
    <t>All potential novel premature termination codons.</t>
  </si>
  <si>
    <t>Each of the genes with a potential novel cheetah-specific premature termination codon was investigated in more depth to determine if the pattern was consistent in the VMU reference genome. Percent sequence identity was also calculated upstream and downstream of the PTC to provide further information (if a PTC is the only mutation in a sequence, it is more likely to be erroneous annotation/sequencing than biologically feasible as genes with PTCs are expected to have accumulated multiple deleterious mutations).</t>
  </si>
  <si>
    <t>19 genes which had a PTC in the cheetah also had PTCs identified in other species included in the study. These genes were investigate to identify any cheetah-specific premature termination codons. A key can be found below explaining the potential statuses of each gene.</t>
  </si>
  <si>
    <t xml:space="preserve">Felidae-specific PTC: A PTC was identified in only the Felidae species in the study and not the outgroups (human, dog, pig, mouse). 	
Non-specific PTC: A PTC was identified in several species across the lineages used in this study.											
Felidae-specific alternative stop site: A PTC was identified in the Felidae species used in the study but occurs too close to the end of the sequence, so it is more likely to be an alternative stop site.
Alternative stop site: A PTC was identified but occurs too close to the end of the sequence, so it is more likely to be an alternative stop site.
Stop fixed: A PTC was identified in both cheetah reference genomes, suggesting the PTC is fixed in the species.
Potential annotation error: Upon manual inspection of the alignment, the PTC appears to be an annotation error caused by an intron being partially annotated as an exon. </t>
  </si>
  <si>
    <t>89 genes were identified with premature termination codons that were considered biologically likely (see Tables S10 and S11). Population data of six African individuals (Dobrynin et al., 2015) was interrogated to determine whether each PTC was observed in the population data. Sites were either categorised as "supported in the population data" (all individuals with high quality data at the site matched the reference), "not supported in the population data" (none of the individuals with high quality data at the site matched the reference) or "filtered out" (there was not enough high quality data at the site to call a variant).</t>
  </si>
  <si>
    <t>Genome assemblies used in this study and corresponding references. Data for all species except the lion (Armstrong et al., 2020) and VMU_Ajub_asm_v1.0 (Winter et al., 2023) were those used in the Zoonomia project (Zoonomia Consortium, 2020; Christmas et al., 2023). Note: In subsequent supplementary tables, VMU_Ajub_asm_v1.0 may be referred to as "VMU".</t>
  </si>
  <si>
    <t>Table ID</t>
  </si>
  <si>
    <t>Section</t>
  </si>
  <si>
    <t>Table caption</t>
  </si>
  <si>
    <t>S1</t>
  </si>
  <si>
    <t>Methods</t>
  </si>
  <si>
    <t xml:space="preserve">Public genomic resources </t>
  </si>
  <si>
    <t>S2</t>
  </si>
  <si>
    <t>S3</t>
  </si>
  <si>
    <t>S4</t>
  </si>
  <si>
    <t>S5</t>
  </si>
  <si>
    <t>S6</t>
  </si>
  <si>
    <t>S7</t>
  </si>
  <si>
    <t>S8</t>
  </si>
  <si>
    <t>S9</t>
  </si>
  <si>
    <t>S10</t>
  </si>
  <si>
    <t>Short reference</t>
  </si>
  <si>
    <t>Filtering settings</t>
  </si>
  <si>
    <t>Canis lupis familiaris</t>
  </si>
  <si>
    <t>Coding sequences from twelve species were extracted, the longest nucleotide transcript per gene was identified and sequences that do not follow coding logic (i.e. the length is not a multiple of three, premature termination codon was identified) were filtered out in two stages, once whilst extracting the longest transcript and once during GeneSeqToFamily step one (Thanki et al., 2018). This table summarises the number of sequences for each species at each step of this process.</t>
  </si>
  <si>
    <t>Results</t>
  </si>
  <si>
    <t>Full sequence missing</t>
  </si>
  <si>
    <t>Additional information</t>
  </si>
  <si>
    <t xml:space="preserve"> Present but unannotated </t>
  </si>
  <si>
    <t xml:space="preserve"> Not present in genome </t>
  </si>
  <si>
    <t xml:space="preserve"> Not cheetah specific </t>
  </si>
  <si>
    <t>Present but unannotated: genes present in the reference genome (aciJub1) but not in the corresponding annotation.
Not present in genome: genes with no high quality Blast or Blat hits meaning the gene cannot be found in the aciJub1 reference genome.
Not cheetah specific: genes also missing from the Puma annotation.</t>
  </si>
  <si>
    <t>Genes not in the annotation file were interrogated to determine if the gene is biologically missing or if it is a technical error (e.g. misannotation or genome fragmentation). This was done using Blast and Blat. Below, a key can be found which explaoins the three status options: present but unannotated, not present in genome and not cheetah specific.</t>
  </si>
  <si>
    <t>Putative gene losses</t>
  </si>
  <si>
    <t>Unannotated putative losses</t>
  </si>
  <si>
    <t>Primary GeneSeqToFamily (GSTF) results</t>
  </si>
  <si>
    <t>Genes filtered out prior to GSTF</t>
  </si>
  <si>
    <t>Genes filtered out during GSTF</t>
  </si>
  <si>
    <t>PTCs in multiple species</t>
  </si>
  <si>
    <t>89 genes with novel PTCs</t>
  </si>
  <si>
    <t>All putative novel PTCs</t>
  </si>
  <si>
    <t>Supplementary Table 7</t>
  </si>
  <si>
    <t>Supplementary Table 8</t>
  </si>
  <si>
    <t>Number of resequenced samples with &gt;0 reads</t>
  </si>
  <si>
    <t>Number of resequenced samples with ≥3 reads</t>
  </si>
  <si>
    <t>Does VMU_Ajub_asm_v1.0 match aciJub1?</t>
  </si>
  <si>
    <t>Number of resequenced samples that match aciJub1?</t>
  </si>
  <si>
    <t>Total number of individuals which pass filtering and support aciJub1 (≤ 7)</t>
  </si>
  <si>
    <t>Passed cumulative filtering?</t>
  </si>
  <si>
    <t xml:space="preserve">89 genes were identified with premature termination codons that were considered biologically likely (see Tables S10 and S11). Population data of six African individuals (Dobrynin et al., 2015) was interrogated to determine whether each PTC was observed in the population data. Sites were passed through a cumulative filtering step (Table S2). Remaining sites were examined to identify number of resequenced samples with &gt;0 reads and with ≥3 reads (which can be more accurately called). The total number of individuals with sufficient coverage that match aciJub1 is given.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</si>
</sst>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sz val="11"/>
      <color rgb="FF000000"/>
      <name val="Arial"/>
      <family val="2"/>
    </font>
    <font>
      <i/>
      <sz val="11"/>
      <color rgb="FF000000"/>
      <name val="Arial"/>
      <family val="2"/>
    </font>
    <font>
      <i/>
      <sz val="12"/>
      <color theme="1"/>
      <name val="Calibri"/>
      <family val="2"/>
      <scheme val="minor"/>
    </font>
    <font>
      <sz val="11"/>
      <color rgb="FF333333"/>
      <name val="Arial"/>
      <family val="2"/>
    </font>
    <font>
      <b/>
      <sz val="14"/>
      <color theme="1"/>
      <name val="Calibri"/>
      <family val="2"/>
      <scheme val="minor"/>
    </font>
    <font>
      <sz val="12"/>
      <color theme="2"/>
      <name val="Calibri"/>
      <family val="2"/>
      <scheme val="minor"/>
    </font>
    <font>
      <sz val="14"/>
      <color theme="1"/>
      <name val="Calibri"/>
      <family val="2"/>
      <scheme val="minor"/>
    </font>
    <font>
      <sz val="12"/>
      <color rgb="FF000000"/>
      <name val="Calibri"/>
      <family val="2"/>
      <scheme val="minor"/>
    </font>
    <font>
      <sz val="14"/>
      <color theme="2"/>
      <name val="Calibri"/>
      <family val="2"/>
      <scheme val="minor"/>
    </font>
    <font>
      <b/>
      <sz val="16"/>
      <color theme="1"/>
      <name val="Calibri (Body)"/>
    </font>
    <font>
      <b/>
      <sz val="16"/>
      <color theme="1"/>
      <name val="Calibri"/>
      <family val="2"/>
      <scheme val="minor"/>
    </font>
  </fonts>
  <fills count="3">
    <fill>
      <patternFill patternType="none"/>
    </fill>
    <fill>
      <patternFill patternType="gray125"/>
    </fill>
    <fill>
      <patternFill patternType="solid">
        <fgColor rgb="FF92D050"/>
        <bgColor indexed="64"/>
      </patternFill>
    </fill>
  </fills>
  <borders count="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6">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2" fillId="0" borderId="0" xfId="0" applyFont="1"/>
    <xf numFmtId="0" fontId="1" fillId="0" borderId="0" xfId="0" applyFont="1"/>
    <xf numFmtId="0" fontId="5" fillId="0" borderId="0" xfId="0" applyFont="1"/>
    <xf numFmtId="0" fontId="4" fillId="0" borderId="0" xfId="0" applyFont="1"/>
    <xf numFmtId="0" fontId="6" fillId="0" borderId="0" xfId="0" applyFont="1"/>
    <xf numFmtId="10" fontId="0" fillId="0" borderId="0" xfId="0" applyNumberFormat="1"/>
    <xf numFmtId="0" fontId="1" fillId="0" borderId="5" xfId="0" applyFont="1" applyBorder="1"/>
    <xf numFmtId="0" fontId="1" fillId="0" borderId="6" xfId="0" applyFont="1" applyBorder="1"/>
    <xf numFmtId="0" fontId="6" fillId="0" borderId="0" xfId="0" applyFont="1" applyAlignment="1">
      <alignment horizontal="center"/>
    </xf>
    <xf numFmtId="0" fontId="7" fillId="0" borderId="0" xfId="0" applyFont="1"/>
    <xf numFmtId="0" fontId="9" fillId="0" borderId="0" xfId="0" applyFont="1"/>
    <xf numFmtId="0" fontId="8" fillId="0" borderId="0" xfId="0" applyFont="1"/>
    <xf numFmtId="0" fontId="10" fillId="0" borderId="0" xfId="0" applyFont="1"/>
    <xf numFmtId="0" fontId="1" fillId="0" borderId="0" xfId="0" applyFont="1" applyAlignment="1">
      <alignment horizontal="center"/>
    </xf>
    <xf numFmtId="0" fontId="9" fillId="0" borderId="0" xfId="0" applyFont="1" applyAlignment="1">
      <alignment horizontal="center"/>
    </xf>
    <xf numFmtId="0" fontId="9" fillId="2" borderId="0" xfId="0" applyFont="1" applyFill="1" applyAlignment="1">
      <alignment horizontal="center"/>
    </xf>
    <xf numFmtId="0" fontId="0" fillId="2" borderId="0" xfId="0" applyFill="1" applyAlignment="1">
      <alignment horizontal="center"/>
    </xf>
    <xf numFmtId="0" fontId="11" fillId="0" borderId="0" xfId="0" applyFont="1"/>
    <xf numFmtId="0" fontId="12" fillId="0" borderId="0" xfId="0" applyFont="1"/>
    <xf numFmtId="3" fontId="0" fillId="0" borderId="0" xfId="0" applyNumberFormat="1" applyAlignment="1">
      <alignment horizontal="left"/>
    </xf>
    <xf numFmtId="0" fontId="0" fillId="0" borderId="0" xfId="0" applyAlignment="1">
      <alignment wrapText="1"/>
    </xf>
    <xf numFmtId="0" fontId="1" fillId="0" borderId="0" xfId="0" applyFont="1" applyAlignment="1">
      <alignment vertical="top"/>
    </xf>
    <xf numFmtId="0" fontId="12" fillId="0" borderId="0" xfId="0" applyFont="1" applyAlignment="1">
      <alignment vertical="top"/>
    </xf>
    <xf numFmtId="0" fontId="0" fillId="0" borderId="0" xfId="0" applyAlignment="1">
      <alignment horizontal="center" wrapText="1"/>
    </xf>
    <xf numFmtId="0" fontId="1" fillId="0" borderId="7" xfId="0" applyFont="1" applyBorder="1"/>
    <xf numFmtId="0" fontId="0" fillId="0" borderId="0" xfId="0" applyAlignment="1">
      <alignment wrapText="1"/>
    </xf>
    <xf numFmtId="0" fontId="0" fillId="0" borderId="0" xfId="0" applyAlignment="1">
      <alignment vertical="top" wrapText="1"/>
    </xf>
    <xf numFmtId="0" fontId="2" fillId="0" borderId="0" xfId="0" applyFont="1" applyAlignment="1">
      <alignment wrapText="1"/>
    </xf>
  </cellXfs>
  <cellStyles count="1">
    <cellStyle name="Normal" xfId="0" builtinId="0"/>
  </cellStyles>
  <dxfs count="14">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9" tint="0.79998168889431442"/>
        </patternFill>
      </fill>
    </dxf>
    <dxf>
      <fill>
        <patternFill>
          <bgColor theme="9" tint="0.79998168889431442"/>
        </patternFill>
      </fill>
    </dxf>
    <dxf>
      <font>
        <color rgb="FF00B050"/>
      </font>
    </dxf>
    <dxf>
      <font>
        <color rgb="FF9C0006"/>
      </font>
    </dxf>
    <dxf>
      <fill>
        <patternFill>
          <bgColor rgb="FFF7FDD6"/>
        </patternFill>
      </fill>
    </dxf>
    <dxf>
      <fill>
        <patternFill>
          <bgColor rgb="FFD1FAEB"/>
        </patternFill>
      </fill>
    </dxf>
    <dxf>
      <fill>
        <patternFill>
          <bgColor rgb="FFFFEADB"/>
        </patternFill>
      </fill>
    </dxf>
    <dxf>
      <fill>
        <patternFill>
          <bgColor theme="2"/>
        </patternFill>
      </fill>
    </dxf>
    <dxf>
      <fill>
        <patternFill>
          <bgColor theme="5" tint="0.79998168889431442"/>
        </patternFill>
      </fill>
    </dxf>
    <dxf>
      <fill>
        <patternFill>
          <bgColor rgb="FFF7FDD6"/>
        </patternFill>
      </fill>
    </dxf>
    <dxf>
      <fill>
        <patternFill>
          <bgColor rgb="FFCFE3F1"/>
        </patternFill>
      </fill>
    </dxf>
  </dxfs>
  <tableStyles count="0" defaultTableStyle="TableStyleMedium2" defaultPivotStyle="PivotStyleLight16"/>
  <colors>
    <mruColors>
      <color rgb="FFFDB462"/>
      <color rgb="FF76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top_codon_filtering.table_1" connectionId="2" xr16:uid="{7877DD4B-7077-154F-9A87-C3C61A05D414}"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ut_before_after_stop_identity.table" connectionId="1" xr16:uid="{20ADB70E-D251-BE41-A5BC-AB2568CF6EDE}"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E2E1-1CE3-1C41-94AA-77A322383458}">
  <dimension ref="B2:E12"/>
  <sheetViews>
    <sheetView tabSelected="1" workbookViewId="0">
      <selection activeCell="B13" sqref="B13:C13"/>
    </sheetView>
  </sheetViews>
  <sheetFormatPr baseColWidth="10" defaultRowHeight="16" x14ac:dyDescent="0.2"/>
  <cols>
    <col min="4" max="4" width="38.6640625" bestFit="1" customWidth="1"/>
    <col min="5" max="5" width="45.1640625" bestFit="1" customWidth="1"/>
  </cols>
  <sheetData>
    <row r="2" spans="2:5" x14ac:dyDescent="0.2">
      <c r="B2" s="32" t="s">
        <v>15119</v>
      </c>
      <c r="C2" s="32" t="s">
        <v>15120</v>
      </c>
      <c r="D2" s="32" t="s">
        <v>15134</v>
      </c>
      <c r="E2" s="32" t="s">
        <v>15121</v>
      </c>
    </row>
    <row r="3" spans="2:5" ht="16" customHeight="1" x14ac:dyDescent="0.2">
      <c r="B3" t="s">
        <v>15122</v>
      </c>
      <c r="C3" t="s">
        <v>15123</v>
      </c>
      <c r="D3" t="s">
        <v>15124</v>
      </c>
      <c r="E3" t="s">
        <v>15118</v>
      </c>
    </row>
    <row r="4" spans="2:5" x14ac:dyDescent="0.2">
      <c r="B4" t="s">
        <v>15125</v>
      </c>
      <c r="C4" t="s">
        <v>15123</v>
      </c>
      <c r="D4" t="s">
        <v>15135</v>
      </c>
      <c r="E4" t="s">
        <v>15109</v>
      </c>
    </row>
    <row r="5" spans="2:5" x14ac:dyDescent="0.2">
      <c r="B5" t="s">
        <v>15126</v>
      </c>
      <c r="C5" t="s">
        <v>15138</v>
      </c>
      <c r="D5" t="s">
        <v>15148</v>
      </c>
      <c r="E5" t="s">
        <v>15137</v>
      </c>
    </row>
    <row r="6" spans="2:5" x14ac:dyDescent="0.2">
      <c r="B6" t="s">
        <v>15127</v>
      </c>
      <c r="C6" t="s">
        <v>15138</v>
      </c>
      <c r="D6" t="s">
        <v>15146</v>
      </c>
      <c r="E6" t="s">
        <v>15105</v>
      </c>
    </row>
    <row r="7" spans="2:5" x14ac:dyDescent="0.2">
      <c r="B7" t="s">
        <v>15128</v>
      </c>
      <c r="C7" t="s">
        <v>15138</v>
      </c>
      <c r="D7" t="s">
        <v>15147</v>
      </c>
      <c r="E7" t="s">
        <v>15145</v>
      </c>
    </row>
    <row r="8" spans="2:5" x14ac:dyDescent="0.2">
      <c r="B8" t="s">
        <v>15129</v>
      </c>
      <c r="C8" t="s">
        <v>15138</v>
      </c>
      <c r="D8" t="s">
        <v>15149</v>
      </c>
      <c r="E8" t="s">
        <v>15107</v>
      </c>
    </row>
    <row r="9" spans="2:5" x14ac:dyDescent="0.2">
      <c r="B9" t="s">
        <v>15130</v>
      </c>
      <c r="C9" t="s">
        <v>15138</v>
      </c>
      <c r="D9" t="s">
        <v>15150</v>
      </c>
      <c r="E9" t="s">
        <v>15111</v>
      </c>
    </row>
    <row r="10" spans="2:5" x14ac:dyDescent="0.2">
      <c r="B10" t="s">
        <v>15131</v>
      </c>
      <c r="C10" t="s">
        <v>15138</v>
      </c>
      <c r="D10" t="s">
        <v>15151</v>
      </c>
      <c r="E10" t="s">
        <v>15115</v>
      </c>
    </row>
    <row r="11" spans="2:5" x14ac:dyDescent="0.2">
      <c r="B11" t="s">
        <v>15132</v>
      </c>
      <c r="C11" t="s">
        <v>15138</v>
      </c>
      <c r="D11" t="s">
        <v>15153</v>
      </c>
      <c r="E11" s="18" t="s">
        <v>15114</v>
      </c>
    </row>
    <row r="12" spans="2:5" x14ac:dyDescent="0.2">
      <c r="B12" t="s">
        <v>15133</v>
      </c>
      <c r="C12" t="s">
        <v>15138</v>
      </c>
      <c r="D12" t="s">
        <v>15152</v>
      </c>
      <c r="E12" t="s">
        <v>15117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7597-0CD6-C043-B0F9-B5B64282B787}">
  <dimension ref="A1:F19"/>
  <sheetViews>
    <sheetView topLeftCell="B1" workbookViewId="0">
      <selection activeCell="A3" sqref="A3:F3"/>
    </sheetView>
  </sheetViews>
  <sheetFormatPr baseColWidth="10" defaultRowHeight="16" x14ac:dyDescent="0.2"/>
  <cols>
    <col min="1" max="1" width="32.6640625" bestFit="1" customWidth="1"/>
    <col min="2" max="2" width="14.5" bestFit="1" customWidth="1"/>
    <col min="3" max="3" width="20.6640625" bestFit="1" customWidth="1"/>
    <col min="4" max="4" width="17.33203125" bestFit="1" customWidth="1"/>
    <col min="5" max="5" width="17.1640625" bestFit="1" customWidth="1"/>
    <col min="6" max="6" width="171.6640625" bestFit="1" customWidth="1"/>
  </cols>
  <sheetData>
    <row r="1" spans="1:6" ht="21" x14ac:dyDescent="0.25">
      <c r="A1" s="26" t="s">
        <v>15048</v>
      </c>
    </row>
    <row r="2" spans="1:6" ht="21" x14ac:dyDescent="0.25">
      <c r="A2" s="26" t="s">
        <v>15100</v>
      </c>
    </row>
    <row r="3" spans="1:6" ht="37" customHeight="1" x14ac:dyDescent="0.2">
      <c r="A3" s="33" t="s">
        <v>15118</v>
      </c>
      <c r="B3" s="33"/>
      <c r="C3" s="33"/>
      <c r="D3" s="33"/>
      <c r="E3" s="33"/>
      <c r="F3" s="33"/>
    </row>
    <row r="6" spans="1:6" x14ac:dyDescent="0.2">
      <c r="A6" s="9" t="s">
        <v>71</v>
      </c>
      <c r="B6" s="9" t="s">
        <v>72</v>
      </c>
      <c r="C6" s="9" t="s">
        <v>73</v>
      </c>
      <c r="D6" s="9" t="s">
        <v>118</v>
      </c>
      <c r="E6" s="9" t="s">
        <v>119</v>
      </c>
      <c r="F6" s="9" t="s">
        <v>74</v>
      </c>
    </row>
    <row r="7" spans="1:6" x14ac:dyDescent="0.2">
      <c r="A7" t="s">
        <v>75</v>
      </c>
      <c r="B7" t="s">
        <v>76</v>
      </c>
      <c r="C7" t="s">
        <v>77</v>
      </c>
      <c r="D7" t="s">
        <v>120</v>
      </c>
      <c r="E7" t="s">
        <v>123</v>
      </c>
      <c r="F7" t="s">
        <v>108</v>
      </c>
    </row>
    <row r="8" spans="1:6" x14ac:dyDescent="0.2">
      <c r="A8" t="s">
        <v>78</v>
      </c>
      <c r="B8" t="s">
        <v>79</v>
      </c>
      <c r="C8" t="s">
        <v>128</v>
      </c>
      <c r="D8" t="s">
        <v>127</v>
      </c>
      <c r="E8" t="s">
        <v>126</v>
      </c>
      <c r="F8" t="s">
        <v>109</v>
      </c>
    </row>
    <row r="9" spans="1:6" x14ac:dyDescent="0.2">
      <c r="A9" t="s">
        <v>80</v>
      </c>
      <c r="B9" t="s">
        <v>81</v>
      </c>
      <c r="C9" t="s">
        <v>129</v>
      </c>
      <c r="D9" t="s">
        <v>131</v>
      </c>
      <c r="E9" t="s">
        <v>130</v>
      </c>
      <c r="F9" t="s">
        <v>110</v>
      </c>
    </row>
    <row r="10" spans="1:6" x14ac:dyDescent="0.2">
      <c r="A10" t="s">
        <v>82</v>
      </c>
      <c r="B10" t="s">
        <v>83</v>
      </c>
      <c r="C10" t="s">
        <v>84</v>
      </c>
      <c r="D10" t="s">
        <v>132</v>
      </c>
      <c r="E10" t="s">
        <v>133</v>
      </c>
      <c r="F10" t="s">
        <v>111</v>
      </c>
    </row>
    <row r="11" spans="1:6" x14ac:dyDescent="0.2">
      <c r="A11" t="s">
        <v>85</v>
      </c>
      <c r="B11" t="s">
        <v>86</v>
      </c>
      <c r="C11" t="s">
        <v>87</v>
      </c>
      <c r="D11" t="s">
        <v>134</v>
      </c>
      <c r="E11" t="s">
        <v>135</v>
      </c>
      <c r="F11" t="s">
        <v>112</v>
      </c>
    </row>
    <row r="12" spans="1:6" x14ac:dyDescent="0.2">
      <c r="A12" t="s">
        <v>88</v>
      </c>
      <c r="B12" t="s">
        <v>89</v>
      </c>
      <c r="C12" t="s">
        <v>90</v>
      </c>
      <c r="D12" t="s">
        <v>136</v>
      </c>
      <c r="E12" t="s">
        <v>137</v>
      </c>
      <c r="F12" t="s">
        <v>112</v>
      </c>
    </row>
    <row r="13" spans="1:6" x14ac:dyDescent="0.2">
      <c r="A13" t="s">
        <v>91</v>
      </c>
      <c r="B13" t="s">
        <v>92</v>
      </c>
      <c r="C13" t="s">
        <v>93</v>
      </c>
      <c r="D13" t="s">
        <v>138</v>
      </c>
      <c r="E13" t="s">
        <v>133</v>
      </c>
      <c r="F13" t="s">
        <v>113</v>
      </c>
    </row>
    <row r="14" spans="1:6" x14ac:dyDescent="0.2">
      <c r="A14" t="s">
        <v>94</v>
      </c>
      <c r="B14" t="s">
        <v>95</v>
      </c>
      <c r="C14" t="s">
        <v>96</v>
      </c>
      <c r="D14" t="s">
        <v>139</v>
      </c>
      <c r="E14" t="s">
        <v>133</v>
      </c>
      <c r="F14" t="s">
        <v>111</v>
      </c>
    </row>
    <row r="15" spans="1:6" x14ac:dyDescent="0.2">
      <c r="A15" t="s">
        <v>97</v>
      </c>
      <c r="B15" t="s">
        <v>98</v>
      </c>
      <c r="C15" t="s">
        <v>99</v>
      </c>
      <c r="D15" t="s">
        <v>141</v>
      </c>
      <c r="E15" t="s">
        <v>140</v>
      </c>
      <c r="F15" t="s">
        <v>114</v>
      </c>
    </row>
    <row r="16" spans="1:6" x14ac:dyDescent="0.2">
      <c r="A16" t="s">
        <v>100</v>
      </c>
      <c r="B16" t="s">
        <v>101</v>
      </c>
      <c r="C16" t="s">
        <v>102</v>
      </c>
      <c r="D16" t="s">
        <v>143</v>
      </c>
      <c r="E16" t="s">
        <v>142</v>
      </c>
      <c r="F16" t="s">
        <v>115</v>
      </c>
    </row>
    <row r="17" spans="1:6" x14ac:dyDescent="0.2">
      <c r="A17" t="s">
        <v>103</v>
      </c>
      <c r="B17" t="s">
        <v>68</v>
      </c>
      <c r="C17" t="s">
        <v>104</v>
      </c>
      <c r="D17" t="s">
        <v>145</v>
      </c>
      <c r="E17" t="s">
        <v>144</v>
      </c>
      <c r="F17" t="s">
        <v>117</v>
      </c>
    </row>
    <row r="18" spans="1:6" x14ac:dyDescent="0.2">
      <c r="A18" t="s">
        <v>105</v>
      </c>
      <c r="B18" t="s">
        <v>106</v>
      </c>
      <c r="C18" t="s">
        <v>107</v>
      </c>
      <c r="D18" t="s">
        <v>147</v>
      </c>
      <c r="E18" t="s">
        <v>146</v>
      </c>
      <c r="F18" t="s">
        <v>116</v>
      </c>
    </row>
    <row r="19" spans="1:6" x14ac:dyDescent="0.2">
      <c r="A19" t="s">
        <v>75</v>
      </c>
      <c r="B19" t="s">
        <v>76</v>
      </c>
      <c r="C19" t="s">
        <v>121</v>
      </c>
      <c r="D19" t="s">
        <v>122</v>
      </c>
      <c r="E19" t="s">
        <v>124</v>
      </c>
      <c r="F19" t="s">
        <v>125</v>
      </c>
    </row>
  </sheetData>
  <mergeCells count="1">
    <mergeCell ref="A3:F3"/>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AE91-EB18-AC48-89F0-281F8DDF0A6A}">
  <dimension ref="A1:F11"/>
  <sheetViews>
    <sheetView workbookViewId="0">
      <selection activeCell="A6" sqref="A6:E11"/>
    </sheetView>
  </sheetViews>
  <sheetFormatPr baseColWidth="10" defaultRowHeight="16" x14ac:dyDescent="0.2"/>
  <cols>
    <col min="1" max="1" width="31.6640625" customWidth="1"/>
    <col min="5" max="5" width="56.83203125" bestFit="1" customWidth="1"/>
  </cols>
  <sheetData>
    <row r="1" spans="1:6" ht="21" x14ac:dyDescent="0.25">
      <c r="A1" s="25" t="s">
        <v>15049</v>
      </c>
    </row>
    <row r="2" spans="1:6" ht="21" x14ac:dyDescent="0.25">
      <c r="A2" s="26" t="s">
        <v>15101</v>
      </c>
    </row>
    <row r="3" spans="1:6" x14ac:dyDescent="0.2">
      <c r="A3" s="10" t="s">
        <v>15109</v>
      </c>
    </row>
    <row r="6" spans="1:6" x14ac:dyDescent="0.2">
      <c r="A6" s="9" t="s">
        <v>154</v>
      </c>
      <c r="B6" s="9" t="s">
        <v>158</v>
      </c>
      <c r="C6" s="9" t="s">
        <v>148</v>
      </c>
      <c r="D6" s="9" t="s">
        <v>149</v>
      </c>
      <c r="E6" s="9" t="s">
        <v>150</v>
      </c>
      <c r="F6" s="9" t="s">
        <v>74</v>
      </c>
    </row>
    <row r="7" spans="1:6" x14ac:dyDescent="0.2">
      <c r="A7" t="s">
        <v>155</v>
      </c>
      <c r="B7" t="s">
        <v>152</v>
      </c>
      <c r="C7" t="s">
        <v>159</v>
      </c>
      <c r="D7" s="10" t="s">
        <v>153</v>
      </c>
      <c r="E7" t="s">
        <v>151</v>
      </c>
      <c r="F7" s="8" t="s">
        <v>171</v>
      </c>
    </row>
    <row r="8" spans="1:6" x14ac:dyDescent="0.2">
      <c r="A8" t="s">
        <v>156</v>
      </c>
      <c r="B8" t="s">
        <v>157</v>
      </c>
      <c r="C8" t="s">
        <v>160</v>
      </c>
      <c r="D8" t="s">
        <v>161</v>
      </c>
      <c r="E8" t="s">
        <v>162</v>
      </c>
      <c r="F8" t="s">
        <v>172</v>
      </c>
    </row>
    <row r="9" spans="1:6" x14ac:dyDescent="0.2">
      <c r="A9" t="s">
        <v>163</v>
      </c>
      <c r="B9" t="s">
        <v>157</v>
      </c>
      <c r="C9" t="s">
        <v>164</v>
      </c>
      <c r="D9" t="s">
        <v>161</v>
      </c>
      <c r="E9" t="s">
        <v>165</v>
      </c>
      <c r="F9" t="s">
        <v>172</v>
      </c>
    </row>
    <row r="10" spans="1:6" x14ac:dyDescent="0.2">
      <c r="A10" t="s">
        <v>166</v>
      </c>
      <c r="B10" t="s">
        <v>157</v>
      </c>
      <c r="C10" t="s">
        <v>167</v>
      </c>
      <c r="D10" t="s">
        <v>161</v>
      </c>
      <c r="E10" t="s">
        <v>168</v>
      </c>
      <c r="F10" t="s">
        <v>172</v>
      </c>
    </row>
    <row r="11" spans="1:6" x14ac:dyDescent="0.2">
      <c r="A11" t="s">
        <v>169</v>
      </c>
      <c r="B11" t="s">
        <v>157</v>
      </c>
      <c r="C11" t="s">
        <v>159</v>
      </c>
      <c r="D11" t="s">
        <v>161</v>
      </c>
      <c r="E11" t="s">
        <v>170</v>
      </c>
      <c r="F11" t="s">
        <v>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FE31-4ECD-854B-A700-31DFC2C00678}">
  <dimension ref="A1:K27"/>
  <sheetViews>
    <sheetView workbookViewId="0">
      <selection activeCell="A3" sqref="A3:K3"/>
    </sheetView>
  </sheetViews>
  <sheetFormatPr baseColWidth="10" defaultRowHeight="16" x14ac:dyDescent="0.2"/>
  <cols>
    <col min="1" max="1" width="21.1640625" customWidth="1"/>
    <col min="2" max="2" width="14.83203125" bestFit="1" customWidth="1"/>
    <col min="3" max="3" width="18.33203125" bestFit="1" customWidth="1"/>
    <col min="4" max="5" width="18.33203125" customWidth="1"/>
    <col min="6" max="6" width="39.33203125" bestFit="1" customWidth="1"/>
    <col min="7" max="7" width="30.6640625" bestFit="1" customWidth="1"/>
    <col min="8" max="8" width="35.33203125" bestFit="1" customWidth="1"/>
    <col min="9" max="9" width="36.5" bestFit="1" customWidth="1"/>
  </cols>
  <sheetData>
    <row r="1" spans="1:11" ht="21" x14ac:dyDescent="0.25">
      <c r="A1" s="26" t="s">
        <v>15050</v>
      </c>
    </row>
    <row r="2" spans="1:11" ht="21" x14ac:dyDescent="0.2">
      <c r="A2" s="30" t="s">
        <v>15102</v>
      </c>
      <c r="B2" s="29"/>
      <c r="C2" s="29"/>
      <c r="D2" s="29"/>
      <c r="E2" s="29"/>
      <c r="F2" s="29"/>
      <c r="G2" s="29"/>
      <c r="H2" s="29"/>
      <c r="I2" s="29"/>
    </row>
    <row r="3" spans="1:11" ht="36" customHeight="1" x14ac:dyDescent="0.2">
      <c r="A3" s="34" t="s">
        <v>15103</v>
      </c>
      <c r="B3" s="34"/>
      <c r="C3" s="34"/>
      <c r="D3" s="34"/>
      <c r="E3" s="34"/>
      <c r="F3" s="34"/>
      <c r="G3" s="34"/>
      <c r="H3" s="34"/>
      <c r="I3" s="34"/>
      <c r="J3" s="34"/>
      <c r="K3" s="34"/>
    </row>
    <row r="4" spans="1:11" x14ac:dyDescent="0.2">
      <c r="A4" s="29"/>
      <c r="B4" s="29"/>
      <c r="C4" s="29"/>
      <c r="D4" s="29"/>
      <c r="E4" s="29"/>
      <c r="F4" s="29"/>
      <c r="G4" s="29"/>
      <c r="H4" s="29"/>
      <c r="I4" s="29"/>
    </row>
    <row r="6" spans="1:11" x14ac:dyDescent="0.2">
      <c r="A6" s="9" t="s">
        <v>71</v>
      </c>
      <c r="B6" s="9" t="s">
        <v>72</v>
      </c>
      <c r="C6" s="9" t="s">
        <v>173</v>
      </c>
      <c r="D6" s="9" t="s">
        <v>15056</v>
      </c>
      <c r="E6" s="9" t="s">
        <v>174</v>
      </c>
      <c r="F6" s="9" t="s">
        <v>175</v>
      </c>
      <c r="G6" s="9" t="s">
        <v>178</v>
      </c>
      <c r="H6" s="9" t="s">
        <v>179</v>
      </c>
    </row>
    <row r="7" spans="1:11" x14ac:dyDescent="0.2">
      <c r="A7" s="11" t="s">
        <v>75</v>
      </c>
      <c r="B7" t="s">
        <v>76</v>
      </c>
      <c r="C7">
        <v>18632</v>
      </c>
      <c r="D7">
        <f t="shared" ref="D7:D18" si="0">SUM(C7-F7)</f>
        <v>1230</v>
      </c>
      <c r="E7">
        <f t="shared" ref="E7:E18" si="1">SUM((C7-F7)*100/C7)</f>
        <v>6.601545727780163</v>
      </c>
      <c r="F7">
        <v>17402</v>
      </c>
      <c r="G7">
        <v>1923</v>
      </c>
      <c r="H7">
        <v>15479</v>
      </c>
    </row>
    <row r="8" spans="1:11" x14ac:dyDescent="0.2">
      <c r="A8" s="11" t="s">
        <v>80</v>
      </c>
      <c r="B8" t="s">
        <v>81</v>
      </c>
      <c r="C8">
        <v>18892</v>
      </c>
      <c r="D8">
        <f t="shared" si="0"/>
        <v>1007</v>
      </c>
      <c r="E8">
        <f t="shared" si="1"/>
        <v>5.3302985390641542</v>
      </c>
      <c r="F8">
        <v>17885</v>
      </c>
      <c r="G8">
        <v>1471</v>
      </c>
      <c r="H8">
        <v>16414</v>
      </c>
    </row>
    <row r="9" spans="1:11" x14ac:dyDescent="0.2">
      <c r="A9" s="11" t="s">
        <v>82</v>
      </c>
      <c r="B9" t="s">
        <v>176</v>
      </c>
      <c r="C9">
        <v>18772</v>
      </c>
      <c r="D9">
        <f t="shared" si="0"/>
        <v>507</v>
      </c>
      <c r="E9">
        <f t="shared" si="1"/>
        <v>2.7008310249307481</v>
      </c>
      <c r="F9">
        <v>18265</v>
      </c>
      <c r="G9">
        <v>1280</v>
      </c>
      <c r="H9">
        <v>16985</v>
      </c>
    </row>
    <row r="10" spans="1:11" x14ac:dyDescent="0.2">
      <c r="A10" s="11" t="s">
        <v>91</v>
      </c>
      <c r="B10" t="s">
        <v>92</v>
      </c>
      <c r="C10">
        <v>19550</v>
      </c>
      <c r="D10">
        <f t="shared" si="0"/>
        <v>4</v>
      </c>
      <c r="E10">
        <f t="shared" si="1"/>
        <v>2.0460358056265986E-2</v>
      </c>
      <c r="F10">
        <v>19546</v>
      </c>
      <c r="G10">
        <v>0</v>
      </c>
      <c r="H10">
        <v>19546</v>
      </c>
    </row>
    <row r="11" spans="1:11" x14ac:dyDescent="0.2">
      <c r="A11" s="11" t="s">
        <v>94</v>
      </c>
      <c r="B11" t="s">
        <v>68</v>
      </c>
      <c r="C11">
        <v>18895</v>
      </c>
      <c r="D11">
        <f t="shared" si="0"/>
        <v>644</v>
      </c>
      <c r="E11">
        <f t="shared" si="1"/>
        <v>3.4083090764752582</v>
      </c>
      <c r="F11">
        <v>18251</v>
      </c>
      <c r="G11">
        <v>1319</v>
      </c>
      <c r="H11">
        <v>16932</v>
      </c>
    </row>
    <row r="12" spans="1:11" x14ac:dyDescent="0.2">
      <c r="A12" s="11" t="s">
        <v>97</v>
      </c>
      <c r="B12" t="s">
        <v>98</v>
      </c>
      <c r="C12">
        <v>18926</v>
      </c>
      <c r="D12">
        <f t="shared" si="0"/>
        <v>710</v>
      </c>
      <c r="E12">
        <f t="shared" si="1"/>
        <v>3.7514530275811055</v>
      </c>
      <c r="F12">
        <v>18216</v>
      </c>
      <c r="G12">
        <v>1387</v>
      </c>
      <c r="H12">
        <v>16829</v>
      </c>
    </row>
    <row r="13" spans="1:11" x14ac:dyDescent="0.2">
      <c r="A13" s="11" t="s">
        <v>100</v>
      </c>
      <c r="B13" t="s">
        <v>101</v>
      </c>
      <c r="C13">
        <v>18632</v>
      </c>
      <c r="D13">
        <f t="shared" si="0"/>
        <v>828</v>
      </c>
      <c r="E13">
        <f t="shared" si="1"/>
        <v>4.4439673679690852</v>
      </c>
      <c r="F13">
        <v>17804</v>
      </c>
      <c r="G13">
        <v>1674</v>
      </c>
      <c r="H13">
        <v>16130</v>
      </c>
    </row>
    <row r="14" spans="1:11" x14ac:dyDescent="0.2">
      <c r="A14" s="11" t="s">
        <v>103</v>
      </c>
      <c r="B14" t="s">
        <v>68</v>
      </c>
      <c r="C14">
        <v>18514</v>
      </c>
      <c r="D14">
        <f t="shared" si="0"/>
        <v>849</v>
      </c>
      <c r="E14">
        <f t="shared" si="1"/>
        <v>4.5857189154153613</v>
      </c>
      <c r="F14">
        <v>17665</v>
      </c>
      <c r="G14">
        <v>1551</v>
      </c>
      <c r="H14">
        <v>16114</v>
      </c>
    </row>
    <row r="15" spans="1:11" x14ac:dyDescent="0.2">
      <c r="A15" s="11" t="s">
        <v>15136</v>
      </c>
      <c r="B15" t="s">
        <v>79</v>
      </c>
      <c r="C15">
        <v>18855</v>
      </c>
      <c r="D15">
        <f t="shared" si="0"/>
        <v>1023</v>
      </c>
      <c r="E15">
        <f t="shared" si="1"/>
        <v>5.4256165473349247</v>
      </c>
      <c r="F15">
        <v>17832</v>
      </c>
      <c r="G15">
        <v>1582</v>
      </c>
      <c r="H15">
        <v>16250</v>
      </c>
    </row>
    <row r="16" spans="1:11" x14ac:dyDescent="0.2">
      <c r="A16" s="11" t="s">
        <v>85</v>
      </c>
      <c r="B16" t="s">
        <v>86</v>
      </c>
      <c r="C16">
        <v>20402</v>
      </c>
      <c r="D16">
        <f t="shared" si="0"/>
        <v>778</v>
      </c>
      <c r="E16">
        <f t="shared" si="1"/>
        <v>3.8133516321929224</v>
      </c>
      <c r="F16">
        <v>19624</v>
      </c>
      <c r="G16">
        <v>42</v>
      </c>
      <c r="H16">
        <v>19582</v>
      </c>
    </row>
    <row r="17" spans="1:8" x14ac:dyDescent="0.2">
      <c r="A17" s="11" t="s">
        <v>88</v>
      </c>
      <c r="B17" t="s">
        <v>89</v>
      </c>
      <c r="C17">
        <v>22438</v>
      </c>
      <c r="D17">
        <f t="shared" si="0"/>
        <v>720</v>
      </c>
      <c r="E17">
        <f t="shared" si="1"/>
        <v>3.2088421427934755</v>
      </c>
      <c r="F17">
        <v>21718</v>
      </c>
      <c r="G17">
        <v>51</v>
      </c>
      <c r="H17">
        <v>21667</v>
      </c>
    </row>
    <row r="18" spans="1:8" x14ac:dyDescent="0.2">
      <c r="A18" s="11" t="s">
        <v>105</v>
      </c>
      <c r="B18" t="s">
        <v>106</v>
      </c>
      <c r="C18">
        <v>18232</v>
      </c>
      <c r="D18">
        <f t="shared" si="0"/>
        <v>1373</v>
      </c>
      <c r="E18">
        <f t="shared" si="1"/>
        <v>7.530715225976305</v>
      </c>
      <c r="F18">
        <v>16859</v>
      </c>
      <c r="G18">
        <v>1473</v>
      </c>
      <c r="H18">
        <v>15386</v>
      </c>
    </row>
    <row r="19" spans="1:8" x14ac:dyDescent="0.2">
      <c r="A19" s="9" t="s">
        <v>177</v>
      </c>
      <c r="C19" s="9">
        <v>230740</v>
      </c>
      <c r="D19" s="9">
        <f>SUM(D7:D18)</f>
        <v>9673</v>
      </c>
      <c r="E19" s="9"/>
      <c r="F19" s="9">
        <v>221067</v>
      </c>
      <c r="G19" s="9">
        <v>13753</v>
      </c>
      <c r="H19" s="9">
        <v>207314</v>
      </c>
    </row>
    <row r="27" spans="1:8" x14ac:dyDescent="0.2">
      <c r="G27" s="28"/>
    </row>
  </sheetData>
  <mergeCells count="1">
    <mergeCell ref="A3: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608A-FAB7-E946-8AC4-6296029E0B15}">
  <dimension ref="A1:N5548"/>
  <sheetViews>
    <sheetView workbookViewId="0">
      <selection activeCell="A3" sqref="A3"/>
    </sheetView>
  </sheetViews>
  <sheetFormatPr baseColWidth="10" defaultRowHeight="16" x14ac:dyDescent="0.2"/>
  <cols>
    <col min="1" max="1" width="16.83203125" customWidth="1"/>
    <col min="2" max="2" width="20.83203125" customWidth="1"/>
    <col min="3" max="3" width="42.5" customWidth="1"/>
    <col min="4" max="4" width="19.1640625" customWidth="1"/>
    <col min="5" max="5" width="21.5" customWidth="1"/>
    <col min="6" max="6" width="16.5" bestFit="1" customWidth="1"/>
    <col min="7" max="7" width="10.5" bestFit="1" customWidth="1"/>
  </cols>
  <sheetData>
    <row r="1" spans="1:14" ht="21" x14ac:dyDescent="0.25">
      <c r="A1" s="25" t="s">
        <v>15051</v>
      </c>
    </row>
    <row r="2" spans="1:14" ht="21" x14ac:dyDescent="0.25">
      <c r="A2" s="25" t="s">
        <v>15104</v>
      </c>
    </row>
    <row r="3" spans="1:14" ht="21" customHeight="1" x14ac:dyDescent="0.2">
      <c r="A3" t="s">
        <v>15105</v>
      </c>
    </row>
    <row r="4" spans="1:14" ht="79" customHeight="1" x14ac:dyDescent="0.2">
      <c r="A4" s="35" t="s">
        <v>15108</v>
      </c>
      <c r="B4" s="35"/>
      <c r="C4" s="35"/>
      <c r="D4" s="35"/>
      <c r="E4" s="35"/>
      <c r="F4" s="35"/>
      <c r="G4" s="35"/>
      <c r="H4" s="35"/>
      <c r="I4" s="35"/>
      <c r="J4" s="35"/>
      <c r="K4" s="35"/>
      <c r="L4" s="35"/>
      <c r="M4" s="35"/>
      <c r="N4" s="35"/>
    </row>
    <row r="6" spans="1:14" ht="17" thickBot="1" x14ac:dyDescent="0.25"/>
    <row r="7" spans="1:14" x14ac:dyDescent="0.2">
      <c r="A7" s="9" t="s">
        <v>180</v>
      </c>
      <c r="B7" s="9" t="s">
        <v>181</v>
      </c>
      <c r="C7" s="9" t="s">
        <v>182</v>
      </c>
      <c r="D7" s="9" t="s">
        <v>183</v>
      </c>
      <c r="F7" s="4" t="s">
        <v>12352</v>
      </c>
      <c r="G7" s="5">
        <f>COUNTIF(D8:D5560, "Lost_before_GSTF")</f>
        <v>743</v>
      </c>
    </row>
    <row r="8" spans="1:14" x14ac:dyDescent="0.2">
      <c r="A8" t="s">
        <v>184</v>
      </c>
      <c r="B8" t="s">
        <v>185</v>
      </c>
      <c r="C8" t="s">
        <v>186</v>
      </c>
      <c r="D8" t="s">
        <v>187</v>
      </c>
      <c r="F8" s="6" t="s">
        <v>12353</v>
      </c>
      <c r="G8" s="7">
        <f>COUNTIF(D8:D5560, "Discarded_by_GSTF")</f>
        <v>1195</v>
      </c>
    </row>
    <row r="9" spans="1:14" x14ac:dyDescent="0.2">
      <c r="A9" t="s">
        <v>188</v>
      </c>
      <c r="B9" t="s">
        <v>189</v>
      </c>
      <c r="C9" t="s">
        <v>190</v>
      </c>
      <c r="D9" t="s">
        <v>191</v>
      </c>
      <c r="F9" s="6" t="s">
        <v>12354</v>
      </c>
      <c r="G9" s="7">
        <f>COUNTIF(D8:D5560, "In_current_file")</f>
        <v>3065</v>
      </c>
    </row>
    <row r="10" spans="1:14" x14ac:dyDescent="0.2">
      <c r="A10" t="s">
        <v>192</v>
      </c>
      <c r="B10" t="s">
        <v>193</v>
      </c>
      <c r="C10" t="s">
        <v>194</v>
      </c>
      <c r="D10" t="s">
        <v>195</v>
      </c>
      <c r="F10" s="6" t="s">
        <v>12355</v>
      </c>
      <c r="G10" s="7">
        <f>COUNTIF(D8:D5560, "In_file*")</f>
        <v>383</v>
      </c>
    </row>
    <row r="11" spans="1:14" x14ac:dyDescent="0.2">
      <c r="A11" t="s">
        <v>196</v>
      </c>
      <c r="B11" t="s">
        <v>197</v>
      </c>
      <c r="C11" t="s">
        <v>190</v>
      </c>
      <c r="D11" t="s">
        <v>191</v>
      </c>
      <c r="F11" s="6" t="s">
        <v>12356</v>
      </c>
      <c r="G11" s="7">
        <f>COUNTIF(D8:D5560, "Not_in_annotation")</f>
        <v>155</v>
      </c>
    </row>
    <row r="12" spans="1:14" ht="17" thickBot="1" x14ac:dyDescent="0.25">
      <c r="A12" t="s">
        <v>196</v>
      </c>
      <c r="B12" t="s">
        <v>198</v>
      </c>
      <c r="C12" t="s">
        <v>190</v>
      </c>
      <c r="D12" t="s">
        <v>191</v>
      </c>
      <c r="F12" s="14" t="s">
        <v>177</v>
      </c>
      <c r="G12" s="15" t="s">
        <v>12351</v>
      </c>
    </row>
    <row r="13" spans="1:14" x14ac:dyDescent="0.2">
      <c r="A13" t="s">
        <v>199</v>
      </c>
      <c r="B13" t="s">
        <v>200</v>
      </c>
      <c r="C13" t="s">
        <v>190</v>
      </c>
      <c r="D13" t="s">
        <v>191</v>
      </c>
    </row>
    <row r="14" spans="1:14" x14ac:dyDescent="0.2">
      <c r="A14" t="s">
        <v>201</v>
      </c>
      <c r="B14" t="s">
        <v>202</v>
      </c>
      <c r="C14" t="s">
        <v>190</v>
      </c>
      <c r="D14" t="s">
        <v>191</v>
      </c>
    </row>
    <row r="15" spans="1:14" x14ac:dyDescent="0.2">
      <c r="A15" t="s">
        <v>203</v>
      </c>
      <c r="B15" t="s">
        <v>204</v>
      </c>
      <c r="C15" t="s">
        <v>190</v>
      </c>
      <c r="D15" t="s">
        <v>191</v>
      </c>
    </row>
    <row r="16" spans="1:14" x14ac:dyDescent="0.2">
      <c r="A16" t="s">
        <v>205</v>
      </c>
      <c r="B16" t="s">
        <v>206</v>
      </c>
      <c r="C16" t="s">
        <v>190</v>
      </c>
      <c r="D16" t="s">
        <v>191</v>
      </c>
    </row>
    <row r="17" spans="1:4" x14ac:dyDescent="0.2">
      <c r="A17" t="s">
        <v>207</v>
      </c>
      <c r="B17" t="s">
        <v>208</v>
      </c>
      <c r="C17" t="s">
        <v>190</v>
      </c>
      <c r="D17" t="s">
        <v>191</v>
      </c>
    </row>
    <row r="18" spans="1:4" x14ac:dyDescent="0.2">
      <c r="A18" t="s">
        <v>209</v>
      </c>
      <c r="B18" t="s">
        <v>210</v>
      </c>
      <c r="C18" t="s">
        <v>211</v>
      </c>
      <c r="D18" t="s">
        <v>195</v>
      </c>
    </row>
    <row r="19" spans="1:4" x14ac:dyDescent="0.2">
      <c r="A19" t="s">
        <v>212</v>
      </c>
      <c r="B19" t="s">
        <v>213</v>
      </c>
      <c r="C19" t="s">
        <v>214</v>
      </c>
      <c r="D19" t="s">
        <v>195</v>
      </c>
    </row>
    <row r="20" spans="1:4" x14ac:dyDescent="0.2">
      <c r="A20" t="s">
        <v>215</v>
      </c>
      <c r="B20" t="s">
        <v>216</v>
      </c>
      <c r="C20" t="s">
        <v>217</v>
      </c>
      <c r="D20" t="s">
        <v>187</v>
      </c>
    </row>
    <row r="21" spans="1:4" x14ac:dyDescent="0.2">
      <c r="A21" t="s">
        <v>218</v>
      </c>
      <c r="B21" t="s">
        <v>219</v>
      </c>
      <c r="C21" t="s">
        <v>190</v>
      </c>
      <c r="D21" t="s">
        <v>191</v>
      </c>
    </row>
    <row r="22" spans="1:4" x14ac:dyDescent="0.2">
      <c r="A22" t="s">
        <v>220</v>
      </c>
      <c r="B22" t="s">
        <v>221</v>
      </c>
      <c r="C22" t="s">
        <v>222</v>
      </c>
      <c r="D22" t="s">
        <v>187</v>
      </c>
    </row>
    <row r="23" spans="1:4" x14ac:dyDescent="0.2">
      <c r="A23" t="s">
        <v>223</v>
      </c>
      <c r="B23" t="s">
        <v>224</v>
      </c>
      <c r="C23" t="s">
        <v>190</v>
      </c>
      <c r="D23" t="s">
        <v>191</v>
      </c>
    </row>
    <row r="24" spans="1:4" x14ac:dyDescent="0.2">
      <c r="A24" t="s">
        <v>225</v>
      </c>
      <c r="B24" t="s">
        <v>226</v>
      </c>
      <c r="C24" t="s">
        <v>190</v>
      </c>
      <c r="D24" t="s">
        <v>191</v>
      </c>
    </row>
    <row r="25" spans="1:4" x14ac:dyDescent="0.2">
      <c r="A25" t="s">
        <v>225</v>
      </c>
      <c r="B25" t="s">
        <v>227</v>
      </c>
      <c r="C25" t="s">
        <v>190</v>
      </c>
      <c r="D25" t="s">
        <v>191</v>
      </c>
    </row>
    <row r="26" spans="1:4" x14ac:dyDescent="0.2">
      <c r="A26" t="s">
        <v>228</v>
      </c>
      <c r="B26" t="s">
        <v>229</v>
      </c>
      <c r="C26" t="s">
        <v>230</v>
      </c>
      <c r="D26" t="s">
        <v>195</v>
      </c>
    </row>
    <row r="27" spans="1:4" x14ac:dyDescent="0.2">
      <c r="A27" t="s">
        <v>231</v>
      </c>
      <c r="B27" t="s">
        <v>232</v>
      </c>
      <c r="C27" t="s">
        <v>190</v>
      </c>
      <c r="D27" t="s">
        <v>191</v>
      </c>
    </row>
    <row r="28" spans="1:4" x14ac:dyDescent="0.2">
      <c r="A28" t="s">
        <v>233</v>
      </c>
      <c r="B28" t="s">
        <v>234</v>
      </c>
      <c r="C28" t="s">
        <v>190</v>
      </c>
      <c r="D28" t="s">
        <v>191</v>
      </c>
    </row>
    <row r="29" spans="1:4" x14ac:dyDescent="0.2">
      <c r="A29" t="s">
        <v>235</v>
      </c>
      <c r="B29" t="s">
        <v>236</v>
      </c>
      <c r="C29" t="s">
        <v>190</v>
      </c>
      <c r="D29" t="s">
        <v>191</v>
      </c>
    </row>
    <row r="30" spans="1:4" x14ac:dyDescent="0.2">
      <c r="A30" t="s">
        <v>237</v>
      </c>
      <c r="B30" t="s">
        <v>238</v>
      </c>
      <c r="C30" t="s">
        <v>190</v>
      </c>
      <c r="D30" t="s">
        <v>191</v>
      </c>
    </row>
    <row r="31" spans="1:4" x14ac:dyDescent="0.2">
      <c r="A31" t="s">
        <v>239</v>
      </c>
      <c r="B31" t="s">
        <v>240</v>
      </c>
      <c r="C31" t="s">
        <v>241</v>
      </c>
      <c r="D31" t="s">
        <v>195</v>
      </c>
    </row>
    <row r="32" spans="1:4" x14ac:dyDescent="0.2">
      <c r="A32" t="s">
        <v>242</v>
      </c>
      <c r="B32" t="s">
        <v>243</v>
      </c>
      <c r="C32" t="s">
        <v>190</v>
      </c>
      <c r="D32" t="s">
        <v>191</v>
      </c>
    </row>
    <row r="33" spans="1:4" x14ac:dyDescent="0.2">
      <c r="A33" t="s">
        <v>244</v>
      </c>
      <c r="B33" t="s">
        <v>245</v>
      </c>
      <c r="C33" t="s">
        <v>246</v>
      </c>
      <c r="D33" t="s">
        <v>187</v>
      </c>
    </row>
    <row r="34" spans="1:4" x14ac:dyDescent="0.2">
      <c r="A34" t="s">
        <v>247</v>
      </c>
      <c r="B34" t="s">
        <v>248</v>
      </c>
      <c r="C34" t="s">
        <v>190</v>
      </c>
      <c r="D34" t="s">
        <v>191</v>
      </c>
    </row>
    <row r="35" spans="1:4" x14ac:dyDescent="0.2">
      <c r="A35" t="s">
        <v>249</v>
      </c>
      <c r="B35" t="s">
        <v>250</v>
      </c>
      <c r="C35" t="s">
        <v>190</v>
      </c>
      <c r="D35" t="s">
        <v>191</v>
      </c>
    </row>
    <row r="36" spans="1:4" x14ac:dyDescent="0.2">
      <c r="A36" t="s">
        <v>251</v>
      </c>
      <c r="B36" t="s">
        <v>252</v>
      </c>
      <c r="C36" t="s">
        <v>190</v>
      </c>
      <c r="D36" t="s">
        <v>191</v>
      </c>
    </row>
    <row r="37" spans="1:4" x14ac:dyDescent="0.2">
      <c r="A37" t="s">
        <v>253</v>
      </c>
      <c r="B37" t="s">
        <v>254</v>
      </c>
      <c r="C37" t="s">
        <v>255</v>
      </c>
      <c r="D37" t="s">
        <v>195</v>
      </c>
    </row>
    <row r="38" spans="1:4" x14ac:dyDescent="0.2">
      <c r="A38" t="s">
        <v>256</v>
      </c>
      <c r="B38" t="s">
        <v>257</v>
      </c>
      <c r="C38" t="s">
        <v>258</v>
      </c>
      <c r="D38" t="s">
        <v>187</v>
      </c>
    </row>
    <row r="39" spans="1:4" x14ac:dyDescent="0.2">
      <c r="A39" t="s">
        <v>259</v>
      </c>
      <c r="B39" t="s">
        <v>260</v>
      </c>
      <c r="C39" t="s">
        <v>190</v>
      </c>
      <c r="D39" t="s">
        <v>191</v>
      </c>
    </row>
    <row r="40" spans="1:4" x14ac:dyDescent="0.2">
      <c r="A40" t="s">
        <v>261</v>
      </c>
      <c r="B40" t="s">
        <v>262</v>
      </c>
      <c r="C40" t="s">
        <v>263</v>
      </c>
      <c r="D40" t="s">
        <v>195</v>
      </c>
    </row>
    <row r="41" spans="1:4" x14ac:dyDescent="0.2">
      <c r="A41" t="s">
        <v>264</v>
      </c>
      <c r="B41" t="s">
        <v>265</v>
      </c>
      <c r="C41" t="s">
        <v>266</v>
      </c>
      <c r="D41" t="s">
        <v>195</v>
      </c>
    </row>
    <row r="42" spans="1:4" x14ac:dyDescent="0.2">
      <c r="A42" t="s">
        <v>267</v>
      </c>
      <c r="B42" t="s">
        <v>268</v>
      </c>
      <c r="C42" t="s">
        <v>190</v>
      </c>
      <c r="D42" t="s">
        <v>191</v>
      </c>
    </row>
    <row r="43" spans="1:4" x14ac:dyDescent="0.2">
      <c r="A43" t="s">
        <v>269</v>
      </c>
      <c r="B43" t="s">
        <v>270</v>
      </c>
      <c r="C43" t="s">
        <v>190</v>
      </c>
      <c r="D43" t="s">
        <v>191</v>
      </c>
    </row>
    <row r="44" spans="1:4" x14ac:dyDescent="0.2">
      <c r="A44" t="s">
        <v>271</v>
      </c>
      <c r="B44" t="s">
        <v>272</v>
      </c>
      <c r="C44" t="s">
        <v>273</v>
      </c>
      <c r="D44" t="s">
        <v>195</v>
      </c>
    </row>
    <row r="45" spans="1:4" x14ac:dyDescent="0.2">
      <c r="A45" t="s">
        <v>274</v>
      </c>
      <c r="B45" t="s">
        <v>275</v>
      </c>
      <c r="C45" t="s">
        <v>190</v>
      </c>
      <c r="D45" t="s">
        <v>191</v>
      </c>
    </row>
    <row r="46" spans="1:4" x14ac:dyDescent="0.2">
      <c r="A46" t="s">
        <v>276</v>
      </c>
      <c r="B46" t="s">
        <v>277</v>
      </c>
      <c r="C46" t="s">
        <v>190</v>
      </c>
      <c r="D46" t="s">
        <v>191</v>
      </c>
    </row>
    <row r="47" spans="1:4" x14ac:dyDescent="0.2">
      <c r="A47" t="s">
        <v>278</v>
      </c>
      <c r="B47" t="s">
        <v>279</v>
      </c>
      <c r="C47" t="s">
        <v>190</v>
      </c>
      <c r="D47" t="s">
        <v>280</v>
      </c>
    </row>
    <row r="48" spans="1:4" x14ac:dyDescent="0.2">
      <c r="A48" t="s">
        <v>281</v>
      </c>
      <c r="B48" t="s">
        <v>282</v>
      </c>
      <c r="C48" t="s">
        <v>283</v>
      </c>
      <c r="D48" t="s">
        <v>195</v>
      </c>
    </row>
    <row r="49" spans="1:4" x14ac:dyDescent="0.2">
      <c r="A49" t="s">
        <v>284</v>
      </c>
      <c r="B49" t="s">
        <v>285</v>
      </c>
      <c r="C49" t="s">
        <v>286</v>
      </c>
      <c r="D49" t="s">
        <v>195</v>
      </c>
    </row>
    <row r="50" spans="1:4" x14ac:dyDescent="0.2">
      <c r="A50" t="s">
        <v>287</v>
      </c>
      <c r="B50" t="s">
        <v>288</v>
      </c>
      <c r="C50" t="s">
        <v>190</v>
      </c>
      <c r="D50" t="s">
        <v>191</v>
      </c>
    </row>
    <row r="51" spans="1:4" x14ac:dyDescent="0.2">
      <c r="A51" t="s">
        <v>289</v>
      </c>
      <c r="B51" t="s">
        <v>290</v>
      </c>
      <c r="C51" t="s">
        <v>190</v>
      </c>
      <c r="D51" t="s">
        <v>191</v>
      </c>
    </row>
    <row r="52" spans="1:4" x14ac:dyDescent="0.2">
      <c r="A52" t="s">
        <v>291</v>
      </c>
      <c r="B52" t="s">
        <v>292</v>
      </c>
      <c r="C52" t="s">
        <v>190</v>
      </c>
      <c r="D52" t="s">
        <v>191</v>
      </c>
    </row>
    <row r="53" spans="1:4" x14ac:dyDescent="0.2">
      <c r="A53" t="s">
        <v>293</v>
      </c>
      <c r="B53" t="s">
        <v>294</v>
      </c>
      <c r="C53" t="s">
        <v>295</v>
      </c>
      <c r="D53" t="s">
        <v>187</v>
      </c>
    </row>
    <row r="54" spans="1:4" x14ac:dyDescent="0.2">
      <c r="A54" t="s">
        <v>296</v>
      </c>
      <c r="B54" t="s">
        <v>297</v>
      </c>
      <c r="C54" t="s">
        <v>298</v>
      </c>
      <c r="D54" t="s">
        <v>195</v>
      </c>
    </row>
    <row r="55" spans="1:4" x14ac:dyDescent="0.2">
      <c r="A55" t="s">
        <v>299</v>
      </c>
      <c r="B55" t="s">
        <v>300</v>
      </c>
      <c r="C55" t="s">
        <v>190</v>
      </c>
      <c r="D55" t="s">
        <v>191</v>
      </c>
    </row>
    <row r="56" spans="1:4" x14ac:dyDescent="0.2">
      <c r="A56" t="s">
        <v>301</v>
      </c>
      <c r="B56" t="s">
        <v>302</v>
      </c>
      <c r="C56" t="s">
        <v>190</v>
      </c>
      <c r="D56" t="s">
        <v>191</v>
      </c>
    </row>
    <row r="57" spans="1:4" x14ac:dyDescent="0.2">
      <c r="A57" t="s">
        <v>303</v>
      </c>
      <c r="B57" t="s">
        <v>304</v>
      </c>
      <c r="C57" t="s">
        <v>190</v>
      </c>
      <c r="D57" t="s">
        <v>191</v>
      </c>
    </row>
    <row r="58" spans="1:4" x14ac:dyDescent="0.2">
      <c r="A58" t="s">
        <v>305</v>
      </c>
      <c r="B58" t="s">
        <v>306</v>
      </c>
      <c r="C58" t="s">
        <v>307</v>
      </c>
      <c r="D58" t="s">
        <v>195</v>
      </c>
    </row>
    <row r="59" spans="1:4" x14ac:dyDescent="0.2">
      <c r="A59" t="s">
        <v>308</v>
      </c>
      <c r="B59" t="s">
        <v>309</v>
      </c>
      <c r="C59" t="s">
        <v>190</v>
      </c>
      <c r="D59" t="s">
        <v>191</v>
      </c>
    </row>
    <row r="60" spans="1:4" x14ac:dyDescent="0.2">
      <c r="A60" t="s">
        <v>310</v>
      </c>
      <c r="B60" t="s">
        <v>311</v>
      </c>
      <c r="C60" t="s">
        <v>190</v>
      </c>
      <c r="D60" t="s">
        <v>191</v>
      </c>
    </row>
    <row r="61" spans="1:4" x14ac:dyDescent="0.2">
      <c r="A61" t="s">
        <v>312</v>
      </c>
      <c r="B61" t="s">
        <v>313</v>
      </c>
      <c r="C61" t="s">
        <v>314</v>
      </c>
      <c r="D61" t="s">
        <v>195</v>
      </c>
    </row>
    <row r="62" spans="1:4" x14ac:dyDescent="0.2">
      <c r="A62" t="s">
        <v>315</v>
      </c>
      <c r="B62" t="s">
        <v>316</v>
      </c>
      <c r="C62" t="s">
        <v>317</v>
      </c>
      <c r="D62" t="s">
        <v>195</v>
      </c>
    </row>
    <row r="63" spans="1:4" x14ac:dyDescent="0.2">
      <c r="A63" t="s">
        <v>318</v>
      </c>
      <c r="B63" t="s">
        <v>319</v>
      </c>
      <c r="C63" t="s">
        <v>190</v>
      </c>
      <c r="D63" t="s">
        <v>191</v>
      </c>
    </row>
    <row r="64" spans="1:4" x14ac:dyDescent="0.2">
      <c r="A64" t="s">
        <v>320</v>
      </c>
      <c r="B64" t="s">
        <v>321</v>
      </c>
      <c r="C64" t="s">
        <v>190</v>
      </c>
      <c r="D64" t="s">
        <v>191</v>
      </c>
    </row>
    <row r="65" spans="1:4" x14ac:dyDescent="0.2">
      <c r="A65" t="s">
        <v>322</v>
      </c>
      <c r="B65" t="s">
        <v>323</v>
      </c>
      <c r="C65" t="s">
        <v>324</v>
      </c>
      <c r="D65" t="s">
        <v>187</v>
      </c>
    </row>
    <row r="66" spans="1:4" x14ac:dyDescent="0.2">
      <c r="A66" t="s">
        <v>325</v>
      </c>
      <c r="B66" t="s">
        <v>326</v>
      </c>
      <c r="C66" t="s">
        <v>327</v>
      </c>
      <c r="D66" t="s">
        <v>195</v>
      </c>
    </row>
    <row r="67" spans="1:4" x14ac:dyDescent="0.2">
      <c r="A67" t="s">
        <v>328</v>
      </c>
      <c r="B67" t="s">
        <v>329</v>
      </c>
      <c r="C67" t="s">
        <v>190</v>
      </c>
      <c r="D67" t="s">
        <v>191</v>
      </c>
    </row>
    <row r="68" spans="1:4" x14ac:dyDescent="0.2">
      <c r="A68" t="s">
        <v>330</v>
      </c>
      <c r="B68" t="s">
        <v>331</v>
      </c>
      <c r="C68" t="s">
        <v>190</v>
      </c>
      <c r="D68" t="s">
        <v>191</v>
      </c>
    </row>
    <row r="69" spans="1:4" x14ac:dyDescent="0.2">
      <c r="A69" t="s">
        <v>332</v>
      </c>
      <c r="B69" t="s">
        <v>333</v>
      </c>
      <c r="C69" t="s">
        <v>334</v>
      </c>
      <c r="D69" t="s">
        <v>195</v>
      </c>
    </row>
    <row r="70" spans="1:4" x14ac:dyDescent="0.2">
      <c r="A70" t="s">
        <v>335</v>
      </c>
      <c r="B70" t="s">
        <v>336</v>
      </c>
      <c r="C70" t="s">
        <v>337</v>
      </c>
      <c r="D70" t="s">
        <v>187</v>
      </c>
    </row>
    <row r="71" spans="1:4" x14ac:dyDescent="0.2">
      <c r="A71" t="s">
        <v>338</v>
      </c>
      <c r="B71" t="s">
        <v>339</v>
      </c>
      <c r="C71" t="s">
        <v>190</v>
      </c>
      <c r="D71" t="s">
        <v>191</v>
      </c>
    </row>
    <row r="72" spans="1:4" x14ac:dyDescent="0.2">
      <c r="A72" t="s">
        <v>340</v>
      </c>
      <c r="B72" t="s">
        <v>341</v>
      </c>
      <c r="C72" t="s">
        <v>190</v>
      </c>
      <c r="D72" t="s">
        <v>191</v>
      </c>
    </row>
    <row r="73" spans="1:4" x14ac:dyDescent="0.2">
      <c r="A73" t="s">
        <v>342</v>
      </c>
      <c r="B73" t="s">
        <v>343</v>
      </c>
      <c r="C73" t="s">
        <v>190</v>
      </c>
      <c r="D73" t="s">
        <v>191</v>
      </c>
    </row>
    <row r="74" spans="1:4" x14ac:dyDescent="0.2">
      <c r="A74" t="s">
        <v>344</v>
      </c>
      <c r="B74" t="s">
        <v>345</v>
      </c>
      <c r="C74" t="s">
        <v>346</v>
      </c>
      <c r="D74" t="s">
        <v>195</v>
      </c>
    </row>
    <row r="75" spans="1:4" x14ac:dyDescent="0.2">
      <c r="A75" t="s">
        <v>347</v>
      </c>
      <c r="B75" t="s">
        <v>348</v>
      </c>
      <c r="C75" t="s">
        <v>190</v>
      </c>
      <c r="D75" t="s">
        <v>191</v>
      </c>
    </row>
    <row r="76" spans="1:4" x14ac:dyDescent="0.2">
      <c r="A76" t="s">
        <v>349</v>
      </c>
      <c r="B76" t="s">
        <v>350</v>
      </c>
      <c r="C76" t="s">
        <v>190</v>
      </c>
      <c r="D76" t="s">
        <v>191</v>
      </c>
    </row>
    <row r="77" spans="1:4" x14ac:dyDescent="0.2">
      <c r="A77" t="s">
        <v>351</v>
      </c>
      <c r="B77" t="s">
        <v>352</v>
      </c>
      <c r="C77" t="s">
        <v>190</v>
      </c>
      <c r="D77" t="s">
        <v>191</v>
      </c>
    </row>
    <row r="78" spans="1:4" x14ac:dyDescent="0.2">
      <c r="A78" t="s">
        <v>353</v>
      </c>
      <c r="B78" t="s">
        <v>354</v>
      </c>
      <c r="C78" t="s">
        <v>190</v>
      </c>
      <c r="D78" t="s">
        <v>191</v>
      </c>
    </row>
    <row r="79" spans="1:4" x14ac:dyDescent="0.2">
      <c r="A79" t="s">
        <v>355</v>
      </c>
      <c r="B79" t="s">
        <v>356</v>
      </c>
      <c r="C79" t="s">
        <v>357</v>
      </c>
      <c r="D79" t="s">
        <v>195</v>
      </c>
    </row>
    <row r="80" spans="1:4" x14ac:dyDescent="0.2">
      <c r="A80" t="s">
        <v>358</v>
      </c>
      <c r="B80" t="s">
        <v>359</v>
      </c>
      <c r="C80" t="s">
        <v>360</v>
      </c>
      <c r="D80" t="s">
        <v>195</v>
      </c>
    </row>
    <row r="81" spans="1:4" x14ac:dyDescent="0.2">
      <c r="A81" t="s">
        <v>361</v>
      </c>
      <c r="B81" t="s">
        <v>362</v>
      </c>
      <c r="C81" t="s">
        <v>190</v>
      </c>
      <c r="D81" t="s">
        <v>191</v>
      </c>
    </row>
    <row r="82" spans="1:4" x14ac:dyDescent="0.2">
      <c r="A82" t="s">
        <v>363</v>
      </c>
      <c r="B82" t="s">
        <v>364</v>
      </c>
      <c r="C82" t="s">
        <v>190</v>
      </c>
      <c r="D82" t="s">
        <v>191</v>
      </c>
    </row>
    <row r="83" spans="1:4" x14ac:dyDescent="0.2">
      <c r="A83" t="s">
        <v>365</v>
      </c>
      <c r="B83" t="s">
        <v>366</v>
      </c>
      <c r="C83" t="s">
        <v>190</v>
      </c>
      <c r="D83" t="s">
        <v>191</v>
      </c>
    </row>
    <row r="84" spans="1:4" x14ac:dyDescent="0.2">
      <c r="A84" t="s">
        <v>367</v>
      </c>
      <c r="B84" t="s">
        <v>368</v>
      </c>
      <c r="C84" t="s">
        <v>369</v>
      </c>
      <c r="D84" t="s">
        <v>187</v>
      </c>
    </row>
    <row r="85" spans="1:4" x14ac:dyDescent="0.2">
      <c r="A85" t="s">
        <v>370</v>
      </c>
      <c r="B85" t="s">
        <v>371</v>
      </c>
      <c r="C85" t="s">
        <v>372</v>
      </c>
      <c r="D85" t="s">
        <v>187</v>
      </c>
    </row>
    <row r="86" spans="1:4" x14ac:dyDescent="0.2">
      <c r="A86" t="s">
        <v>373</v>
      </c>
      <c r="B86" t="s">
        <v>374</v>
      </c>
      <c r="C86" t="s">
        <v>190</v>
      </c>
      <c r="D86" t="s">
        <v>191</v>
      </c>
    </row>
    <row r="87" spans="1:4" x14ac:dyDescent="0.2">
      <c r="A87" t="s">
        <v>375</v>
      </c>
      <c r="B87" t="s">
        <v>376</v>
      </c>
      <c r="C87" t="s">
        <v>190</v>
      </c>
      <c r="D87" t="s">
        <v>191</v>
      </c>
    </row>
    <row r="88" spans="1:4" x14ac:dyDescent="0.2">
      <c r="A88" t="s">
        <v>377</v>
      </c>
      <c r="B88" t="s">
        <v>378</v>
      </c>
      <c r="C88" t="s">
        <v>379</v>
      </c>
      <c r="D88" t="s">
        <v>195</v>
      </c>
    </row>
    <row r="89" spans="1:4" x14ac:dyDescent="0.2">
      <c r="A89" t="s">
        <v>380</v>
      </c>
      <c r="B89" t="s">
        <v>381</v>
      </c>
      <c r="C89" t="s">
        <v>190</v>
      </c>
      <c r="D89" t="s">
        <v>191</v>
      </c>
    </row>
    <row r="90" spans="1:4" x14ac:dyDescent="0.2">
      <c r="A90" t="s">
        <v>382</v>
      </c>
      <c r="B90" t="s">
        <v>383</v>
      </c>
      <c r="C90" t="s">
        <v>190</v>
      </c>
      <c r="D90" t="s">
        <v>191</v>
      </c>
    </row>
    <row r="91" spans="1:4" x14ac:dyDescent="0.2">
      <c r="A91" t="s">
        <v>384</v>
      </c>
      <c r="B91" t="s">
        <v>385</v>
      </c>
      <c r="C91" t="s">
        <v>190</v>
      </c>
      <c r="D91" t="s">
        <v>191</v>
      </c>
    </row>
    <row r="92" spans="1:4" x14ac:dyDescent="0.2">
      <c r="A92" t="s">
        <v>386</v>
      </c>
      <c r="B92" t="s">
        <v>387</v>
      </c>
      <c r="C92" t="s">
        <v>388</v>
      </c>
      <c r="D92" t="s">
        <v>195</v>
      </c>
    </row>
    <row r="93" spans="1:4" x14ac:dyDescent="0.2">
      <c r="A93" t="s">
        <v>389</v>
      </c>
      <c r="B93" t="s">
        <v>390</v>
      </c>
      <c r="C93" t="s">
        <v>391</v>
      </c>
      <c r="D93" t="s">
        <v>195</v>
      </c>
    </row>
    <row r="94" spans="1:4" x14ac:dyDescent="0.2">
      <c r="A94" t="s">
        <v>392</v>
      </c>
      <c r="B94" t="s">
        <v>393</v>
      </c>
      <c r="C94" t="s">
        <v>190</v>
      </c>
      <c r="D94" t="s">
        <v>191</v>
      </c>
    </row>
    <row r="95" spans="1:4" x14ac:dyDescent="0.2">
      <c r="A95" t="s">
        <v>394</v>
      </c>
      <c r="B95" t="s">
        <v>395</v>
      </c>
      <c r="C95" t="s">
        <v>396</v>
      </c>
      <c r="D95" t="s">
        <v>195</v>
      </c>
    </row>
    <row r="96" spans="1:4" x14ac:dyDescent="0.2">
      <c r="A96" t="s">
        <v>397</v>
      </c>
      <c r="B96" t="s">
        <v>398</v>
      </c>
      <c r="C96" t="s">
        <v>399</v>
      </c>
      <c r="D96" t="s">
        <v>187</v>
      </c>
    </row>
    <row r="97" spans="1:4" x14ac:dyDescent="0.2">
      <c r="A97" t="s">
        <v>400</v>
      </c>
      <c r="B97" t="s">
        <v>401</v>
      </c>
      <c r="C97" t="s">
        <v>190</v>
      </c>
      <c r="D97" t="s">
        <v>191</v>
      </c>
    </row>
    <row r="98" spans="1:4" x14ac:dyDescent="0.2">
      <c r="A98" t="s">
        <v>402</v>
      </c>
      <c r="B98" t="s">
        <v>403</v>
      </c>
      <c r="C98" t="s">
        <v>404</v>
      </c>
      <c r="D98" t="s">
        <v>187</v>
      </c>
    </row>
    <row r="99" spans="1:4" x14ac:dyDescent="0.2">
      <c r="A99" t="s">
        <v>405</v>
      </c>
      <c r="B99" t="s">
        <v>406</v>
      </c>
      <c r="C99" t="s">
        <v>190</v>
      </c>
      <c r="D99" t="s">
        <v>191</v>
      </c>
    </row>
    <row r="100" spans="1:4" x14ac:dyDescent="0.2">
      <c r="A100" t="s">
        <v>407</v>
      </c>
      <c r="B100" t="s">
        <v>408</v>
      </c>
      <c r="C100" t="s">
        <v>409</v>
      </c>
      <c r="D100" t="s">
        <v>195</v>
      </c>
    </row>
    <row r="101" spans="1:4" x14ac:dyDescent="0.2">
      <c r="A101" t="s">
        <v>410</v>
      </c>
      <c r="B101" t="s">
        <v>411</v>
      </c>
      <c r="C101" t="s">
        <v>412</v>
      </c>
      <c r="D101" t="s">
        <v>195</v>
      </c>
    </row>
    <row r="102" spans="1:4" x14ac:dyDescent="0.2">
      <c r="A102" t="s">
        <v>413</v>
      </c>
      <c r="B102" t="s">
        <v>414</v>
      </c>
      <c r="C102" t="s">
        <v>190</v>
      </c>
      <c r="D102" t="s">
        <v>191</v>
      </c>
    </row>
    <row r="103" spans="1:4" x14ac:dyDescent="0.2">
      <c r="A103" t="s">
        <v>415</v>
      </c>
      <c r="B103" t="s">
        <v>416</v>
      </c>
      <c r="C103" t="s">
        <v>417</v>
      </c>
      <c r="D103" t="s">
        <v>187</v>
      </c>
    </row>
    <row r="104" spans="1:4" x14ac:dyDescent="0.2">
      <c r="A104" t="s">
        <v>418</v>
      </c>
      <c r="B104" t="s">
        <v>419</v>
      </c>
      <c r="C104" t="s">
        <v>420</v>
      </c>
      <c r="D104" t="s">
        <v>195</v>
      </c>
    </row>
    <row r="105" spans="1:4" x14ac:dyDescent="0.2">
      <c r="A105" t="s">
        <v>421</v>
      </c>
      <c r="B105" t="s">
        <v>422</v>
      </c>
      <c r="C105" t="s">
        <v>423</v>
      </c>
      <c r="D105" t="s">
        <v>195</v>
      </c>
    </row>
    <row r="106" spans="1:4" x14ac:dyDescent="0.2">
      <c r="A106" t="s">
        <v>424</v>
      </c>
      <c r="B106" t="s">
        <v>425</v>
      </c>
      <c r="C106" t="s">
        <v>426</v>
      </c>
      <c r="D106" t="s">
        <v>187</v>
      </c>
    </row>
    <row r="107" spans="1:4" x14ac:dyDescent="0.2">
      <c r="A107" t="s">
        <v>427</v>
      </c>
      <c r="B107" t="s">
        <v>428</v>
      </c>
      <c r="C107" t="s">
        <v>190</v>
      </c>
      <c r="D107" t="s">
        <v>191</v>
      </c>
    </row>
    <row r="108" spans="1:4" x14ac:dyDescent="0.2">
      <c r="A108" t="s">
        <v>429</v>
      </c>
      <c r="B108" t="s">
        <v>430</v>
      </c>
      <c r="C108" t="s">
        <v>190</v>
      </c>
      <c r="D108" t="s">
        <v>191</v>
      </c>
    </row>
    <row r="109" spans="1:4" x14ac:dyDescent="0.2">
      <c r="A109" t="s">
        <v>431</v>
      </c>
      <c r="B109" t="s">
        <v>432</v>
      </c>
      <c r="C109" t="s">
        <v>190</v>
      </c>
      <c r="D109" t="s">
        <v>191</v>
      </c>
    </row>
    <row r="110" spans="1:4" x14ac:dyDescent="0.2">
      <c r="A110" t="s">
        <v>433</v>
      </c>
      <c r="B110" t="s">
        <v>434</v>
      </c>
      <c r="C110" t="s">
        <v>435</v>
      </c>
      <c r="D110" t="s">
        <v>195</v>
      </c>
    </row>
    <row r="111" spans="1:4" x14ac:dyDescent="0.2">
      <c r="A111" t="s">
        <v>436</v>
      </c>
      <c r="B111" t="s">
        <v>437</v>
      </c>
      <c r="C111" t="s">
        <v>190</v>
      </c>
      <c r="D111" t="s">
        <v>191</v>
      </c>
    </row>
    <row r="112" spans="1:4" x14ac:dyDescent="0.2">
      <c r="A112" t="s">
        <v>438</v>
      </c>
      <c r="B112" t="s">
        <v>439</v>
      </c>
      <c r="C112" t="s">
        <v>190</v>
      </c>
      <c r="D112" t="s">
        <v>191</v>
      </c>
    </row>
    <row r="113" spans="1:4" x14ac:dyDescent="0.2">
      <c r="A113" t="s">
        <v>440</v>
      </c>
      <c r="B113" t="s">
        <v>441</v>
      </c>
      <c r="C113" t="s">
        <v>442</v>
      </c>
      <c r="D113" t="s">
        <v>195</v>
      </c>
    </row>
    <row r="114" spans="1:4" x14ac:dyDescent="0.2">
      <c r="A114" t="s">
        <v>440</v>
      </c>
      <c r="B114" t="s">
        <v>443</v>
      </c>
      <c r="C114" t="s">
        <v>190</v>
      </c>
      <c r="D114" t="s">
        <v>191</v>
      </c>
    </row>
    <row r="115" spans="1:4" x14ac:dyDescent="0.2">
      <c r="A115" t="s">
        <v>444</v>
      </c>
      <c r="B115" t="s">
        <v>445</v>
      </c>
      <c r="C115" t="s">
        <v>190</v>
      </c>
      <c r="D115" t="s">
        <v>191</v>
      </c>
    </row>
    <row r="116" spans="1:4" x14ac:dyDescent="0.2">
      <c r="A116" t="s">
        <v>446</v>
      </c>
      <c r="B116" t="s">
        <v>447</v>
      </c>
      <c r="C116" t="s">
        <v>190</v>
      </c>
      <c r="D116" t="s">
        <v>191</v>
      </c>
    </row>
    <row r="117" spans="1:4" x14ac:dyDescent="0.2">
      <c r="A117" t="s">
        <v>448</v>
      </c>
      <c r="B117" t="s">
        <v>449</v>
      </c>
      <c r="C117" t="s">
        <v>190</v>
      </c>
      <c r="D117" t="s">
        <v>191</v>
      </c>
    </row>
    <row r="118" spans="1:4" x14ac:dyDescent="0.2">
      <c r="A118" t="s">
        <v>450</v>
      </c>
      <c r="B118" t="s">
        <v>451</v>
      </c>
      <c r="C118" t="s">
        <v>452</v>
      </c>
      <c r="D118" t="s">
        <v>187</v>
      </c>
    </row>
    <row r="119" spans="1:4" x14ac:dyDescent="0.2">
      <c r="A119" t="s">
        <v>453</v>
      </c>
      <c r="B119" t="s">
        <v>454</v>
      </c>
      <c r="C119" t="s">
        <v>190</v>
      </c>
      <c r="D119" t="s">
        <v>191</v>
      </c>
    </row>
    <row r="120" spans="1:4" x14ac:dyDescent="0.2">
      <c r="A120" t="s">
        <v>455</v>
      </c>
      <c r="B120" t="s">
        <v>456</v>
      </c>
      <c r="C120" t="s">
        <v>457</v>
      </c>
      <c r="D120" t="s">
        <v>195</v>
      </c>
    </row>
    <row r="121" spans="1:4" x14ac:dyDescent="0.2">
      <c r="A121" t="s">
        <v>458</v>
      </c>
      <c r="B121" t="s">
        <v>459</v>
      </c>
      <c r="C121" t="s">
        <v>190</v>
      </c>
      <c r="D121" t="s">
        <v>191</v>
      </c>
    </row>
    <row r="122" spans="1:4" x14ac:dyDescent="0.2">
      <c r="A122" t="s">
        <v>460</v>
      </c>
      <c r="B122" t="s">
        <v>461</v>
      </c>
      <c r="C122" t="s">
        <v>190</v>
      </c>
      <c r="D122" t="s">
        <v>191</v>
      </c>
    </row>
    <row r="123" spans="1:4" x14ac:dyDescent="0.2">
      <c r="A123" t="s">
        <v>462</v>
      </c>
      <c r="B123" t="s">
        <v>463</v>
      </c>
      <c r="C123" t="s">
        <v>464</v>
      </c>
      <c r="D123" t="s">
        <v>187</v>
      </c>
    </row>
    <row r="124" spans="1:4" x14ac:dyDescent="0.2">
      <c r="A124" t="s">
        <v>465</v>
      </c>
      <c r="B124" t="s">
        <v>466</v>
      </c>
      <c r="C124" t="s">
        <v>190</v>
      </c>
      <c r="D124" t="s">
        <v>191</v>
      </c>
    </row>
    <row r="125" spans="1:4" x14ac:dyDescent="0.2">
      <c r="A125" t="s">
        <v>465</v>
      </c>
      <c r="B125" t="s">
        <v>467</v>
      </c>
      <c r="C125" t="s">
        <v>190</v>
      </c>
      <c r="D125" t="s">
        <v>191</v>
      </c>
    </row>
    <row r="126" spans="1:4" x14ac:dyDescent="0.2">
      <c r="A126" t="s">
        <v>468</v>
      </c>
      <c r="B126" t="s">
        <v>469</v>
      </c>
      <c r="C126" t="s">
        <v>190</v>
      </c>
      <c r="D126" t="s">
        <v>191</v>
      </c>
    </row>
    <row r="127" spans="1:4" x14ac:dyDescent="0.2">
      <c r="A127" t="s">
        <v>470</v>
      </c>
      <c r="B127" t="s">
        <v>471</v>
      </c>
      <c r="C127" t="s">
        <v>472</v>
      </c>
      <c r="D127" t="s">
        <v>187</v>
      </c>
    </row>
    <row r="128" spans="1:4" x14ac:dyDescent="0.2">
      <c r="A128" t="s">
        <v>473</v>
      </c>
      <c r="B128" t="s">
        <v>474</v>
      </c>
      <c r="C128" t="s">
        <v>190</v>
      </c>
      <c r="D128" t="s">
        <v>191</v>
      </c>
    </row>
    <row r="129" spans="1:4" x14ac:dyDescent="0.2">
      <c r="A129" t="s">
        <v>475</v>
      </c>
      <c r="B129" t="s">
        <v>476</v>
      </c>
      <c r="C129" t="s">
        <v>477</v>
      </c>
      <c r="D129" t="s">
        <v>195</v>
      </c>
    </row>
    <row r="130" spans="1:4" x14ac:dyDescent="0.2">
      <c r="A130" t="s">
        <v>478</v>
      </c>
      <c r="B130" t="s">
        <v>479</v>
      </c>
      <c r="C130" t="s">
        <v>190</v>
      </c>
      <c r="D130" t="s">
        <v>191</v>
      </c>
    </row>
    <row r="131" spans="1:4" x14ac:dyDescent="0.2">
      <c r="A131" t="s">
        <v>480</v>
      </c>
      <c r="B131" t="s">
        <v>481</v>
      </c>
      <c r="C131" t="s">
        <v>190</v>
      </c>
      <c r="D131" t="s">
        <v>191</v>
      </c>
    </row>
    <row r="132" spans="1:4" x14ac:dyDescent="0.2">
      <c r="A132" t="s">
        <v>480</v>
      </c>
      <c r="B132" t="s">
        <v>482</v>
      </c>
      <c r="C132" t="s">
        <v>190</v>
      </c>
      <c r="D132" t="s">
        <v>191</v>
      </c>
    </row>
    <row r="133" spans="1:4" x14ac:dyDescent="0.2">
      <c r="A133" t="s">
        <v>480</v>
      </c>
      <c r="B133" t="s">
        <v>483</v>
      </c>
      <c r="C133" t="s">
        <v>190</v>
      </c>
      <c r="D133" t="s">
        <v>191</v>
      </c>
    </row>
    <row r="134" spans="1:4" x14ac:dyDescent="0.2">
      <c r="A134" t="s">
        <v>480</v>
      </c>
      <c r="B134" t="s">
        <v>484</v>
      </c>
      <c r="C134" t="s">
        <v>190</v>
      </c>
      <c r="D134" t="s">
        <v>191</v>
      </c>
    </row>
    <row r="135" spans="1:4" x14ac:dyDescent="0.2">
      <c r="A135" t="s">
        <v>480</v>
      </c>
      <c r="B135" t="s">
        <v>485</v>
      </c>
      <c r="C135" t="s">
        <v>190</v>
      </c>
      <c r="D135" t="s">
        <v>191</v>
      </c>
    </row>
    <row r="136" spans="1:4" x14ac:dyDescent="0.2">
      <c r="A136" t="s">
        <v>486</v>
      </c>
      <c r="B136" t="s">
        <v>487</v>
      </c>
      <c r="C136" t="s">
        <v>190</v>
      </c>
      <c r="D136" t="s">
        <v>191</v>
      </c>
    </row>
    <row r="137" spans="1:4" x14ac:dyDescent="0.2">
      <c r="A137" t="s">
        <v>488</v>
      </c>
      <c r="B137" t="s">
        <v>489</v>
      </c>
      <c r="C137" t="s">
        <v>190</v>
      </c>
      <c r="D137" t="s">
        <v>191</v>
      </c>
    </row>
    <row r="138" spans="1:4" x14ac:dyDescent="0.2">
      <c r="A138" t="s">
        <v>488</v>
      </c>
      <c r="B138" t="s">
        <v>490</v>
      </c>
      <c r="C138" t="s">
        <v>190</v>
      </c>
      <c r="D138" t="s">
        <v>191</v>
      </c>
    </row>
    <row r="139" spans="1:4" x14ac:dyDescent="0.2">
      <c r="A139" t="s">
        <v>491</v>
      </c>
      <c r="B139" t="s">
        <v>492</v>
      </c>
      <c r="C139" t="s">
        <v>190</v>
      </c>
      <c r="D139" t="s">
        <v>191</v>
      </c>
    </row>
    <row r="140" spans="1:4" x14ac:dyDescent="0.2">
      <c r="A140" t="s">
        <v>493</v>
      </c>
      <c r="B140" t="s">
        <v>494</v>
      </c>
      <c r="C140" t="s">
        <v>190</v>
      </c>
      <c r="D140" t="s">
        <v>191</v>
      </c>
    </row>
    <row r="141" spans="1:4" x14ac:dyDescent="0.2">
      <c r="A141" t="s">
        <v>495</v>
      </c>
      <c r="B141" t="s">
        <v>496</v>
      </c>
      <c r="C141" t="s">
        <v>497</v>
      </c>
      <c r="D141" t="s">
        <v>195</v>
      </c>
    </row>
    <row r="142" spans="1:4" x14ac:dyDescent="0.2">
      <c r="A142" t="s">
        <v>498</v>
      </c>
      <c r="B142" t="s">
        <v>499</v>
      </c>
      <c r="C142" t="s">
        <v>190</v>
      </c>
      <c r="D142" t="s">
        <v>191</v>
      </c>
    </row>
    <row r="143" spans="1:4" x14ac:dyDescent="0.2">
      <c r="A143" t="s">
        <v>500</v>
      </c>
      <c r="B143" t="s">
        <v>501</v>
      </c>
      <c r="C143" t="s">
        <v>190</v>
      </c>
      <c r="D143" t="s">
        <v>191</v>
      </c>
    </row>
    <row r="144" spans="1:4" x14ac:dyDescent="0.2">
      <c r="A144" t="s">
        <v>502</v>
      </c>
      <c r="B144" t="s">
        <v>503</v>
      </c>
      <c r="C144" t="s">
        <v>504</v>
      </c>
      <c r="D144" t="s">
        <v>195</v>
      </c>
    </row>
    <row r="145" spans="1:4" x14ac:dyDescent="0.2">
      <c r="A145" t="s">
        <v>505</v>
      </c>
      <c r="B145" t="s">
        <v>506</v>
      </c>
      <c r="C145" t="s">
        <v>507</v>
      </c>
      <c r="D145" t="s">
        <v>195</v>
      </c>
    </row>
    <row r="146" spans="1:4" x14ac:dyDescent="0.2">
      <c r="A146" t="s">
        <v>508</v>
      </c>
      <c r="B146" t="s">
        <v>509</v>
      </c>
      <c r="C146" t="s">
        <v>510</v>
      </c>
      <c r="D146" t="s">
        <v>187</v>
      </c>
    </row>
    <row r="147" spans="1:4" x14ac:dyDescent="0.2">
      <c r="A147" t="s">
        <v>511</v>
      </c>
      <c r="B147" t="s">
        <v>512</v>
      </c>
      <c r="C147" t="s">
        <v>513</v>
      </c>
      <c r="D147" t="s">
        <v>195</v>
      </c>
    </row>
    <row r="148" spans="1:4" x14ac:dyDescent="0.2">
      <c r="A148" t="s">
        <v>511</v>
      </c>
      <c r="B148" t="s">
        <v>514</v>
      </c>
      <c r="C148" t="s">
        <v>190</v>
      </c>
      <c r="D148" t="s">
        <v>515</v>
      </c>
    </row>
    <row r="149" spans="1:4" x14ac:dyDescent="0.2">
      <c r="A149" t="s">
        <v>516</v>
      </c>
      <c r="B149" t="s">
        <v>517</v>
      </c>
      <c r="C149" t="s">
        <v>190</v>
      </c>
      <c r="D149" t="s">
        <v>191</v>
      </c>
    </row>
    <row r="150" spans="1:4" x14ac:dyDescent="0.2">
      <c r="A150" t="s">
        <v>518</v>
      </c>
      <c r="B150" t="s">
        <v>519</v>
      </c>
      <c r="C150" t="s">
        <v>190</v>
      </c>
      <c r="D150" t="s">
        <v>191</v>
      </c>
    </row>
    <row r="151" spans="1:4" x14ac:dyDescent="0.2">
      <c r="A151" t="s">
        <v>520</v>
      </c>
      <c r="B151" t="s">
        <v>521</v>
      </c>
      <c r="C151" t="s">
        <v>522</v>
      </c>
      <c r="D151" t="s">
        <v>187</v>
      </c>
    </row>
    <row r="152" spans="1:4" x14ac:dyDescent="0.2">
      <c r="A152" t="s">
        <v>523</v>
      </c>
      <c r="B152" t="s">
        <v>524</v>
      </c>
      <c r="C152" t="s">
        <v>525</v>
      </c>
      <c r="D152" t="s">
        <v>195</v>
      </c>
    </row>
    <row r="153" spans="1:4" x14ac:dyDescent="0.2">
      <c r="A153" t="s">
        <v>526</v>
      </c>
      <c r="B153" t="s">
        <v>527</v>
      </c>
      <c r="C153" t="s">
        <v>190</v>
      </c>
      <c r="D153" t="s">
        <v>191</v>
      </c>
    </row>
    <row r="154" spans="1:4" x14ac:dyDescent="0.2">
      <c r="A154" t="s">
        <v>526</v>
      </c>
      <c r="B154" t="s">
        <v>528</v>
      </c>
      <c r="C154" t="s">
        <v>190</v>
      </c>
      <c r="D154" t="s">
        <v>191</v>
      </c>
    </row>
    <row r="155" spans="1:4" x14ac:dyDescent="0.2">
      <c r="A155" t="s">
        <v>526</v>
      </c>
      <c r="B155" t="s">
        <v>529</v>
      </c>
      <c r="C155" t="s">
        <v>190</v>
      </c>
      <c r="D155" t="s">
        <v>191</v>
      </c>
    </row>
    <row r="156" spans="1:4" x14ac:dyDescent="0.2">
      <c r="A156" t="s">
        <v>530</v>
      </c>
      <c r="B156" t="s">
        <v>531</v>
      </c>
      <c r="C156" t="s">
        <v>190</v>
      </c>
      <c r="D156" t="s">
        <v>191</v>
      </c>
    </row>
    <row r="157" spans="1:4" x14ac:dyDescent="0.2">
      <c r="A157" t="s">
        <v>532</v>
      </c>
      <c r="B157" t="s">
        <v>533</v>
      </c>
      <c r="C157" t="s">
        <v>534</v>
      </c>
      <c r="D157" t="s">
        <v>195</v>
      </c>
    </row>
    <row r="158" spans="1:4" x14ac:dyDescent="0.2">
      <c r="A158" t="s">
        <v>535</v>
      </c>
      <c r="B158" t="s">
        <v>536</v>
      </c>
      <c r="C158" t="s">
        <v>537</v>
      </c>
      <c r="D158" t="s">
        <v>187</v>
      </c>
    </row>
    <row r="159" spans="1:4" x14ac:dyDescent="0.2">
      <c r="A159" t="s">
        <v>538</v>
      </c>
      <c r="B159" t="s">
        <v>539</v>
      </c>
      <c r="C159" t="s">
        <v>540</v>
      </c>
      <c r="D159" t="s">
        <v>195</v>
      </c>
    </row>
    <row r="160" spans="1:4" x14ac:dyDescent="0.2">
      <c r="A160" t="s">
        <v>541</v>
      </c>
      <c r="B160" t="s">
        <v>542</v>
      </c>
      <c r="C160" t="s">
        <v>190</v>
      </c>
      <c r="D160" t="s">
        <v>191</v>
      </c>
    </row>
    <row r="161" spans="1:4" x14ac:dyDescent="0.2">
      <c r="A161" t="s">
        <v>543</v>
      </c>
      <c r="B161" t="s">
        <v>544</v>
      </c>
      <c r="C161" t="s">
        <v>190</v>
      </c>
      <c r="D161" t="s">
        <v>191</v>
      </c>
    </row>
    <row r="162" spans="1:4" x14ac:dyDescent="0.2">
      <c r="A162" t="s">
        <v>545</v>
      </c>
      <c r="B162" t="s">
        <v>546</v>
      </c>
      <c r="C162" t="s">
        <v>190</v>
      </c>
      <c r="D162" t="s">
        <v>280</v>
      </c>
    </row>
    <row r="163" spans="1:4" x14ac:dyDescent="0.2">
      <c r="A163" t="s">
        <v>547</v>
      </c>
      <c r="B163" t="s">
        <v>548</v>
      </c>
      <c r="C163" t="s">
        <v>549</v>
      </c>
      <c r="D163" t="s">
        <v>195</v>
      </c>
    </row>
    <row r="164" spans="1:4" x14ac:dyDescent="0.2">
      <c r="A164" t="s">
        <v>550</v>
      </c>
      <c r="B164" t="s">
        <v>551</v>
      </c>
      <c r="C164" t="s">
        <v>552</v>
      </c>
      <c r="D164" t="s">
        <v>195</v>
      </c>
    </row>
    <row r="165" spans="1:4" x14ac:dyDescent="0.2">
      <c r="A165" t="s">
        <v>553</v>
      </c>
      <c r="B165" t="s">
        <v>554</v>
      </c>
      <c r="C165" t="s">
        <v>555</v>
      </c>
      <c r="D165" t="s">
        <v>187</v>
      </c>
    </row>
    <row r="166" spans="1:4" x14ac:dyDescent="0.2">
      <c r="A166" t="s">
        <v>556</v>
      </c>
      <c r="B166" t="s">
        <v>557</v>
      </c>
      <c r="C166" t="s">
        <v>558</v>
      </c>
      <c r="D166" t="s">
        <v>187</v>
      </c>
    </row>
    <row r="167" spans="1:4" x14ac:dyDescent="0.2">
      <c r="A167" t="s">
        <v>559</v>
      </c>
      <c r="B167" t="s">
        <v>560</v>
      </c>
      <c r="C167" t="s">
        <v>190</v>
      </c>
      <c r="D167" t="s">
        <v>191</v>
      </c>
    </row>
    <row r="168" spans="1:4" x14ac:dyDescent="0.2">
      <c r="A168" t="s">
        <v>561</v>
      </c>
      <c r="B168" t="s">
        <v>562</v>
      </c>
      <c r="C168" t="s">
        <v>563</v>
      </c>
      <c r="D168" t="s">
        <v>187</v>
      </c>
    </row>
    <row r="169" spans="1:4" x14ac:dyDescent="0.2">
      <c r="A169" t="s">
        <v>564</v>
      </c>
      <c r="B169" t="s">
        <v>565</v>
      </c>
      <c r="C169" t="s">
        <v>190</v>
      </c>
      <c r="D169" t="s">
        <v>191</v>
      </c>
    </row>
    <row r="170" spans="1:4" x14ac:dyDescent="0.2">
      <c r="A170" t="s">
        <v>566</v>
      </c>
      <c r="B170" t="s">
        <v>567</v>
      </c>
      <c r="C170" t="s">
        <v>568</v>
      </c>
      <c r="D170" t="s">
        <v>187</v>
      </c>
    </row>
    <row r="171" spans="1:4" x14ac:dyDescent="0.2">
      <c r="A171" t="s">
        <v>569</v>
      </c>
      <c r="B171" t="s">
        <v>570</v>
      </c>
      <c r="C171" t="s">
        <v>190</v>
      </c>
      <c r="D171" t="s">
        <v>191</v>
      </c>
    </row>
    <row r="172" spans="1:4" x14ac:dyDescent="0.2">
      <c r="A172" t="s">
        <v>569</v>
      </c>
      <c r="B172" t="s">
        <v>571</v>
      </c>
      <c r="C172" t="s">
        <v>190</v>
      </c>
      <c r="D172" t="s">
        <v>191</v>
      </c>
    </row>
    <row r="173" spans="1:4" x14ac:dyDescent="0.2">
      <c r="A173" t="s">
        <v>569</v>
      </c>
      <c r="B173" t="s">
        <v>572</v>
      </c>
      <c r="C173" t="s">
        <v>190</v>
      </c>
      <c r="D173" t="s">
        <v>191</v>
      </c>
    </row>
    <row r="174" spans="1:4" x14ac:dyDescent="0.2">
      <c r="A174" t="s">
        <v>573</v>
      </c>
      <c r="B174" t="s">
        <v>574</v>
      </c>
      <c r="C174" t="s">
        <v>190</v>
      </c>
      <c r="D174" t="s">
        <v>191</v>
      </c>
    </row>
    <row r="175" spans="1:4" x14ac:dyDescent="0.2">
      <c r="A175" t="s">
        <v>575</v>
      </c>
      <c r="B175" t="s">
        <v>576</v>
      </c>
      <c r="C175" t="s">
        <v>190</v>
      </c>
      <c r="D175" t="s">
        <v>191</v>
      </c>
    </row>
    <row r="176" spans="1:4" x14ac:dyDescent="0.2">
      <c r="A176" t="s">
        <v>577</v>
      </c>
      <c r="B176" t="s">
        <v>578</v>
      </c>
      <c r="C176" t="s">
        <v>190</v>
      </c>
      <c r="D176" t="s">
        <v>191</v>
      </c>
    </row>
    <row r="177" spans="1:4" x14ac:dyDescent="0.2">
      <c r="A177" t="s">
        <v>579</v>
      </c>
      <c r="B177" t="s">
        <v>580</v>
      </c>
      <c r="C177" t="s">
        <v>190</v>
      </c>
      <c r="D177" t="s">
        <v>191</v>
      </c>
    </row>
    <row r="178" spans="1:4" x14ac:dyDescent="0.2">
      <c r="A178" t="s">
        <v>581</v>
      </c>
      <c r="B178" t="s">
        <v>582</v>
      </c>
      <c r="C178" t="s">
        <v>190</v>
      </c>
      <c r="D178" t="s">
        <v>191</v>
      </c>
    </row>
    <row r="179" spans="1:4" x14ac:dyDescent="0.2">
      <c r="A179" t="s">
        <v>583</v>
      </c>
      <c r="B179" t="s">
        <v>584</v>
      </c>
      <c r="C179" t="s">
        <v>190</v>
      </c>
      <c r="D179" t="s">
        <v>191</v>
      </c>
    </row>
    <row r="180" spans="1:4" x14ac:dyDescent="0.2">
      <c r="A180" t="s">
        <v>585</v>
      </c>
      <c r="B180" t="s">
        <v>586</v>
      </c>
      <c r="C180" t="s">
        <v>587</v>
      </c>
      <c r="D180" t="s">
        <v>195</v>
      </c>
    </row>
    <row r="181" spans="1:4" x14ac:dyDescent="0.2">
      <c r="A181" t="s">
        <v>588</v>
      </c>
      <c r="B181" t="s">
        <v>589</v>
      </c>
      <c r="C181" t="s">
        <v>190</v>
      </c>
      <c r="D181" t="s">
        <v>191</v>
      </c>
    </row>
    <row r="182" spans="1:4" x14ac:dyDescent="0.2">
      <c r="A182" t="s">
        <v>590</v>
      </c>
      <c r="B182" t="s">
        <v>591</v>
      </c>
      <c r="C182" t="s">
        <v>190</v>
      </c>
      <c r="D182" t="s">
        <v>191</v>
      </c>
    </row>
    <row r="183" spans="1:4" x14ac:dyDescent="0.2">
      <c r="A183" t="s">
        <v>592</v>
      </c>
      <c r="B183" t="s">
        <v>593</v>
      </c>
      <c r="C183" t="s">
        <v>594</v>
      </c>
      <c r="D183" t="s">
        <v>187</v>
      </c>
    </row>
    <row r="184" spans="1:4" x14ac:dyDescent="0.2">
      <c r="A184" t="s">
        <v>595</v>
      </c>
      <c r="B184" t="s">
        <v>596</v>
      </c>
      <c r="C184" t="s">
        <v>190</v>
      </c>
      <c r="D184" t="s">
        <v>191</v>
      </c>
    </row>
    <row r="185" spans="1:4" x14ac:dyDescent="0.2">
      <c r="A185" t="s">
        <v>597</v>
      </c>
      <c r="B185" t="s">
        <v>598</v>
      </c>
      <c r="C185" t="s">
        <v>190</v>
      </c>
      <c r="D185" t="s">
        <v>191</v>
      </c>
    </row>
    <row r="186" spans="1:4" x14ac:dyDescent="0.2">
      <c r="A186" t="s">
        <v>599</v>
      </c>
      <c r="B186" t="s">
        <v>600</v>
      </c>
      <c r="C186" t="s">
        <v>190</v>
      </c>
      <c r="D186" t="s">
        <v>191</v>
      </c>
    </row>
    <row r="187" spans="1:4" x14ac:dyDescent="0.2">
      <c r="A187" t="s">
        <v>601</v>
      </c>
      <c r="B187" t="s">
        <v>602</v>
      </c>
      <c r="C187" t="s">
        <v>190</v>
      </c>
      <c r="D187" t="s">
        <v>191</v>
      </c>
    </row>
    <row r="188" spans="1:4" x14ac:dyDescent="0.2">
      <c r="A188" t="s">
        <v>603</v>
      </c>
      <c r="B188" t="s">
        <v>604</v>
      </c>
      <c r="C188" t="s">
        <v>190</v>
      </c>
      <c r="D188" t="s">
        <v>191</v>
      </c>
    </row>
    <row r="189" spans="1:4" x14ac:dyDescent="0.2">
      <c r="A189" t="s">
        <v>605</v>
      </c>
      <c r="B189" t="s">
        <v>606</v>
      </c>
      <c r="C189" t="s">
        <v>607</v>
      </c>
      <c r="D189" t="s">
        <v>187</v>
      </c>
    </row>
    <row r="190" spans="1:4" x14ac:dyDescent="0.2">
      <c r="A190" t="s">
        <v>608</v>
      </c>
      <c r="B190" t="s">
        <v>609</v>
      </c>
      <c r="C190" t="s">
        <v>610</v>
      </c>
      <c r="D190" t="s">
        <v>195</v>
      </c>
    </row>
    <row r="191" spans="1:4" x14ac:dyDescent="0.2">
      <c r="A191" t="s">
        <v>611</v>
      </c>
      <c r="B191" t="s">
        <v>612</v>
      </c>
      <c r="C191" t="s">
        <v>613</v>
      </c>
      <c r="D191" t="s">
        <v>187</v>
      </c>
    </row>
    <row r="192" spans="1:4" x14ac:dyDescent="0.2">
      <c r="A192" t="s">
        <v>614</v>
      </c>
      <c r="B192" t="s">
        <v>615</v>
      </c>
      <c r="C192" t="s">
        <v>616</v>
      </c>
      <c r="D192" t="s">
        <v>195</v>
      </c>
    </row>
    <row r="193" spans="1:4" x14ac:dyDescent="0.2">
      <c r="A193" t="s">
        <v>617</v>
      </c>
      <c r="B193" t="s">
        <v>618</v>
      </c>
      <c r="C193" t="s">
        <v>619</v>
      </c>
      <c r="D193" t="s">
        <v>195</v>
      </c>
    </row>
    <row r="194" spans="1:4" x14ac:dyDescent="0.2">
      <c r="A194" t="s">
        <v>620</v>
      </c>
      <c r="B194" t="s">
        <v>621</v>
      </c>
      <c r="C194" t="s">
        <v>622</v>
      </c>
      <c r="D194" t="s">
        <v>187</v>
      </c>
    </row>
    <row r="195" spans="1:4" x14ac:dyDescent="0.2">
      <c r="A195" t="s">
        <v>623</v>
      </c>
      <c r="B195" t="s">
        <v>624</v>
      </c>
      <c r="C195" t="s">
        <v>190</v>
      </c>
      <c r="D195" t="s">
        <v>191</v>
      </c>
    </row>
    <row r="196" spans="1:4" x14ac:dyDescent="0.2">
      <c r="A196" t="s">
        <v>623</v>
      </c>
      <c r="B196" t="s">
        <v>625</v>
      </c>
      <c r="C196" t="s">
        <v>190</v>
      </c>
      <c r="D196" t="s">
        <v>191</v>
      </c>
    </row>
    <row r="197" spans="1:4" x14ac:dyDescent="0.2">
      <c r="A197" t="s">
        <v>626</v>
      </c>
      <c r="B197" t="s">
        <v>627</v>
      </c>
      <c r="C197" t="s">
        <v>190</v>
      </c>
      <c r="D197" t="s">
        <v>191</v>
      </c>
    </row>
    <row r="198" spans="1:4" x14ac:dyDescent="0.2">
      <c r="A198" t="s">
        <v>628</v>
      </c>
      <c r="B198" t="s">
        <v>629</v>
      </c>
      <c r="C198" t="s">
        <v>630</v>
      </c>
      <c r="D198" t="s">
        <v>187</v>
      </c>
    </row>
    <row r="199" spans="1:4" x14ac:dyDescent="0.2">
      <c r="A199" t="s">
        <v>631</v>
      </c>
      <c r="B199" t="s">
        <v>632</v>
      </c>
      <c r="C199" t="s">
        <v>190</v>
      </c>
      <c r="D199" t="s">
        <v>191</v>
      </c>
    </row>
    <row r="200" spans="1:4" x14ac:dyDescent="0.2">
      <c r="A200" t="s">
        <v>633</v>
      </c>
      <c r="B200" t="s">
        <v>634</v>
      </c>
      <c r="C200" t="s">
        <v>190</v>
      </c>
      <c r="D200" t="s">
        <v>191</v>
      </c>
    </row>
    <row r="201" spans="1:4" x14ac:dyDescent="0.2">
      <c r="A201" t="s">
        <v>633</v>
      </c>
      <c r="B201" t="s">
        <v>635</v>
      </c>
      <c r="C201" t="s">
        <v>190</v>
      </c>
      <c r="D201" t="s">
        <v>191</v>
      </c>
    </row>
    <row r="202" spans="1:4" x14ac:dyDescent="0.2">
      <c r="A202" t="s">
        <v>636</v>
      </c>
      <c r="B202" t="s">
        <v>637</v>
      </c>
      <c r="C202" t="s">
        <v>190</v>
      </c>
      <c r="D202" t="s">
        <v>191</v>
      </c>
    </row>
    <row r="203" spans="1:4" x14ac:dyDescent="0.2">
      <c r="A203" t="s">
        <v>638</v>
      </c>
      <c r="B203" t="s">
        <v>639</v>
      </c>
      <c r="C203" t="s">
        <v>190</v>
      </c>
      <c r="D203" t="s">
        <v>191</v>
      </c>
    </row>
    <row r="204" spans="1:4" x14ac:dyDescent="0.2">
      <c r="A204" t="s">
        <v>640</v>
      </c>
      <c r="B204" t="s">
        <v>641</v>
      </c>
      <c r="C204" t="s">
        <v>190</v>
      </c>
      <c r="D204" t="s">
        <v>280</v>
      </c>
    </row>
    <row r="205" spans="1:4" x14ac:dyDescent="0.2">
      <c r="A205" t="s">
        <v>642</v>
      </c>
      <c r="B205" t="s">
        <v>643</v>
      </c>
      <c r="C205" t="s">
        <v>644</v>
      </c>
      <c r="D205" t="s">
        <v>187</v>
      </c>
    </row>
    <row r="206" spans="1:4" x14ac:dyDescent="0.2">
      <c r="A206" t="s">
        <v>645</v>
      </c>
      <c r="B206" t="s">
        <v>646</v>
      </c>
      <c r="C206" t="s">
        <v>647</v>
      </c>
      <c r="D206" t="s">
        <v>195</v>
      </c>
    </row>
    <row r="207" spans="1:4" x14ac:dyDescent="0.2">
      <c r="A207" t="s">
        <v>648</v>
      </c>
      <c r="B207" t="s">
        <v>649</v>
      </c>
      <c r="C207" t="s">
        <v>650</v>
      </c>
      <c r="D207" t="s">
        <v>187</v>
      </c>
    </row>
    <row r="208" spans="1:4" x14ac:dyDescent="0.2">
      <c r="A208" t="s">
        <v>651</v>
      </c>
      <c r="B208" t="s">
        <v>652</v>
      </c>
      <c r="C208" t="s">
        <v>190</v>
      </c>
      <c r="D208" t="s">
        <v>191</v>
      </c>
    </row>
    <row r="209" spans="1:4" x14ac:dyDescent="0.2">
      <c r="A209" t="s">
        <v>651</v>
      </c>
      <c r="B209" t="s">
        <v>653</v>
      </c>
      <c r="C209" t="s">
        <v>190</v>
      </c>
      <c r="D209" t="s">
        <v>191</v>
      </c>
    </row>
    <row r="210" spans="1:4" x14ac:dyDescent="0.2">
      <c r="A210" t="s">
        <v>654</v>
      </c>
      <c r="B210" t="s">
        <v>655</v>
      </c>
      <c r="C210" t="s">
        <v>190</v>
      </c>
      <c r="D210" t="s">
        <v>191</v>
      </c>
    </row>
    <row r="211" spans="1:4" x14ac:dyDescent="0.2">
      <c r="A211" t="s">
        <v>656</v>
      </c>
      <c r="B211" t="s">
        <v>657</v>
      </c>
      <c r="C211" t="s">
        <v>190</v>
      </c>
      <c r="D211" t="s">
        <v>191</v>
      </c>
    </row>
    <row r="212" spans="1:4" x14ac:dyDescent="0.2">
      <c r="A212" t="s">
        <v>658</v>
      </c>
      <c r="B212" t="s">
        <v>659</v>
      </c>
      <c r="C212" t="s">
        <v>190</v>
      </c>
      <c r="D212" t="s">
        <v>191</v>
      </c>
    </row>
    <row r="213" spans="1:4" x14ac:dyDescent="0.2">
      <c r="A213" t="s">
        <v>660</v>
      </c>
      <c r="B213" t="s">
        <v>661</v>
      </c>
      <c r="C213" t="s">
        <v>190</v>
      </c>
      <c r="D213" t="s">
        <v>191</v>
      </c>
    </row>
    <row r="214" spans="1:4" x14ac:dyDescent="0.2">
      <c r="A214" t="s">
        <v>662</v>
      </c>
      <c r="B214" t="s">
        <v>663</v>
      </c>
      <c r="C214" t="s">
        <v>190</v>
      </c>
      <c r="D214" t="s">
        <v>191</v>
      </c>
    </row>
    <row r="215" spans="1:4" x14ac:dyDescent="0.2">
      <c r="A215" t="s">
        <v>664</v>
      </c>
      <c r="B215" t="s">
        <v>665</v>
      </c>
      <c r="C215" t="s">
        <v>190</v>
      </c>
      <c r="D215" t="s">
        <v>191</v>
      </c>
    </row>
    <row r="216" spans="1:4" x14ac:dyDescent="0.2">
      <c r="A216" t="s">
        <v>666</v>
      </c>
      <c r="B216" t="s">
        <v>667</v>
      </c>
      <c r="C216" t="s">
        <v>668</v>
      </c>
      <c r="D216" t="s">
        <v>187</v>
      </c>
    </row>
    <row r="217" spans="1:4" x14ac:dyDescent="0.2">
      <c r="A217" t="s">
        <v>669</v>
      </c>
      <c r="B217" t="s">
        <v>670</v>
      </c>
      <c r="C217" t="s">
        <v>671</v>
      </c>
      <c r="D217" t="s">
        <v>187</v>
      </c>
    </row>
    <row r="218" spans="1:4" x14ac:dyDescent="0.2">
      <c r="A218" t="s">
        <v>672</v>
      </c>
      <c r="B218" t="s">
        <v>673</v>
      </c>
      <c r="C218" t="s">
        <v>190</v>
      </c>
      <c r="D218" t="s">
        <v>191</v>
      </c>
    </row>
    <row r="219" spans="1:4" x14ac:dyDescent="0.2">
      <c r="A219" t="s">
        <v>674</v>
      </c>
      <c r="B219" t="s">
        <v>675</v>
      </c>
      <c r="C219" t="s">
        <v>676</v>
      </c>
      <c r="D219" t="s">
        <v>195</v>
      </c>
    </row>
    <row r="220" spans="1:4" x14ac:dyDescent="0.2">
      <c r="A220" t="s">
        <v>677</v>
      </c>
      <c r="B220" t="s">
        <v>678</v>
      </c>
      <c r="C220" t="s">
        <v>190</v>
      </c>
      <c r="D220" t="s">
        <v>191</v>
      </c>
    </row>
    <row r="221" spans="1:4" x14ac:dyDescent="0.2">
      <c r="A221" t="s">
        <v>679</v>
      </c>
      <c r="B221" t="s">
        <v>680</v>
      </c>
      <c r="C221" t="s">
        <v>190</v>
      </c>
      <c r="D221" t="s">
        <v>191</v>
      </c>
    </row>
    <row r="222" spans="1:4" x14ac:dyDescent="0.2">
      <c r="A222" t="s">
        <v>681</v>
      </c>
      <c r="B222" t="s">
        <v>682</v>
      </c>
      <c r="C222" t="s">
        <v>683</v>
      </c>
      <c r="D222" t="s">
        <v>195</v>
      </c>
    </row>
    <row r="223" spans="1:4" x14ac:dyDescent="0.2">
      <c r="A223" t="s">
        <v>684</v>
      </c>
      <c r="B223" t="s">
        <v>685</v>
      </c>
      <c r="C223" t="s">
        <v>190</v>
      </c>
      <c r="D223" t="s">
        <v>191</v>
      </c>
    </row>
    <row r="224" spans="1:4" x14ac:dyDescent="0.2">
      <c r="A224" t="s">
        <v>686</v>
      </c>
      <c r="B224" t="s">
        <v>687</v>
      </c>
      <c r="C224" t="s">
        <v>688</v>
      </c>
      <c r="D224" t="s">
        <v>195</v>
      </c>
    </row>
    <row r="225" spans="1:4" x14ac:dyDescent="0.2">
      <c r="A225" t="s">
        <v>689</v>
      </c>
      <c r="B225" t="s">
        <v>690</v>
      </c>
      <c r="C225" t="s">
        <v>691</v>
      </c>
      <c r="D225" t="s">
        <v>187</v>
      </c>
    </row>
    <row r="226" spans="1:4" x14ac:dyDescent="0.2">
      <c r="A226" t="s">
        <v>692</v>
      </c>
      <c r="B226" t="s">
        <v>693</v>
      </c>
      <c r="C226" t="s">
        <v>190</v>
      </c>
      <c r="D226" t="s">
        <v>191</v>
      </c>
    </row>
    <row r="227" spans="1:4" x14ac:dyDescent="0.2">
      <c r="A227" t="s">
        <v>694</v>
      </c>
      <c r="B227" t="s">
        <v>695</v>
      </c>
      <c r="C227" t="s">
        <v>696</v>
      </c>
      <c r="D227" t="s">
        <v>187</v>
      </c>
    </row>
    <row r="228" spans="1:4" x14ac:dyDescent="0.2">
      <c r="A228" t="s">
        <v>697</v>
      </c>
      <c r="B228" t="s">
        <v>698</v>
      </c>
      <c r="C228" t="s">
        <v>190</v>
      </c>
      <c r="D228" t="s">
        <v>191</v>
      </c>
    </row>
    <row r="229" spans="1:4" x14ac:dyDescent="0.2">
      <c r="A229" t="s">
        <v>699</v>
      </c>
      <c r="B229" t="s">
        <v>700</v>
      </c>
      <c r="C229" t="s">
        <v>190</v>
      </c>
      <c r="D229" t="s">
        <v>191</v>
      </c>
    </row>
    <row r="230" spans="1:4" x14ac:dyDescent="0.2">
      <c r="A230" t="s">
        <v>701</v>
      </c>
      <c r="B230" t="s">
        <v>702</v>
      </c>
      <c r="C230" t="s">
        <v>190</v>
      </c>
      <c r="D230" t="s">
        <v>191</v>
      </c>
    </row>
    <row r="231" spans="1:4" x14ac:dyDescent="0.2">
      <c r="A231" t="s">
        <v>703</v>
      </c>
      <c r="B231" t="s">
        <v>704</v>
      </c>
      <c r="C231" t="s">
        <v>705</v>
      </c>
      <c r="D231" t="s">
        <v>195</v>
      </c>
    </row>
    <row r="232" spans="1:4" x14ac:dyDescent="0.2">
      <c r="A232" t="s">
        <v>706</v>
      </c>
      <c r="B232" t="s">
        <v>707</v>
      </c>
      <c r="C232" t="s">
        <v>190</v>
      </c>
      <c r="D232" t="s">
        <v>280</v>
      </c>
    </row>
    <row r="233" spans="1:4" x14ac:dyDescent="0.2">
      <c r="A233" t="s">
        <v>708</v>
      </c>
      <c r="B233" t="s">
        <v>709</v>
      </c>
      <c r="C233" t="s">
        <v>190</v>
      </c>
      <c r="D233" t="s">
        <v>191</v>
      </c>
    </row>
    <row r="234" spans="1:4" x14ac:dyDescent="0.2">
      <c r="A234" t="s">
        <v>710</v>
      </c>
      <c r="B234" t="s">
        <v>711</v>
      </c>
      <c r="C234" t="s">
        <v>712</v>
      </c>
      <c r="D234" t="s">
        <v>195</v>
      </c>
    </row>
    <row r="235" spans="1:4" x14ac:dyDescent="0.2">
      <c r="A235" t="s">
        <v>713</v>
      </c>
      <c r="B235" t="s">
        <v>714</v>
      </c>
      <c r="C235" t="s">
        <v>715</v>
      </c>
      <c r="D235" t="s">
        <v>195</v>
      </c>
    </row>
    <row r="236" spans="1:4" x14ac:dyDescent="0.2">
      <c r="A236" t="s">
        <v>716</v>
      </c>
      <c r="B236" t="s">
        <v>717</v>
      </c>
      <c r="C236" t="s">
        <v>718</v>
      </c>
      <c r="D236" t="s">
        <v>195</v>
      </c>
    </row>
    <row r="237" spans="1:4" x14ac:dyDescent="0.2">
      <c r="A237" t="s">
        <v>719</v>
      </c>
      <c r="B237" t="s">
        <v>720</v>
      </c>
      <c r="C237" t="s">
        <v>721</v>
      </c>
      <c r="D237" t="s">
        <v>195</v>
      </c>
    </row>
    <row r="238" spans="1:4" x14ac:dyDescent="0.2">
      <c r="A238" t="s">
        <v>722</v>
      </c>
      <c r="B238" t="s">
        <v>723</v>
      </c>
      <c r="C238" t="s">
        <v>190</v>
      </c>
      <c r="D238" t="s">
        <v>191</v>
      </c>
    </row>
    <row r="239" spans="1:4" x14ac:dyDescent="0.2">
      <c r="A239" t="s">
        <v>722</v>
      </c>
      <c r="B239" t="s">
        <v>724</v>
      </c>
      <c r="C239" t="s">
        <v>190</v>
      </c>
      <c r="D239" t="s">
        <v>191</v>
      </c>
    </row>
    <row r="240" spans="1:4" x14ac:dyDescent="0.2">
      <c r="A240" t="s">
        <v>725</v>
      </c>
      <c r="B240" t="s">
        <v>726</v>
      </c>
      <c r="C240" t="s">
        <v>190</v>
      </c>
      <c r="D240" t="s">
        <v>191</v>
      </c>
    </row>
    <row r="241" spans="1:4" x14ac:dyDescent="0.2">
      <c r="A241" t="s">
        <v>727</v>
      </c>
      <c r="B241" t="s">
        <v>728</v>
      </c>
      <c r="C241" t="s">
        <v>729</v>
      </c>
      <c r="D241" t="s">
        <v>195</v>
      </c>
    </row>
    <row r="242" spans="1:4" x14ac:dyDescent="0.2">
      <c r="A242" t="s">
        <v>730</v>
      </c>
      <c r="B242" t="s">
        <v>731</v>
      </c>
      <c r="C242" t="s">
        <v>732</v>
      </c>
      <c r="D242" t="s">
        <v>187</v>
      </c>
    </row>
    <row r="243" spans="1:4" x14ac:dyDescent="0.2">
      <c r="A243" t="s">
        <v>733</v>
      </c>
      <c r="B243" t="s">
        <v>734</v>
      </c>
      <c r="C243" t="s">
        <v>735</v>
      </c>
      <c r="D243" t="s">
        <v>195</v>
      </c>
    </row>
    <row r="244" spans="1:4" x14ac:dyDescent="0.2">
      <c r="A244" t="s">
        <v>736</v>
      </c>
      <c r="B244" t="s">
        <v>737</v>
      </c>
      <c r="C244" t="s">
        <v>738</v>
      </c>
      <c r="D244" t="s">
        <v>195</v>
      </c>
    </row>
    <row r="245" spans="1:4" x14ac:dyDescent="0.2">
      <c r="A245" t="s">
        <v>739</v>
      </c>
      <c r="B245" t="s">
        <v>740</v>
      </c>
      <c r="C245" t="s">
        <v>190</v>
      </c>
      <c r="D245" t="s">
        <v>191</v>
      </c>
    </row>
    <row r="246" spans="1:4" x14ac:dyDescent="0.2">
      <c r="A246" t="s">
        <v>741</v>
      </c>
      <c r="B246" t="s">
        <v>742</v>
      </c>
      <c r="C246" t="s">
        <v>743</v>
      </c>
      <c r="D246" t="s">
        <v>187</v>
      </c>
    </row>
    <row r="247" spans="1:4" x14ac:dyDescent="0.2">
      <c r="A247" t="s">
        <v>744</v>
      </c>
      <c r="B247" t="s">
        <v>745</v>
      </c>
      <c r="C247" t="s">
        <v>190</v>
      </c>
      <c r="D247" t="s">
        <v>191</v>
      </c>
    </row>
    <row r="248" spans="1:4" x14ac:dyDescent="0.2">
      <c r="A248" t="s">
        <v>746</v>
      </c>
      <c r="B248" t="s">
        <v>747</v>
      </c>
      <c r="C248" t="s">
        <v>190</v>
      </c>
      <c r="D248" t="s">
        <v>191</v>
      </c>
    </row>
    <row r="249" spans="1:4" x14ac:dyDescent="0.2">
      <c r="A249" t="s">
        <v>748</v>
      </c>
      <c r="B249" t="s">
        <v>749</v>
      </c>
      <c r="C249" t="s">
        <v>190</v>
      </c>
      <c r="D249" t="s">
        <v>191</v>
      </c>
    </row>
    <row r="250" spans="1:4" x14ac:dyDescent="0.2">
      <c r="A250" t="s">
        <v>750</v>
      </c>
      <c r="B250" t="s">
        <v>751</v>
      </c>
      <c r="C250" t="s">
        <v>752</v>
      </c>
      <c r="D250" t="s">
        <v>187</v>
      </c>
    </row>
    <row r="251" spans="1:4" x14ac:dyDescent="0.2">
      <c r="A251" t="s">
        <v>753</v>
      </c>
      <c r="B251" t="s">
        <v>754</v>
      </c>
      <c r="C251" t="s">
        <v>190</v>
      </c>
      <c r="D251" t="s">
        <v>191</v>
      </c>
    </row>
    <row r="252" spans="1:4" x14ac:dyDescent="0.2">
      <c r="A252" t="s">
        <v>755</v>
      </c>
      <c r="B252" t="s">
        <v>756</v>
      </c>
      <c r="C252" t="s">
        <v>757</v>
      </c>
      <c r="D252" t="s">
        <v>187</v>
      </c>
    </row>
    <row r="253" spans="1:4" x14ac:dyDescent="0.2">
      <c r="A253" t="s">
        <v>758</v>
      </c>
      <c r="B253" t="s">
        <v>759</v>
      </c>
      <c r="C253" t="s">
        <v>190</v>
      </c>
      <c r="D253" t="s">
        <v>191</v>
      </c>
    </row>
    <row r="254" spans="1:4" x14ac:dyDescent="0.2">
      <c r="A254" t="s">
        <v>760</v>
      </c>
      <c r="B254" t="s">
        <v>761</v>
      </c>
      <c r="C254" t="s">
        <v>762</v>
      </c>
      <c r="D254" t="s">
        <v>195</v>
      </c>
    </row>
    <row r="255" spans="1:4" x14ac:dyDescent="0.2">
      <c r="A255" t="s">
        <v>763</v>
      </c>
      <c r="B255" t="s">
        <v>764</v>
      </c>
      <c r="C255" t="s">
        <v>765</v>
      </c>
      <c r="D255" t="s">
        <v>195</v>
      </c>
    </row>
    <row r="256" spans="1:4" x14ac:dyDescent="0.2">
      <c r="A256" t="s">
        <v>766</v>
      </c>
      <c r="B256" t="s">
        <v>767</v>
      </c>
      <c r="C256" t="s">
        <v>190</v>
      </c>
      <c r="D256" t="s">
        <v>191</v>
      </c>
    </row>
    <row r="257" spans="1:4" x14ac:dyDescent="0.2">
      <c r="A257" t="s">
        <v>768</v>
      </c>
      <c r="B257" t="s">
        <v>769</v>
      </c>
      <c r="C257" t="s">
        <v>190</v>
      </c>
      <c r="D257" t="s">
        <v>191</v>
      </c>
    </row>
    <row r="258" spans="1:4" x14ac:dyDescent="0.2">
      <c r="A258" t="s">
        <v>768</v>
      </c>
      <c r="B258" t="s">
        <v>770</v>
      </c>
      <c r="C258" t="s">
        <v>190</v>
      </c>
      <c r="D258" t="s">
        <v>280</v>
      </c>
    </row>
    <row r="259" spans="1:4" x14ac:dyDescent="0.2">
      <c r="A259" t="s">
        <v>768</v>
      </c>
      <c r="B259" t="s">
        <v>771</v>
      </c>
      <c r="C259" t="s">
        <v>190</v>
      </c>
      <c r="D259" t="s">
        <v>280</v>
      </c>
    </row>
    <row r="260" spans="1:4" x14ac:dyDescent="0.2">
      <c r="A260" t="s">
        <v>772</v>
      </c>
      <c r="B260" t="s">
        <v>773</v>
      </c>
      <c r="C260" t="s">
        <v>190</v>
      </c>
      <c r="D260" t="s">
        <v>191</v>
      </c>
    </row>
    <row r="261" spans="1:4" x14ac:dyDescent="0.2">
      <c r="A261" t="s">
        <v>774</v>
      </c>
      <c r="B261" t="s">
        <v>775</v>
      </c>
      <c r="C261" t="s">
        <v>190</v>
      </c>
      <c r="D261" t="s">
        <v>191</v>
      </c>
    </row>
    <row r="262" spans="1:4" x14ac:dyDescent="0.2">
      <c r="A262" t="s">
        <v>776</v>
      </c>
      <c r="B262" t="s">
        <v>777</v>
      </c>
      <c r="C262" t="s">
        <v>190</v>
      </c>
      <c r="D262" t="s">
        <v>191</v>
      </c>
    </row>
    <row r="263" spans="1:4" x14ac:dyDescent="0.2">
      <c r="A263" t="s">
        <v>778</v>
      </c>
      <c r="B263" t="s">
        <v>779</v>
      </c>
      <c r="C263" t="s">
        <v>190</v>
      </c>
      <c r="D263" t="s">
        <v>191</v>
      </c>
    </row>
    <row r="264" spans="1:4" x14ac:dyDescent="0.2">
      <c r="A264" t="s">
        <v>780</v>
      </c>
      <c r="B264" t="s">
        <v>781</v>
      </c>
      <c r="C264" t="s">
        <v>190</v>
      </c>
      <c r="D264" t="s">
        <v>191</v>
      </c>
    </row>
    <row r="265" spans="1:4" x14ac:dyDescent="0.2">
      <c r="A265" t="s">
        <v>782</v>
      </c>
      <c r="B265" t="s">
        <v>783</v>
      </c>
      <c r="C265" t="s">
        <v>190</v>
      </c>
      <c r="D265" t="s">
        <v>191</v>
      </c>
    </row>
    <row r="266" spans="1:4" x14ac:dyDescent="0.2">
      <c r="A266" t="s">
        <v>784</v>
      </c>
      <c r="B266" t="s">
        <v>785</v>
      </c>
      <c r="C266" t="s">
        <v>190</v>
      </c>
      <c r="D266" t="s">
        <v>191</v>
      </c>
    </row>
    <row r="267" spans="1:4" x14ac:dyDescent="0.2">
      <c r="A267" t="s">
        <v>784</v>
      </c>
      <c r="B267" t="s">
        <v>786</v>
      </c>
      <c r="C267" t="s">
        <v>190</v>
      </c>
      <c r="D267" t="s">
        <v>191</v>
      </c>
    </row>
    <row r="268" spans="1:4" x14ac:dyDescent="0.2">
      <c r="A268" t="s">
        <v>787</v>
      </c>
      <c r="B268" t="s">
        <v>788</v>
      </c>
      <c r="C268" t="s">
        <v>789</v>
      </c>
      <c r="D268" t="s">
        <v>195</v>
      </c>
    </row>
    <row r="269" spans="1:4" x14ac:dyDescent="0.2">
      <c r="A269" t="s">
        <v>790</v>
      </c>
      <c r="B269" t="s">
        <v>791</v>
      </c>
      <c r="C269" t="s">
        <v>190</v>
      </c>
      <c r="D269" t="s">
        <v>191</v>
      </c>
    </row>
    <row r="270" spans="1:4" x14ac:dyDescent="0.2">
      <c r="A270" t="s">
        <v>792</v>
      </c>
      <c r="B270" t="s">
        <v>793</v>
      </c>
      <c r="C270" t="s">
        <v>794</v>
      </c>
      <c r="D270" t="s">
        <v>195</v>
      </c>
    </row>
    <row r="271" spans="1:4" x14ac:dyDescent="0.2">
      <c r="A271" t="s">
        <v>795</v>
      </c>
      <c r="B271" t="s">
        <v>796</v>
      </c>
      <c r="C271" t="s">
        <v>797</v>
      </c>
      <c r="D271" t="s">
        <v>195</v>
      </c>
    </row>
    <row r="272" spans="1:4" x14ac:dyDescent="0.2">
      <c r="A272" t="s">
        <v>798</v>
      </c>
      <c r="B272" t="s">
        <v>799</v>
      </c>
      <c r="C272" t="s">
        <v>190</v>
      </c>
      <c r="D272" t="s">
        <v>191</v>
      </c>
    </row>
    <row r="273" spans="1:4" x14ac:dyDescent="0.2">
      <c r="A273" t="s">
        <v>800</v>
      </c>
      <c r="B273" t="s">
        <v>801</v>
      </c>
      <c r="C273" t="s">
        <v>190</v>
      </c>
      <c r="D273" t="s">
        <v>191</v>
      </c>
    </row>
    <row r="274" spans="1:4" x14ac:dyDescent="0.2">
      <c r="A274" t="s">
        <v>802</v>
      </c>
      <c r="B274" t="s">
        <v>803</v>
      </c>
      <c r="C274" t="s">
        <v>190</v>
      </c>
      <c r="D274" t="s">
        <v>191</v>
      </c>
    </row>
    <row r="275" spans="1:4" x14ac:dyDescent="0.2">
      <c r="A275" t="s">
        <v>804</v>
      </c>
      <c r="B275" t="s">
        <v>805</v>
      </c>
      <c r="C275" t="s">
        <v>190</v>
      </c>
      <c r="D275" t="s">
        <v>191</v>
      </c>
    </row>
    <row r="276" spans="1:4" x14ac:dyDescent="0.2">
      <c r="A276" t="s">
        <v>806</v>
      </c>
      <c r="B276" t="s">
        <v>807</v>
      </c>
      <c r="C276" t="s">
        <v>190</v>
      </c>
      <c r="D276" t="s">
        <v>191</v>
      </c>
    </row>
    <row r="277" spans="1:4" x14ac:dyDescent="0.2">
      <c r="A277" t="s">
        <v>808</v>
      </c>
      <c r="B277" t="s">
        <v>809</v>
      </c>
      <c r="C277" t="s">
        <v>190</v>
      </c>
      <c r="D277" t="s">
        <v>191</v>
      </c>
    </row>
    <row r="278" spans="1:4" x14ac:dyDescent="0.2">
      <c r="A278" t="s">
        <v>810</v>
      </c>
      <c r="B278" t="s">
        <v>811</v>
      </c>
      <c r="C278" t="s">
        <v>190</v>
      </c>
      <c r="D278" t="s">
        <v>191</v>
      </c>
    </row>
    <row r="279" spans="1:4" x14ac:dyDescent="0.2">
      <c r="A279" t="s">
        <v>812</v>
      </c>
      <c r="B279" t="s">
        <v>813</v>
      </c>
      <c r="C279" t="s">
        <v>814</v>
      </c>
      <c r="D279" t="s">
        <v>195</v>
      </c>
    </row>
    <row r="280" spans="1:4" x14ac:dyDescent="0.2">
      <c r="A280" t="s">
        <v>815</v>
      </c>
      <c r="B280" t="s">
        <v>816</v>
      </c>
      <c r="C280" t="s">
        <v>190</v>
      </c>
      <c r="D280" t="s">
        <v>191</v>
      </c>
    </row>
    <row r="281" spans="1:4" x14ac:dyDescent="0.2">
      <c r="A281" t="s">
        <v>817</v>
      </c>
      <c r="B281" t="s">
        <v>818</v>
      </c>
      <c r="C281" t="s">
        <v>190</v>
      </c>
      <c r="D281" t="s">
        <v>191</v>
      </c>
    </row>
    <row r="282" spans="1:4" x14ac:dyDescent="0.2">
      <c r="A282" t="s">
        <v>819</v>
      </c>
      <c r="B282" t="s">
        <v>820</v>
      </c>
      <c r="C282" t="s">
        <v>190</v>
      </c>
      <c r="D282" t="s">
        <v>191</v>
      </c>
    </row>
    <row r="283" spans="1:4" x14ac:dyDescent="0.2">
      <c r="A283" t="s">
        <v>821</v>
      </c>
      <c r="B283" t="s">
        <v>822</v>
      </c>
      <c r="C283" t="s">
        <v>190</v>
      </c>
      <c r="D283" t="s">
        <v>191</v>
      </c>
    </row>
    <row r="284" spans="1:4" x14ac:dyDescent="0.2">
      <c r="A284" t="s">
        <v>823</v>
      </c>
      <c r="B284" t="s">
        <v>824</v>
      </c>
      <c r="C284" t="s">
        <v>190</v>
      </c>
      <c r="D284" t="s">
        <v>191</v>
      </c>
    </row>
    <row r="285" spans="1:4" x14ac:dyDescent="0.2">
      <c r="A285" t="s">
        <v>825</v>
      </c>
      <c r="B285" t="s">
        <v>826</v>
      </c>
      <c r="C285" t="s">
        <v>827</v>
      </c>
      <c r="D285" t="s">
        <v>195</v>
      </c>
    </row>
    <row r="286" spans="1:4" x14ac:dyDescent="0.2">
      <c r="A286" t="s">
        <v>825</v>
      </c>
      <c r="B286" t="s">
        <v>828</v>
      </c>
      <c r="C286" t="s">
        <v>829</v>
      </c>
      <c r="D286" t="s">
        <v>195</v>
      </c>
    </row>
    <row r="287" spans="1:4" x14ac:dyDescent="0.2">
      <c r="A287" t="s">
        <v>830</v>
      </c>
      <c r="B287" t="s">
        <v>831</v>
      </c>
      <c r="C287" t="s">
        <v>190</v>
      </c>
      <c r="D287" t="s">
        <v>191</v>
      </c>
    </row>
    <row r="288" spans="1:4" x14ac:dyDescent="0.2">
      <c r="A288" t="s">
        <v>832</v>
      </c>
      <c r="B288" t="s">
        <v>833</v>
      </c>
      <c r="C288" t="s">
        <v>190</v>
      </c>
      <c r="D288" t="s">
        <v>191</v>
      </c>
    </row>
    <row r="289" spans="1:4" x14ac:dyDescent="0.2">
      <c r="A289" t="s">
        <v>834</v>
      </c>
      <c r="B289" t="s">
        <v>835</v>
      </c>
      <c r="C289" t="s">
        <v>190</v>
      </c>
      <c r="D289" t="s">
        <v>191</v>
      </c>
    </row>
    <row r="290" spans="1:4" x14ac:dyDescent="0.2">
      <c r="A290" t="s">
        <v>836</v>
      </c>
      <c r="B290" t="s">
        <v>837</v>
      </c>
      <c r="C290" t="s">
        <v>190</v>
      </c>
      <c r="D290" t="s">
        <v>191</v>
      </c>
    </row>
    <row r="291" spans="1:4" x14ac:dyDescent="0.2">
      <c r="A291" t="s">
        <v>838</v>
      </c>
      <c r="B291" t="s">
        <v>839</v>
      </c>
      <c r="C291" t="s">
        <v>840</v>
      </c>
      <c r="D291" t="s">
        <v>195</v>
      </c>
    </row>
    <row r="292" spans="1:4" x14ac:dyDescent="0.2">
      <c r="A292" t="s">
        <v>838</v>
      </c>
      <c r="B292" t="s">
        <v>841</v>
      </c>
      <c r="C292" t="s">
        <v>190</v>
      </c>
      <c r="D292" t="s">
        <v>191</v>
      </c>
    </row>
    <row r="293" spans="1:4" x14ac:dyDescent="0.2">
      <c r="A293" t="s">
        <v>842</v>
      </c>
      <c r="B293" t="s">
        <v>843</v>
      </c>
      <c r="C293" t="s">
        <v>844</v>
      </c>
      <c r="D293" t="s">
        <v>187</v>
      </c>
    </row>
    <row r="294" spans="1:4" x14ac:dyDescent="0.2">
      <c r="A294" t="s">
        <v>845</v>
      </c>
      <c r="B294" t="s">
        <v>846</v>
      </c>
      <c r="C294" t="s">
        <v>847</v>
      </c>
      <c r="D294" t="s">
        <v>195</v>
      </c>
    </row>
    <row r="295" spans="1:4" x14ac:dyDescent="0.2">
      <c r="A295" t="s">
        <v>848</v>
      </c>
      <c r="B295" t="s">
        <v>849</v>
      </c>
      <c r="C295" t="s">
        <v>190</v>
      </c>
      <c r="D295" t="s">
        <v>191</v>
      </c>
    </row>
    <row r="296" spans="1:4" x14ac:dyDescent="0.2">
      <c r="A296" t="s">
        <v>850</v>
      </c>
      <c r="B296" t="s">
        <v>851</v>
      </c>
      <c r="C296" t="s">
        <v>190</v>
      </c>
      <c r="D296" t="s">
        <v>191</v>
      </c>
    </row>
    <row r="297" spans="1:4" x14ac:dyDescent="0.2">
      <c r="A297" t="s">
        <v>852</v>
      </c>
      <c r="B297" t="s">
        <v>853</v>
      </c>
      <c r="C297" t="s">
        <v>854</v>
      </c>
      <c r="D297" t="s">
        <v>195</v>
      </c>
    </row>
    <row r="298" spans="1:4" x14ac:dyDescent="0.2">
      <c r="A298" t="s">
        <v>855</v>
      </c>
      <c r="B298" t="s">
        <v>856</v>
      </c>
      <c r="C298" t="s">
        <v>190</v>
      </c>
      <c r="D298" t="s">
        <v>191</v>
      </c>
    </row>
    <row r="299" spans="1:4" x14ac:dyDescent="0.2">
      <c r="A299" t="s">
        <v>857</v>
      </c>
      <c r="B299" t="s">
        <v>858</v>
      </c>
      <c r="C299" t="s">
        <v>190</v>
      </c>
      <c r="D299" t="s">
        <v>191</v>
      </c>
    </row>
    <row r="300" spans="1:4" x14ac:dyDescent="0.2">
      <c r="A300" t="s">
        <v>859</v>
      </c>
      <c r="B300" t="s">
        <v>860</v>
      </c>
      <c r="C300" t="s">
        <v>861</v>
      </c>
      <c r="D300" t="s">
        <v>195</v>
      </c>
    </row>
    <row r="301" spans="1:4" x14ac:dyDescent="0.2">
      <c r="A301" t="s">
        <v>862</v>
      </c>
      <c r="B301" t="s">
        <v>863</v>
      </c>
      <c r="C301" t="s">
        <v>190</v>
      </c>
      <c r="D301" t="s">
        <v>191</v>
      </c>
    </row>
    <row r="302" spans="1:4" x14ac:dyDescent="0.2">
      <c r="A302" t="s">
        <v>862</v>
      </c>
      <c r="B302" t="s">
        <v>864</v>
      </c>
      <c r="C302" t="s">
        <v>190</v>
      </c>
      <c r="D302" t="s">
        <v>191</v>
      </c>
    </row>
    <row r="303" spans="1:4" x14ac:dyDescent="0.2">
      <c r="A303" t="s">
        <v>862</v>
      </c>
      <c r="B303" t="s">
        <v>865</v>
      </c>
      <c r="C303" t="s">
        <v>190</v>
      </c>
      <c r="D303" t="s">
        <v>191</v>
      </c>
    </row>
    <row r="304" spans="1:4" x14ac:dyDescent="0.2">
      <c r="A304" t="s">
        <v>862</v>
      </c>
      <c r="B304" t="s">
        <v>866</v>
      </c>
      <c r="C304" t="s">
        <v>190</v>
      </c>
      <c r="D304" t="s">
        <v>191</v>
      </c>
    </row>
    <row r="305" spans="1:4" x14ac:dyDescent="0.2">
      <c r="A305" t="s">
        <v>862</v>
      </c>
      <c r="B305" t="s">
        <v>867</v>
      </c>
      <c r="C305" t="s">
        <v>190</v>
      </c>
      <c r="D305" t="s">
        <v>191</v>
      </c>
    </row>
    <row r="306" spans="1:4" x14ac:dyDescent="0.2">
      <c r="A306" t="s">
        <v>868</v>
      </c>
      <c r="B306" t="s">
        <v>869</v>
      </c>
      <c r="C306" t="s">
        <v>190</v>
      </c>
      <c r="D306" t="s">
        <v>191</v>
      </c>
    </row>
    <row r="307" spans="1:4" x14ac:dyDescent="0.2">
      <c r="A307" t="s">
        <v>870</v>
      </c>
      <c r="B307" t="s">
        <v>871</v>
      </c>
      <c r="C307" t="s">
        <v>872</v>
      </c>
      <c r="D307" t="s">
        <v>195</v>
      </c>
    </row>
    <row r="308" spans="1:4" x14ac:dyDescent="0.2">
      <c r="A308" t="s">
        <v>873</v>
      </c>
      <c r="B308" t="s">
        <v>874</v>
      </c>
      <c r="C308" t="s">
        <v>190</v>
      </c>
      <c r="D308" t="s">
        <v>191</v>
      </c>
    </row>
    <row r="309" spans="1:4" x14ac:dyDescent="0.2">
      <c r="A309" t="s">
        <v>875</v>
      </c>
      <c r="B309" t="s">
        <v>876</v>
      </c>
      <c r="C309" t="s">
        <v>190</v>
      </c>
      <c r="D309" t="s">
        <v>191</v>
      </c>
    </row>
    <row r="310" spans="1:4" x14ac:dyDescent="0.2">
      <c r="A310" t="s">
        <v>877</v>
      </c>
      <c r="B310" t="s">
        <v>878</v>
      </c>
      <c r="C310" t="s">
        <v>190</v>
      </c>
      <c r="D310" t="s">
        <v>191</v>
      </c>
    </row>
    <row r="311" spans="1:4" x14ac:dyDescent="0.2">
      <c r="A311" t="s">
        <v>879</v>
      </c>
      <c r="B311" t="s">
        <v>880</v>
      </c>
      <c r="C311" t="s">
        <v>190</v>
      </c>
      <c r="D311" t="s">
        <v>191</v>
      </c>
    </row>
    <row r="312" spans="1:4" x14ac:dyDescent="0.2">
      <c r="A312" t="s">
        <v>881</v>
      </c>
      <c r="B312" t="s">
        <v>882</v>
      </c>
      <c r="C312" t="s">
        <v>883</v>
      </c>
      <c r="D312" t="s">
        <v>195</v>
      </c>
    </row>
    <row r="313" spans="1:4" x14ac:dyDescent="0.2">
      <c r="A313" t="s">
        <v>884</v>
      </c>
      <c r="B313" t="s">
        <v>885</v>
      </c>
      <c r="C313" t="s">
        <v>190</v>
      </c>
      <c r="D313" t="s">
        <v>191</v>
      </c>
    </row>
    <row r="314" spans="1:4" x14ac:dyDescent="0.2">
      <c r="A314" t="s">
        <v>886</v>
      </c>
      <c r="B314" t="s">
        <v>887</v>
      </c>
      <c r="C314" t="s">
        <v>888</v>
      </c>
      <c r="D314" t="s">
        <v>195</v>
      </c>
    </row>
    <row r="315" spans="1:4" x14ac:dyDescent="0.2">
      <c r="A315" t="s">
        <v>889</v>
      </c>
      <c r="B315" t="s">
        <v>890</v>
      </c>
      <c r="C315" t="s">
        <v>190</v>
      </c>
      <c r="D315" t="s">
        <v>191</v>
      </c>
    </row>
    <row r="316" spans="1:4" x14ac:dyDescent="0.2">
      <c r="A316" t="s">
        <v>891</v>
      </c>
      <c r="B316" t="s">
        <v>892</v>
      </c>
      <c r="C316" t="s">
        <v>893</v>
      </c>
      <c r="D316" t="s">
        <v>187</v>
      </c>
    </row>
    <row r="317" spans="1:4" x14ac:dyDescent="0.2">
      <c r="A317" t="s">
        <v>894</v>
      </c>
      <c r="B317" t="s">
        <v>895</v>
      </c>
      <c r="C317" t="s">
        <v>190</v>
      </c>
      <c r="D317" t="s">
        <v>191</v>
      </c>
    </row>
    <row r="318" spans="1:4" x14ac:dyDescent="0.2">
      <c r="A318" t="s">
        <v>896</v>
      </c>
      <c r="B318" t="s">
        <v>897</v>
      </c>
      <c r="C318" t="s">
        <v>898</v>
      </c>
      <c r="D318" t="s">
        <v>187</v>
      </c>
    </row>
    <row r="319" spans="1:4" x14ac:dyDescent="0.2">
      <c r="A319" t="s">
        <v>899</v>
      </c>
      <c r="B319" t="s">
        <v>900</v>
      </c>
      <c r="C319" t="s">
        <v>901</v>
      </c>
      <c r="D319" t="s">
        <v>187</v>
      </c>
    </row>
    <row r="320" spans="1:4" x14ac:dyDescent="0.2">
      <c r="A320" t="s">
        <v>902</v>
      </c>
      <c r="B320" t="s">
        <v>903</v>
      </c>
      <c r="C320" t="s">
        <v>190</v>
      </c>
      <c r="D320" t="s">
        <v>191</v>
      </c>
    </row>
    <row r="321" spans="1:4" x14ac:dyDescent="0.2">
      <c r="A321" t="s">
        <v>904</v>
      </c>
      <c r="B321" t="s">
        <v>905</v>
      </c>
      <c r="C321" t="s">
        <v>190</v>
      </c>
      <c r="D321" t="s">
        <v>191</v>
      </c>
    </row>
    <row r="322" spans="1:4" x14ac:dyDescent="0.2">
      <c r="A322" t="s">
        <v>906</v>
      </c>
      <c r="B322" t="s">
        <v>907</v>
      </c>
      <c r="C322" t="s">
        <v>908</v>
      </c>
      <c r="D322" t="s">
        <v>195</v>
      </c>
    </row>
    <row r="323" spans="1:4" x14ac:dyDescent="0.2">
      <c r="A323" t="s">
        <v>909</v>
      </c>
      <c r="B323" t="s">
        <v>910</v>
      </c>
      <c r="C323" t="s">
        <v>190</v>
      </c>
      <c r="D323" t="s">
        <v>191</v>
      </c>
    </row>
    <row r="324" spans="1:4" x14ac:dyDescent="0.2">
      <c r="A324" t="s">
        <v>911</v>
      </c>
      <c r="B324" t="s">
        <v>912</v>
      </c>
      <c r="C324" t="s">
        <v>190</v>
      </c>
      <c r="D324" t="s">
        <v>191</v>
      </c>
    </row>
    <row r="325" spans="1:4" x14ac:dyDescent="0.2">
      <c r="A325" t="s">
        <v>913</v>
      </c>
      <c r="B325" t="s">
        <v>914</v>
      </c>
      <c r="C325" t="s">
        <v>190</v>
      </c>
      <c r="D325" t="s">
        <v>191</v>
      </c>
    </row>
    <row r="326" spans="1:4" x14ac:dyDescent="0.2">
      <c r="A326" t="s">
        <v>915</v>
      </c>
      <c r="B326" t="s">
        <v>916</v>
      </c>
      <c r="C326" t="s">
        <v>190</v>
      </c>
      <c r="D326" t="s">
        <v>191</v>
      </c>
    </row>
    <row r="327" spans="1:4" x14ac:dyDescent="0.2">
      <c r="A327" t="s">
        <v>917</v>
      </c>
      <c r="B327" t="s">
        <v>918</v>
      </c>
      <c r="C327" t="s">
        <v>919</v>
      </c>
      <c r="D327" t="s">
        <v>195</v>
      </c>
    </row>
    <row r="328" spans="1:4" x14ac:dyDescent="0.2">
      <c r="A328" t="s">
        <v>920</v>
      </c>
      <c r="B328" t="s">
        <v>921</v>
      </c>
      <c r="C328" t="s">
        <v>922</v>
      </c>
      <c r="D328" t="s">
        <v>195</v>
      </c>
    </row>
    <row r="329" spans="1:4" x14ac:dyDescent="0.2">
      <c r="A329" t="s">
        <v>923</v>
      </c>
      <c r="B329" t="s">
        <v>924</v>
      </c>
      <c r="C329" t="s">
        <v>190</v>
      </c>
      <c r="D329" t="s">
        <v>191</v>
      </c>
    </row>
    <row r="330" spans="1:4" x14ac:dyDescent="0.2">
      <c r="A330" t="s">
        <v>925</v>
      </c>
      <c r="B330" t="s">
        <v>926</v>
      </c>
      <c r="C330" t="s">
        <v>190</v>
      </c>
      <c r="D330" t="s">
        <v>191</v>
      </c>
    </row>
    <row r="331" spans="1:4" x14ac:dyDescent="0.2">
      <c r="A331" t="s">
        <v>927</v>
      </c>
      <c r="B331" t="s">
        <v>928</v>
      </c>
      <c r="C331" t="s">
        <v>190</v>
      </c>
      <c r="D331" t="s">
        <v>191</v>
      </c>
    </row>
    <row r="332" spans="1:4" x14ac:dyDescent="0.2">
      <c r="A332" t="s">
        <v>929</v>
      </c>
      <c r="B332" t="s">
        <v>930</v>
      </c>
      <c r="C332" t="s">
        <v>190</v>
      </c>
      <c r="D332" t="s">
        <v>191</v>
      </c>
    </row>
    <row r="333" spans="1:4" x14ac:dyDescent="0.2">
      <c r="A333" t="s">
        <v>929</v>
      </c>
      <c r="B333" t="s">
        <v>931</v>
      </c>
      <c r="C333" t="s">
        <v>190</v>
      </c>
      <c r="D333" t="s">
        <v>191</v>
      </c>
    </row>
    <row r="334" spans="1:4" x14ac:dyDescent="0.2">
      <c r="A334" t="s">
        <v>929</v>
      </c>
      <c r="B334" t="s">
        <v>932</v>
      </c>
      <c r="C334" t="s">
        <v>190</v>
      </c>
      <c r="D334" t="s">
        <v>191</v>
      </c>
    </row>
    <row r="335" spans="1:4" x14ac:dyDescent="0.2">
      <c r="A335" t="s">
        <v>929</v>
      </c>
      <c r="B335" t="s">
        <v>933</v>
      </c>
      <c r="C335" t="s">
        <v>190</v>
      </c>
      <c r="D335" t="s">
        <v>191</v>
      </c>
    </row>
    <row r="336" spans="1:4" x14ac:dyDescent="0.2">
      <c r="A336" t="s">
        <v>929</v>
      </c>
      <c r="B336" t="s">
        <v>934</v>
      </c>
      <c r="C336" t="s">
        <v>190</v>
      </c>
      <c r="D336" t="s">
        <v>191</v>
      </c>
    </row>
    <row r="337" spans="1:4" x14ac:dyDescent="0.2">
      <c r="A337" t="s">
        <v>935</v>
      </c>
      <c r="B337" t="s">
        <v>936</v>
      </c>
      <c r="C337" t="s">
        <v>937</v>
      </c>
      <c r="D337" t="s">
        <v>187</v>
      </c>
    </row>
    <row r="338" spans="1:4" x14ac:dyDescent="0.2">
      <c r="A338" t="s">
        <v>938</v>
      </c>
      <c r="B338" t="s">
        <v>939</v>
      </c>
      <c r="C338" t="s">
        <v>190</v>
      </c>
      <c r="D338" t="s">
        <v>191</v>
      </c>
    </row>
    <row r="339" spans="1:4" x14ac:dyDescent="0.2">
      <c r="A339" t="s">
        <v>940</v>
      </c>
      <c r="B339" t="s">
        <v>941</v>
      </c>
      <c r="C339" t="s">
        <v>942</v>
      </c>
      <c r="D339" t="s">
        <v>195</v>
      </c>
    </row>
    <row r="340" spans="1:4" x14ac:dyDescent="0.2">
      <c r="A340" t="s">
        <v>943</v>
      </c>
      <c r="B340" t="s">
        <v>944</v>
      </c>
      <c r="C340" t="s">
        <v>945</v>
      </c>
      <c r="D340" t="s">
        <v>187</v>
      </c>
    </row>
    <row r="341" spans="1:4" x14ac:dyDescent="0.2">
      <c r="A341" t="s">
        <v>946</v>
      </c>
      <c r="B341" t="s">
        <v>947</v>
      </c>
      <c r="C341" t="s">
        <v>948</v>
      </c>
      <c r="D341" t="s">
        <v>195</v>
      </c>
    </row>
    <row r="342" spans="1:4" x14ac:dyDescent="0.2">
      <c r="A342" t="s">
        <v>949</v>
      </c>
      <c r="B342" t="s">
        <v>950</v>
      </c>
      <c r="C342" t="s">
        <v>951</v>
      </c>
      <c r="D342" t="s">
        <v>195</v>
      </c>
    </row>
    <row r="343" spans="1:4" x14ac:dyDescent="0.2">
      <c r="A343" t="s">
        <v>952</v>
      </c>
      <c r="B343" t="s">
        <v>953</v>
      </c>
      <c r="C343" t="s">
        <v>190</v>
      </c>
      <c r="D343" t="s">
        <v>191</v>
      </c>
    </row>
    <row r="344" spans="1:4" x14ac:dyDescent="0.2">
      <c r="A344" t="s">
        <v>954</v>
      </c>
      <c r="B344" t="s">
        <v>955</v>
      </c>
      <c r="C344" t="s">
        <v>956</v>
      </c>
      <c r="D344" t="s">
        <v>195</v>
      </c>
    </row>
    <row r="345" spans="1:4" x14ac:dyDescent="0.2">
      <c r="A345" t="s">
        <v>957</v>
      </c>
      <c r="B345" t="s">
        <v>958</v>
      </c>
      <c r="C345" t="s">
        <v>190</v>
      </c>
      <c r="D345" t="s">
        <v>191</v>
      </c>
    </row>
    <row r="346" spans="1:4" x14ac:dyDescent="0.2">
      <c r="A346" t="s">
        <v>959</v>
      </c>
      <c r="B346" t="s">
        <v>960</v>
      </c>
      <c r="C346" t="s">
        <v>190</v>
      </c>
      <c r="D346" t="s">
        <v>191</v>
      </c>
    </row>
    <row r="347" spans="1:4" x14ac:dyDescent="0.2">
      <c r="A347" t="s">
        <v>961</v>
      </c>
      <c r="B347" t="s">
        <v>962</v>
      </c>
      <c r="C347" t="s">
        <v>190</v>
      </c>
      <c r="D347" t="s">
        <v>191</v>
      </c>
    </row>
    <row r="348" spans="1:4" x14ac:dyDescent="0.2">
      <c r="A348" t="s">
        <v>963</v>
      </c>
      <c r="B348" t="s">
        <v>964</v>
      </c>
      <c r="C348" t="s">
        <v>190</v>
      </c>
      <c r="D348" t="s">
        <v>191</v>
      </c>
    </row>
    <row r="349" spans="1:4" x14ac:dyDescent="0.2">
      <c r="A349" t="s">
        <v>965</v>
      </c>
      <c r="B349" t="s">
        <v>966</v>
      </c>
      <c r="C349" t="s">
        <v>190</v>
      </c>
      <c r="D349" t="s">
        <v>191</v>
      </c>
    </row>
    <row r="350" spans="1:4" x14ac:dyDescent="0.2">
      <c r="A350" t="s">
        <v>967</v>
      </c>
      <c r="B350" t="s">
        <v>968</v>
      </c>
      <c r="C350" t="s">
        <v>969</v>
      </c>
      <c r="D350" t="s">
        <v>195</v>
      </c>
    </row>
    <row r="351" spans="1:4" x14ac:dyDescent="0.2">
      <c r="A351" t="s">
        <v>970</v>
      </c>
      <c r="B351" t="s">
        <v>971</v>
      </c>
      <c r="C351" t="s">
        <v>972</v>
      </c>
      <c r="D351" t="s">
        <v>195</v>
      </c>
    </row>
    <row r="352" spans="1:4" x14ac:dyDescent="0.2">
      <c r="A352" t="s">
        <v>973</v>
      </c>
      <c r="B352" t="s">
        <v>974</v>
      </c>
      <c r="C352" t="s">
        <v>975</v>
      </c>
      <c r="D352" t="s">
        <v>195</v>
      </c>
    </row>
    <row r="353" spans="1:4" x14ac:dyDescent="0.2">
      <c r="A353" t="s">
        <v>976</v>
      </c>
      <c r="B353" t="s">
        <v>977</v>
      </c>
      <c r="C353" t="s">
        <v>978</v>
      </c>
      <c r="D353" t="s">
        <v>195</v>
      </c>
    </row>
    <row r="354" spans="1:4" x14ac:dyDescent="0.2">
      <c r="A354" t="s">
        <v>979</v>
      </c>
      <c r="B354" t="s">
        <v>980</v>
      </c>
      <c r="C354" t="s">
        <v>981</v>
      </c>
      <c r="D354" t="s">
        <v>195</v>
      </c>
    </row>
    <row r="355" spans="1:4" x14ac:dyDescent="0.2">
      <c r="A355" t="s">
        <v>982</v>
      </c>
      <c r="B355" t="s">
        <v>983</v>
      </c>
      <c r="C355" t="s">
        <v>984</v>
      </c>
      <c r="D355" t="s">
        <v>195</v>
      </c>
    </row>
    <row r="356" spans="1:4" x14ac:dyDescent="0.2">
      <c r="A356" t="s">
        <v>985</v>
      </c>
      <c r="B356" t="s">
        <v>986</v>
      </c>
      <c r="C356" t="s">
        <v>190</v>
      </c>
      <c r="D356" t="s">
        <v>191</v>
      </c>
    </row>
    <row r="357" spans="1:4" x14ac:dyDescent="0.2">
      <c r="A357" t="s">
        <v>987</v>
      </c>
      <c r="B357" t="s">
        <v>988</v>
      </c>
      <c r="C357" t="s">
        <v>989</v>
      </c>
      <c r="D357" t="s">
        <v>195</v>
      </c>
    </row>
    <row r="358" spans="1:4" x14ac:dyDescent="0.2">
      <c r="A358" t="s">
        <v>990</v>
      </c>
      <c r="B358" t="s">
        <v>991</v>
      </c>
      <c r="C358" t="s">
        <v>190</v>
      </c>
      <c r="D358" t="s">
        <v>191</v>
      </c>
    </row>
    <row r="359" spans="1:4" x14ac:dyDescent="0.2">
      <c r="A359" t="s">
        <v>992</v>
      </c>
      <c r="B359" t="s">
        <v>993</v>
      </c>
      <c r="C359" t="s">
        <v>994</v>
      </c>
      <c r="D359" t="s">
        <v>195</v>
      </c>
    </row>
    <row r="360" spans="1:4" x14ac:dyDescent="0.2">
      <c r="A360" t="s">
        <v>995</v>
      </c>
      <c r="B360" t="s">
        <v>996</v>
      </c>
      <c r="C360" t="s">
        <v>190</v>
      </c>
      <c r="D360" t="s">
        <v>191</v>
      </c>
    </row>
    <row r="361" spans="1:4" x14ac:dyDescent="0.2">
      <c r="A361" t="s">
        <v>997</v>
      </c>
      <c r="B361" t="s">
        <v>998</v>
      </c>
      <c r="C361" t="s">
        <v>999</v>
      </c>
      <c r="D361" t="s">
        <v>195</v>
      </c>
    </row>
    <row r="362" spans="1:4" x14ac:dyDescent="0.2">
      <c r="A362" t="s">
        <v>1000</v>
      </c>
      <c r="B362" t="s">
        <v>1001</v>
      </c>
      <c r="C362" t="s">
        <v>1002</v>
      </c>
      <c r="D362" t="s">
        <v>195</v>
      </c>
    </row>
    <row r="363" spans="1:4" x14ac:dyDescent="0.2">
      <c r="A363" t="s">
        <v>1003</v>
      </c>
      <c r="B363" t="s">
        <v>1004</v>
      </c>
      <c r="C363" t="s">
        <v>190</v>
      </c>
      <c r="D363" t="s">
        <v>191</v>
      </c>
    </row>
    <row r="364" spans="1:4" x14ac:dyDescent="0.2">
      <c r="A364" t="s">
        <v>1005</v>
      </c>
      <c r="B364" t="s">
        <v>1006</v>
      </c>
      <c r="C364" t="s">
        <v>1007</v>
      </c>
      <c r="D364" t="s">
        <v>187</v>
      </c>
    </row>
    <row r="365" spans="1:4" x14ac:dyDescent="0.2">
      <c r="A365" t="s">
        <v>1008</v>
      </c>
      <c r="B365" t="s">
        <v>1009</v>
      </c>
      <c r="C365" t="s">
        <v>190</v>
      </c>
      <c r="D365" t="s">
        <v>191</v>
      </c>
    </row>
    <row r="366" spans="1:4" x14ac:dyDescent="0.2">
      <c r="A366" t="s">
        <v>1008</v>
      </c>
      <c r="B366" t="s">
        <v>1010</v>
      </c>
      <c r="C366" t="s">
        <v>190</v>
      </c>
      <c r="D366" t="s">
        <v>191</v>
      </c>
    </row>
    <row r="367" spans="1:4" x14ac:dyDescent="0.2">
      <c r="A367" t="s">
        <v>1008</v>
      </c>
      <c r="B367" t="s">
        <v>1011</v>
      </c>
      <c r="C367" t="s">
        <v>190</v>
      </c>
      <c r="D367" t="s">
        <v>191</v>
      </c>
    </row>
    <row r="368" spans="1:4" x14ac:dyDescent="0.2">
      <c r="A368" t="s">
        <v>1012</v>
      </c>
      <c r="B368" t="s">
        <v>1013</v>
      </c>
      <c r="C368" t="s">
        <v>190</v>
      </c>
      <c r="D368" t="s">
        <v>191</v>
      </c>
    </row>
    <row r="369" spans="1:4" x14ac:dyDescent="0.2">
      <c r="A369" t="s">
        <v>1012</v>
      </c>
      <c r="B369" t="s">
        <v>1014</v>
      </c>
      <c r="C369" t="s">
        <v>190</v>
      </c>
      <c r="D369" t="s">
        <v>191</v>
      </c>
    </row>
    <row r="370" spans="1:4" x14ac:dyDescent="0.2">
      <c r="A370" t="s">
        <v>1012</v>
      </c>
      <c r="B370" t="s">
        <v>1015</v>
      </c>
      <c r="C370" t="s">
        <v>1016</v>
      </c>
      <c r="D370" t="s">
        <v>187</v>
      </c>
    </row>
    <row r="371" spans="1:4" x14ac:dyDescent="0.2">
      <c r="A371" t="s">
        <v>1012</v>
      </c>
      <c r="B371" t="s">
        <v>1017</v>
      </c>
      <c r="C371" t="s">
        <v>190</v>
      </c>
      <c r="D371" t="s">
        <v>191</v>
      </c>
    </row>
    <row r="372" spans="1:4" x14ac:dyDescent="0.2">
      <c r="A372" t="s">
        <v>1012</v>
      </c>
      <c r="B372" t="s">
        <v>1018</v>
      </c>
      <c r="C372" t="s">
        <v>190</v>
      </c>
      <c r="D372" t="s">
        <v>191</v>
      </c>
    </row>
    <row r="373" spans="1:4" x14ac:dyDescent="0.2">
      <c r="A373" t="s">
        <v>1012</v>
      </c>
      <c r="B373" t="s">
        <v>1019</v>
      </c>
      <c r="C373" t="s">
        <v>190</v>
      </c>
      <c r="D373" t="s">
        <v>191</v>
      </c>
    </row>
    <row r="374" spans="1:4" x14ac:dyDescent="0.2">
      <c r="A374" t="s">
        <v>1012</v>
      </c>
      <c r="B374" t="s">
        <v>1020</v>
      </c>
      <c r="C374" t="s">
        <v>190</v>
      </c>
      <c r="D374" t="s">
        <v>191</v>
      </c>
    </row>
    <row r="375" spans="1:4" x14ac:dyDescent="0.2">
      <c r="A375" t="s">
        <v>1012</v>
      </c>
      <c r="B375" t="s">
        <v>1021</v>
      </c>
      <c r="C375" t="s">
        <v>190</v>
      </c>
      <c r="D375" t="s">
        <v>191</v>
      </c>
    </row>
    <row r="376" spans="1:4" x14ac:dyDescent="0.2">
      <c r="A376" t="s">
        <v>1022</v>
      </c>
      <c r="B376" t="s">
        <v>1023</v>
      </c>
      <c r="C376" t="s">
        <v>190</v>
      </c>
      <c r="D376" t="s">
        <v>280</v>
      </c>
    </row>
    <row r="377" spans="1:4" x14ac:dyDescent="0.2">
      <c r="A377" t="s">
        <v>1022</v>
      </c>
      <c r="B377" t="s">
        <v>1024</v>
      </c>
      <c r="C377" t="s">
        <v>190</v>
      </c>
      <c r="D377" t="s">
        <v>280</v>
      </c>
    </row>
    <row r="378" spans="1:4" x14ac:dyDescent="0.2">
      <c r="A378" t="s">
        <v>1022</v>
      </c>
      <c r="B378" t="s">
        <v>1025</v>
      </c>
      <c r="C378" t="s">
        <v>1026</v>
      </c>
      <c r="D378" t="s">
        <v>187</v>
      </c>
    </row>
    <row r="379" spans="1:4" x14ac:dyDescent="0.2">
      <c r="A379" t="s">
        <v>1022</v>
      </c>
      <c r="B379" t="s">
        <v>1027</v>
      </c>
      <c r="C379" t="s">
        <v>190</v>
      </c>
      <c r="D379" t="s">
        <v>280</v>
      </c>
    </row>
    <row r="380" spans="1:4" x14ac:dyDescent="0.2">
      <c r="A380" t="s">
        <v>1022</v>
      </c>
      <c r="B380" t="s">
        <v>1028</v>
      </c>
      <c r="C380" t="s">
        <v>190</v>
      </c>
      <c r="D380" t="s">
        <v>280</v>
      </c>
    </row>
    <row r="381" spans="1:4" x14ac:dyDescent="0.2">
      <c r="A381" t="s">
        <v>1022</v>
      </c>
      <c r="B381" t="s">
        <v>1029</v>
      </c>
      <c r="C381" t="s">
        <v>190</v>
      </c>
      <c r="D381" t="s">
        <v>280</v>
      </c>
    </row>
    <row r="382" spans="1:4" x14ac:dyDescent="0.2">
      <c r="A382" t="s">
        <v>1030</v>
      </c>
      <c r="B382" t="s">
        <v>1031</v>
      </c>
      <c r="C382" t="s">
        <v>1032</v>
      </c>
      <c r="D382" t="s">
        <v>195</v>
      </c>
    </row>
    <row r="383" spans="1:4" x14ac:dyDescent="0.2">
      <c r="A383" t="s">
        <v>1033</v>
      </c>
      <c r="B383" t="s">
        <v>1034</v>
      </c>
      <c r="C383" t="s">
        <v>190</v>
      </c>
      <c r="D383" t="s">
        <v>191</v>
      </c>
    </row>
    <row r="384" spans="1:4" x14ac:dyDescent="0.2">
      <c r="A384" t="s">
        <v>1033</v>
      </c>
      <c r="B384" t="s">
        <v>1035</v>
      </c>
      <c r="C384" t="s">
        <v>1036</v>
      </c>
      <c r="D384" t="s">
        <v>195</v>
      </c>
    </row>
    <row r="385" spans="1:4" x14ac:dyDescent="0.2">
      <c r="A385" t="s">
        <v>1037</v>
      </c>
      <c r="B385" t="s">
        <v>1038</v>
      </c>
      <c r="C385" t="s">
        <v>190</v>
      </c>
      <c r="D385" t="s">
        <v>191</v>
      </c>
    </row>
    <row r="386" spans="1:4" x14ac:dyDescent="0.2">
      <c r="A386" t="s">
        <v>1039</v>
      </c>
      <c r="B386" t="s">
        <v>1040</v>
      </c>
      <c r="C386" t="s">
        <v>190</v>
      </c>
      <c r="D386" t="s">
        <v>191</v>
      </c>
    </row>
    <row r="387" spans="1:4" x14ac:dyDescent="0.2">
      <c r="A387" t="s">
        <v>1041</v>
      </c>
      <c r="B387" t="s">
        <v>1042</v>
      </c>
      <c r="C387" t="s">
        <v>190</v>
      </c>
      <c r="D387" t="s">
        <v>191</v>
      </c>
    </row>
    <row r="388" spans="1:4" x14ac:dyDescent="0.2">
      <c r="A388" t="s">
        <v>1043</v>
      </c>
      <c r="B388" t="s">
        <v>1044</v>
      </c>
      <c r="C388" t="s">
        <v>190</v>
      </c>
      <c r="D388" t="s">
        <v>191</v>
      </c>
    </row>
    <row r="389" spans="1:4" x14ac:dyDescent="0.2">
      <c r="A389" t="s">
        <v>1045</v>
      </c>
      <c r="B389" t="s">
        <v>1046</v>
      </c>
      <c r="C389" t="s">
        <v>190</v>
      </c>
      <c r="D389" t="s">
        <v>191</v>
      </c>
    </row>
    <row r="390" spans="1:4" x14ac:dyDescent="0.2">
      <c r="A390" t="s">
        <v>1047</v>
      </c>
      <c r="B390" t="s">
        <v>1048</v>
      </c>
      <c r="C390" t="s">
        <v>190</v>
      </c>
      <c r="D390" t="s">
        <v>191</v>
      </c>
    </row>
    <row r="391" spans="1:4" x14ac:dyDescent="0.2">
      <c r="A391" t="s">
        <v>1049</v>
      </c>
      <c r="B391" t="s">
        <v>1050</v>
      </c>
      <c r="C391" t="s">
        <v>190</v>
      </c>
      <c r="D391" t="s">
        <v>1051</v>
      </c>
    </row>
    <row r="392" spans="1:4" x14ac:dyDescent="0.2">
      <c r="A392" t="s">
        <v>1049</v>
      </c>
      <c r="B392" t="s">
        <v>1052</v>
      </c>
      <c r="C392" t="s">
        <v>1053</v>
      </c>
      <c r="D392" t="s">
        <v>195</v>
      </c>
    </row>
    <row r="393" spans="1:4" x14ac:dyDescent="0.2">
      <c r="A393" t="s">
        <v>1054</v>
      </c>
      <c r="B393" t="s">
        <v>1055</v>
      </c>
      <c r="C393" t="s">
        <v>190</v>
      </c>
      <c r="D393" t="s">
        <v>191</v>
      </c>
    </row>
    <row r="394" spans="1:4" x14ac:dyDescent="0.2">
      <c r="A394" t="s">
        <v>1056</v>
      </c>
      <c r="B394" t="s">
        <v>1057</v>
      </c>
      <c r="C394" t="s">
        <v>190</v>
      </c>
      <c r="D394" t="s">
        <v>191</v>
      </c>
    </row>
    <row r="395" spans="1:4" x14ac:dyDescent="0.2">
      <c r="A395" t="s">
        <v>1058</v>
      </c>
      <c r="B395" t="s">
        <v>1059</v>
      </c>
      <c r="C395" t="s">
        <v>190</v>
      </c>
      <c r="D395" t="s">
        <v>191</v>
      </c>
    </row>
    <row r="396" spans="1:4" x14ac:dyDescent="0.2">
      <c r="A396" t="s">
        <v>1060</v>
      </c>
      <c r="B396" t="s">
        <v>1061</v>
      </c>
      <c r="C396" t="s">
        <v>190</v>
      </c>
      <c r="D396" t="s">
        <v>191</v>
      </c>
    </row>
    <row r="397" spans="1:4" x14ac:dyDescent="0.2">
      <c r="A397" t="s">
        <v>1062</v>
      </c>
      <c r="B397" t="s">
        <v>1063</v>
      </c>
      <c r="C397" t="s">
        <v>190</v>
      </c>
      <c r="D397" t="s">
        <v>191</v>
      </c>
    </row>
    <row r="398" spans="1:4" x14ac:dyDescent="0.2">
      <c r="A398" t="s">
        <v>1064</v>
      </c>
      <c r="B398" t="s">
        <v>1065</v>
      </c>
      <c r="C398" t="s">
        <v>1066</v>
      </c>
      <c r="D398" t="s">
        <v>195</v>
      </c>
    </row>
    <row r="399" spans="1:4" x14ac:dyDescent="0.2">
      <c r="A399" t="s">
        <v>1067</v>
      </c>
      <c r="B399" t="s">
        <v>1068</v>
      </c>
      <c r="C399" t="s">
        <v>190</v>
      </c>
      <c r="D399" t="s">
        <v>191</v>
      </c>
    </row>
    <row r="400" spans="1:4" x14ac:dyDescent="0.2">
      <c r="A400" t="s">
        <v>1069</v>
      </c>
      <c r="B400" t="s">
        <v>1070</v>
      </c>
      <c r="C400" t="s">
        <v>1071</v>
      </c>
      <c r="D400" t="s">
        <v>195</v>
      </c>
    </row>
    <row r="401" spans="1:4" x14ac:dyDescent="0.2">
      <c r="A401" t="s">
        <v>1072</v>
      </c>
      <c r="B401" t="s">
        <v>1073</v>
      </c>
      <c r="C401" t="s">
        <v>1074</v>
      </c>
      <c r="D401" t="s">
        <v>195</v>
      </c>
    </row>
    <row r="402" spans="1:4" x14ac:dyDescent="0.2">
      <c r="A402" t="s">
        <v>1075</v>
      </c>
      <c r="B402" t="s">
        <v>1076</v>
      </c>
      <c r="C402" t="s">
        <v>190</v>
      </c>
      <c r="D402" t="s">
        <v>191</v>
      </c>
    </row>
    <row r="403" spans="1:4" x14ac:dyDescent="0.2">
      <c r="A403" t="s">
        <v>1077</v>
      </c>
      <c r="B403" t="s">
        <v>1078</v>
      </c>
      <c r="C403" t="s">
        <v>1079</v>
      </c>
      <c r="D403" t="s">
        <v>187</v>
      </c>
    </row>
    <row r="404" spans="1:4" x14ac:dyDescent="0.2">
      <c r="A404" t="s">
        <v>1080</v>
      </c>
      <c r="B404" t="s">
        <v>1081</v>
      </c>
      <c r="C404" t="s">
        <v>1082</v>
      </c>
      <c r="D404" t="s">
        <v>195</v>
      </c>
    </row>
    <row r="405" spans="1:4" x14ac:dyDescent="0.2">
      <c r="A405" t="s">
        <v>1083</v>
      </c>
      <c r="B405" t="s">
        <v>1084</v>
      </c>
      <c r="C405" t="s">
        <v>190</v>
      </c>
      <c r="D405" t="s">
        <v>191</v>
      </c>
    </row>
    <row r="406" spans="1:4" x14ac:dyDescent="0.2">
      <c r="A406" t="s">
        <v>1085</v>
      </c>
      <c r="B406" t="s">
        <v>1086</v>
      </c>
      <c r="C406" t="s">
        <v>1087</v>
      </c>
      <c r="D406" t="s">
        <v>195</v>
      </c>
    </row>
    <row r="407" spans="1:4" x14ac:dyDescent="0.2">
      <c r="A407" t="s">
        <v>1088</v>
      </c>
      <c r="B407" t="s">
        <v>1089</v>
      </c>
      <c r="C407" t="s">
        <v>1090</v>
      </c>
      <c r="D407" t="s">
        <v>195</v>
      </c>
    </row>
    <row r="408" spans="1:4" x14ac:dyDescent="0.2">
      <c r="A408" t="s">
        <v>1091</v>
      </c>
      <c r="B408" t="s">
        <v>1092</v>
      </c>
      <c r="C408" t="s">
        <v>190</v>
      </c>
      <c r="D408" t="s">
        <v>191</v>
      </c>
    </row>
    <row r="409" spans="1:4" x14ac:dyDescent="0.2">
      <c r="A409" t="s">
        <v>1093</v>
      </c>
      <c r="B409" t="s">
        <v>1094</v>
      </c>
      <c r="C409" t="s">
        <v>1095</v>
      </c>
      <c r="D409" t="s">
        <v>195</v>
      </c>
    </row>
    <row r="410" spans="1:4" x14ac:dyDescent="0.2">
      <c r="A410" t="s">
        <v>1096</v>
      </c>
      <c r="B410" t="s">
        <v>1097</v>
      </c>
      <c r="C410" t="s">
        <v>190</v>
      </c>
      <c r="D410" t="s">
        <v>191</v>
      </c>
    </row>
    <row r="411" spans="1:4" x14ac:dyDescent="0.2">
      <c r="A411" t="s">
        <v>1098</v>
      </c>
      <c r="B411" t="s">
        <v>1099</v>
      </c>
      <c r="C411" t="s">
        <v>190</v>
      </c>
      <c r="D411" t="s">
        <v>191</v>
      </c>
    </row>
    <row r="412" spans="1:4" x14ac:dyDescent="0.2">
      <c r="A412" t="s">
        <v>1100</v>
      </c>
      <c r="B412" t="s">
        <v>1101</v>
      </c>
      <c r="C412" t="s">
        <v>190</v>
      </c>
      <c r="D412" t="s">
        <v>191</v>
      </c>
    </row>
    <row r="413" spans="1:4" x14ac:dyDescent="0.2">
      <c r="A413" t="s">
        <v>1102</v>
      </c>
      <c r="B413" t="s">
        <v>1103</v>
      </c>
      <c r="C413" t="s">
        <v>190</v>
      </c>
      <c r="D413" t="s">
        <v>191</v>
      </c>
    </row>
    <row r="414" spans="1:4" x14ac:dyDescent="0.2">
      <c r="A414" t="s">
        <v>1104</v>
      </c>
      <c r="B414" t="s">
        <v>1105</v>
      </c>
      <c r="C414" t="s">
        <v>190</v>
      </c>
      <c r="D414" t="s">
        <v>191</v>
      </c>
    </row>
    <row r="415" spans="1:4" x14ac:dyDescent="0.2">
      <c r="A415" t="s">
        <v>1106</v>
      </c>
      <c r="B415" t="s">
        <v>1107</v>
      </c>
      <c r="C415" t="s">
        <v>1108</v>
      </c>
      <c r="D415" t="s">
        <v>195</v>
      </c>
    </row>
    <row r="416" spans="1:4" x14ac:dyDescent="0.2">
      <c r="A416" t="s">
        <v>1109</v>
      </c>
      <c r="B416" t="s">
        <v>1110</v>
      </c>
      <c r="C416" t="s">
        <v>1111</v>
      </c>
      <c r="D416" t="s">
        <v>195</v>
      </c>
    </row>
    <row r="417" spans="1:4" x14ac:dyDescent="0.2">
      <c r="A417" t="s">
        <v>1112</v>
      </c>
      <c r="B417" t="s">
        <v>1113</v>
      </c>
      <c r="C417" t="s">
        <v>190</v>
      </c>
      <c r="D417" t="s">
        <v>191</v>
      </c>
    </row>
    <row r="418" spans="1:4" x14ac:dyDescent="0.2">
      <c r="A418" t="s">
        <v>1114</v>
      </c>
      <c r="B418" t="s">
        <v>1115</v>
      </c>
      <c r="C418" t="s">
        <v>190</v>
      </c>
      <c r="D418" t="s">
        <v>191</v>
      </c>
    </row>
    <row r="419" spans="1:4" x14ac:dyDescent="0.2">
      <c r="A419" t="s">
        <v>1116</v>
      </c>
      <c r="B419" t="s">
        <v>1117</v>
      </c>
      <c r="C419" t="s">
        <v>1118</v>
      </c>
      <c r="D419" t="s">
        <v>195</v>
      </c>
    </row>
    <row r="420" spans="1:4" x14ac:dyDescent="0.2">
      <c r="A420" t="s">
        <v>1119</v>
      </c>
      <c r="B420" t="s">
        <v>1120</v>
      </c>
      <c r="C420" t="s">
        <v>190</v>
      </c>
      <c r="D420" t="s">
        <v>191</v>
      </c>
    </row>
    <row r="421" spans="1:4" x14ac:dyDescent="0.2">
      <c r="A421" t="s">
        <v>1121</v>
      </c>
      <c r="B421" t="s">
        <v>1122</v>
      </c>
      <c r="C421" t="s">
        <v>1123</v>
      </c>
      <c r="D421" t="s">
        <v>195</v>
      </c>
    </row>
    <row r="422" spans="1:4" x14ac:dyDescent="0.2">
      <c r="A422" t="s">
        <v>1124</v>
      </c>
      <c r="B422" t="s">
        <v>1125</v>
      </c>
      <c r="C422" t="s">
        <v>1126</v>
      </c>
      <c r="D422" t="s">
        <v>187</v>
      </c>
    </row>
    <row r="423" spans="1:4" x14ac:dyDescent="0.2">
      <c r="A423" t="s">
        <v>1127</v>
      </c>
      <c r="B423" t="s">
        <v>1128</v>
      </c>
      <c r="C423" t="s">
        <v>190</v>
      </c>
      <c r="D423" t="s">
        <v>191</v>
      </c>
    </row>
    <row r="424" spans="1:4" x14ac:dyDescent="0.2">
      <c r="A424" t="s">
        <v>1129</v>
      </c>
      <c r="B424" t="s">
        <v>1130</v>
      </c>
      <c r="C424" t="s">
        <v>190</v>
      </c>
      <c r="D424" t="s">
        <v>191</v>
      </c>
    </row>
    <row r="425" spans="1:4" x14ac:dyDescent="0.2">
      <c r="A425" t="s">
        <v>1131</v>
      </c>
      <c r="B425" t="s">
        <v>1132</v>
      </c>
      <c r="C425" t="s">
        <v>190</v>
      </c>
      <c r="D425" t="s">
        <v>191</v>
      </c>
    </row>
    <row r="426" spans="1:4" x14ac:dyDescent="0.2">
      <c r="A426" t="s">
        <v>1133</v>
      </c>
      <c r="B426" t="s">
        <v>1134</v>
      </c>
      <c r="C426" t="s">
        <v>1135</v>
      </c>
      <c r="D426" t="s">
        <v>195</v>
      </c>
    </row>
    <row r="427" spans="1:4" x14ac:dyDescent="0.2">
      <c r="A427" t="s">
        <v>1136</v>
      </c>
      <c r="B427" t="s">
        <v>1137</v>
      </c>
      <c r="C427" t="s">
        <v>1138</v>
      </c>
      <c r="D427" t="s">
        <v>187</v>
      </c>
    </row>
    <row r="428" spans="1:4" x14ac:dyDescent="0.2">
      <c r="A428" t="s">
        <v>1139</v>
      </c>
      <c r="B428" t="s">
        <v>1140</v>
      </c>
      <c r="C428" t="s">
        <v>1141</v>
      </c>
      <c r="D428" t="s">
        <v>195</v>
      </c>
    </row>
    <row r="429" spans="1:4" x14ac:dyDescent="0.2">
      <c r="A429" t="s">
        <v>1142</v>
      </c>
      <c r="B429" t="s">
        <v>1143</v>
      </c>
      <c r="C429" t="s">
        <v>1144</v>
      </c>
      <c r="D429" t="s">
        <v>195</v>
      </c>
    </row>
    <row r="430" spans="1:4" x14ac:dyDescent="0.2">
      <c r="A430" t="s">
        <v>1142</v>
      </c>
      <c r="B430" t="s">
        <v>1145</v>
      </c>
      <c r="C430" t="s">
        <v>190</v>
      </c>
      <c r="D430" t="s">
        <v>191</v>
      </c>
    </row>
    <row r="431" spans="1:4" x14ac:dyDescent="0.2">
      <c r="A431" t="s">
        <v>1146</v>
      </c>
      <c r="B431" t="s">
        <v>1147</v>
      </c>
      <c r="C431" t="s">
        <v>190</v>
      </c>
      <c r="D431" t="s">
        <v>191</v>
      </c>
    </row>
    <row r="432" spans="1:4" x14ac:dyDescent="0.2">
      <c r="A432" t="s">
        <v>1148</v>
      </c>
      <c r="B432" t="s">
        <v>1149</v>
      </c>
      <c r="C432" t="s">
        <v>1150</v>
      </c>
      <c r="D432" t="s">
        <v>195</v>
      </c>
    </row>
    <row r="433" spans="1:4" x14ac:dyDescent="0.2">
      <c r="A433" t="s">
        <v>1151</v>
      </c>
      <c r="B433" t="s">
        <v>1152</v>
      </c>
      <c r="C433" t="s">
        <v>190</v>
      </c>
      <c r="D433" t="s">
        <v>191</v>
      </c>
    </row>
    <row r="434" spans="1:4" x14ac:dyDescent="0.2">
      <c r="A434" t="s">
        <v>1153</v>
      </c>
      <c r="B434" t="s">
        <v>1154</v>
      </c>
      <c r="C434" t="s">
        <v>190</v>
      </c>
      <c r="D434" t="s">
        <v>191</v>
      </c>
    </row>
    <row r="435" spans="1:4" x14ac:dyDescent="0.2">
      <c r="A435" t="s">
        <v>1155</v>
      </c>
      <c r="B435" t="s">
        <v>1156</v>
      </c>
      <c r="C435" t="s">
        <v>190</v>
      </c>
      <c r="D435" t="s">
        <v>191</v>
      </c>
    </row>
    <row r="436" spans="1:4" x14ac:dyDescent="0.2">
      <c r="A436" t="s">
        <v>1157</v>
      </c>
      <c r="B436" t="s">
        <v>1158</v>
      </c>
      <c r="C436" t="s">
        <v>190</v>
      </c>
      <c r="D436" t="s">
        <v>191</v>
      </c>
    </row>
    <row r="437" spans="1:4" x14ac:dyDescent="0.2">
      <c r="A437" t="s">
        <v>1159</v>
      </c>
      <c r="B437" t="s">
        <v>1160</v>
      </c>
      <c r="C437" t="s">
        <v>1161</v>
      </c>
      <c r="D437" t="s">
        <v>195</v>
      </c>
    </row>
    <row r="438" spans="1:4" x14ac:dyDescent="0.2">
      <c r="A438" t="s">
        <v>1162</v>
      </c>
      <c r="B438" t="s">
        <v>1163</v>
      </c>
      <c r="C438" t="s">
        <v>190</v>
      </c>
      <c r="D438" t="s">
        <v>191</v>
      </c>
    </row>
    <row r="439" spans="1:4" x14ac:dyDescent="0.2">
      <c r="A439" t="s">
        <v>1164</v>
      </c>
      <c r="B439" t="s">
        <v>1165</v>
      </c>
      <c r="C439" t="s">
        <v>190</v>
      </c>
      <c r="D439" t="s">
        <v>191</v>
      </c>
    </row>
    <row r="440" spans="1:4" x14ac:dyDescent="0.2">
      <c r="A440" t="s">
        <v>1166</v>
      </c>
      <c r="B440" t="s">
        <v>1167</v>
      </c>
      <c r="C440" t="s">
        <v>1168</v>
      </c>
      <c r="D440" t="s">
        <v>195</v>
      </c>
    </row>
    <row r="441" spans="1:4" x14ac:dyDescent="0.2">
      <c r="A441" t="s">
        <v>1169</v>
      </c>
      <c r="B441" t="s">
        <v>1170</v>
      </c>
      <c r="C441" t="s">
        <v>1171</v>
      </c>
      <c r="D441" t="s">
        <v>195</v>
      </c>
    </row>
    <row r="442" spans="1:4" x14ac:dyDescent="0.2">
      <c r="A442" t="s">
        <v>1172</v>
      </c>
      <c r="B442" t="s">
        <v>1173</v>
      </c>
      <c r="C442" t="s">
        <v>190</v>
      </c>
      <c r="D442" t="s">
        <v>191</v>
      </c>
    </row>
    <row r="443" spans="1:4" x14ac:dyDescent="0.2">
      <c r="A443" t="s">
        <v>1174</v>
      </c>
      <c r="B443" t="s">
        <v>1175</v>
      </c>
      <c r="C443" t="s">
        <v>1176</v>
      </c>
      <c r="D443" t="s">
        <v>195</v>
      </c>
    </row>
    <row r="444" spans="1:4" x14ac:dyDescent="0.2">
      <c r="A444" t="s">
        <v>1177</v>
      </c>
      <c r="B444" t="s">
        <v>1178</v>
      </c>
      <c r="C444" t="s">
        <v>190</v>
      </c>
      <c r="D444" t="s">
        <v>191</v>
      </c>
    </row>
    <row r="445" spans="1:4" x14ac:dyDescent="0.2">
      <c r="A445" t="s">
        <v>1179</v>
      </c>
      <c r="B445" t="s">
        <v>1180</v>
      </c>
      <c r="C445" t="s">
        <v>190</v>
      </c>
      <c r="D445" t="s">
        <v>191</v>
      </c>
    </row>
    <row r="446" spans="1:4" x14ac:dyDescent="0.2">
      <c r="A446" t="s">
        <v>1181</v>
      </c>
      <c r="B446" t="s">
        <v>1182</v>
      </c>
      <c r="C446" t="s">
        <v>190</v>
      </c>
      <c r="D446" t="s">
        <v>191</v>
      </c>
    </row>
    <row r="447" spans="1:4" x14ac:dyDescent="0.2">
      <c r="A447" t="s">
        <v>1183</v>
      </c>
      <c r="B447" t="s">
        <v>1184</v>
      </c>
      <c r="C447" t="s">
        <v>190</v>
      </c>
      <c r="D447" t="s">
        <v>191</v>
      </c>
    </row>
    <row r="448" spans="1:4" x14ac:dyDescent="0.2">
      <c r="A448" t="s">
        <v>1185</v>
      </c>
      <c r="B448" t="s">
        <v>1186</v>
      </c>
      <c r="C448" t="s">
        <v>190</v>
      </c>
      <c r="D448" t="s">
        <v>191</v>
      </c>
    </row>
    <row r="449" spans="1:4" x14ac:dyDescent="0.2">
      <c r="A449" t="s">
        <v>1187</v>
      </c>
      <c r="B449" t="s">
        <v>1188</v>
      </c>
      <c r="C449" t="s">
        <v>190</v>
      </c>
      <c r="D449" t="s">
        <v>191</v>
      </c>
    </row>
    <row r="450" spans="1:4" x14ac:dyDescent="0.2">
      <c r="A450" t="s">
        <v>1189</v>
      </c>
      <c r="B450" t="s">
        <v>1190</v>
      </c>
      <c r="C450" t="s">
        <v>190</v>
      </c>
      <c r="D450" t="s">
        <v>191</v>
      </c>
    </row>
    <row r="451" spans="1:4" x14ac:dyDescent="0.2">
      <c r="A451" t="s">
        <v>1191</v>
      </c>
      <c r="B451" t="s">
        <v>1192</v>
      </c>
      <c r="C451" t="s">
        <v>190</v>
      </c>
      <c r="D451" t="s">
        <v>191</v>
      </c>
    </row>
    <row r="452" spans="1:4" x14ac:dyDescent="0.2">
      <c r="A452" t="s">
        <v>1193</v>
      </c>
      <c r="B452" t="s">
        <v>1194</v>
      </c>
      <c r="C452" t="s">
        <v>190</v>
      </c>
      <c r="D452" t="s">
        <v>280</v>
      </c>
    </row>
    <row r="453" spans="1:4" x14ac:dyDescent="0.2">
      <c r="A453" t="s">
        <v>1195</v>
      </c>
      <c r="B453" t="s">
        <v>1196</v>
      </c>
      <c r="C453" t="s">
        <v>1197</v>
      </c>
      <c r="D453" t="s">
        <v>195</v>
      </c>
    </row>
    <row r="454" spans="1:4" x14ac:dyDescent="0.2">
      <c r="A454" t="s">
        <v>1198</v>
      </c>
      <c r="B454" t="s">
        <v>1199</v>
      </c>
      <c r="C454" t="s">
        <v>190</v>
      </c>
      <c r="D454" t="s">
        <v>191</v>
      </c>
    </row>
    <row r="455" spans="1:4" x14ac:dyDescent="0.2">
      <c r="A455" t="s">
        <v>1198</v>
      </c>
      <c r="B455" t="s">
        <v>1200</v>
      </c>
      <c r="C455" t="s">
        <v>190</v>
      </c>
      <c r="D455" t="s">
        <v>191</v>
      </c>
    </row>
    <row r="456" spans="1:4" x14ac:dyDescent="0.2">
      <c r="A456" t="s">
        <v>1201</v>
      </c>
      <c r="B456" t="s">
        <v>1202</v>
      </c>
      <c r="C456" t="s">
        <v>1203</v>
      </c>
      <c r="D456" t="s">
        <v>195</v>
      </c>
    </row>
    <row r="457" spans="1:4" x14ac:dyDescent="0.2">
      <c r="A457" t="s">
        <v>1201</v>
      </c>
      <c r="B457" t="s">
        <v>1204</v>
      </c>
      <c r="C457" t="s">
        <v>1205</v>
      </c>
      <c r="D457" t="s">
        <v>195</v>
      </c>
    </row>
    <row r="458" spans="1:4" x14ac:dyDescent="0.2">
      <c r="A458" t="s">
        <v>1206</v>
      </c>
      <c r="B458" t="s">
        <v>1207</v>
      </c>
      <c r="C458" t="s">
        <v>1208</v>
      </c>
      <c r="D458" t="s">
        <v>195</v>
      </c>
    </row>
    <row r="459" spans="1:4" x14ac:dyDescent="0.2">
      <c r="A459" t="s">
        <v>1209</v>
      </c>
      <c r="B459" t="s">
        <v>1210</v>
      </c>
      <c r="C459" t="s">
        <v>190</v>
      </c>
      <c r="D459" t="s">
        <v>191</v>
      </c>
    </row>
    <row r="460" spans="1:4" x14ac:dyDescent="0.2">
      <c r="A460" t="s">
        <v>1211</v>
      </c>
      <c r="B460" t="s">
        <v>1212</v>
      </c>
      <c r="C460" t="s">
        <v>190</v>
      </c>
      <c r="D460" t="s">
        <v>191</v>
      </c>
    </row>
    <row r="461" spans="1:4" x14ac:dyDescent="0.2">
      <c r="A461" t="s">
        <v>1213</v>
      </c>
      <c r="B461" t="s">
        <v>1214</v>
      </c>
      <c r="C461" t="s">
        <v>190</v>
      </c>
      <c r="D461" t="s">
        <v>191</v>
      </c>
    </row>
    <row r="462" spans="1:4" x14ac:dyDescent="0.2">
      <c r="A462" t="s">
        <v>1215</v>
      </c>
      <c r="B462" t="s">
        <v>1216</v>
      </c>
      <c r="C462" t="s">
        <v>1217</v>
      </c>
      <c r="D462" t="s">
        <v>195</v>
      </c>
    </row>
    <row r="463" spans="1:4" x14ac:dyDescent="0.2">
      <c r="A463" t="s">
        <v>1218</v>
      </c>
      <c r="B463" t="s">
        <v>1219</v>
      </c>
      <c r="C463" t="s">
        <v>190</v>
      </c>
      <c r="D463" t="s">
        <v>191</v>
      </c>
    </row>
    <row r="464" spans="1:4" x14ac:dyDescent="0.2">
      <c r="A464" t="s">
        <v>1220</v>
      </c>
      <c r="B464" t="s">
        <v>1221</v>
      </c>
      <c r="C464" t="s">
        <v>190</v>
      </c>
      <c r="D464" t="s">
        <v>191</v>
      </c>
    </row>
    <row r="465" spans="1:4" x14ac:dyDescent="0.2">
      <c r="A465" t="s">
        <v>1222</v>
      </c>
      <c r="B465" t="s">
        <v>1223</v>
      </c>
      <c r="C465" t="s">
        <v>1224</v>
      </c>
      <c r="D465" t="s">
        <v>195</v>
      </c>
    </row>
    <row r="466" spans="1:4" x14ac:dyDescent="0.2">
      <c r="A466" t="s">
        <v>1225</v>
      </c>
      <c r="B466" t="s">
        <v>1226</v>
      </c>
      <c r="C466" t="s">
        <v>1227</v>
      </c>
      <c r="D466" t="s">
        <v>187</v>
      </c>
    </row>
    <row r="467" spans="1:4" x14ac:dyDescent="0.2">
      <c r="A467" t="s">
        <v>1228</v>
      </c>
      <c r="B467" t="s">
        <v>1229</v>
      </c>
      <c r="C467" t="s">
        <v>190</v>
      </c>
      <c r="D467" t="s">
        <v>191</v>
      </c>
    </row>
    <row r="468" spans="1:4" x14ac:dyDescent="0.2">
      <c r="A468" t="s">
        <v>1230</v>
      </c>
      <c r="B468" t="s">
        <v>1231</v>
      </c>
      <c r="C468" t="s">
        <v>190</v>
      </c>
      <c r="D468" t="s">
        <v>191</v>
      </c>
    </row>
    <row r="469" spans="1:4" x14ac:dyDescent="0.2">
      <c r="A469" t="s">
        <v>1232</v>
      </c>
      <c r="B469" t="s">
        <v>1233</v>
      </c>
      <c r="C469" t="s">
        <v>190</v>
      </c>
      <c r="D469" t="s">
        <v>191</v>
      </c>
    </row>
    <row r="470" spans="1:4" x14ac:dyDescent="0.2">
      <c r="A470" t="s">
        <v>1234</v>
      </c>
      <c r="B470" t="s">
        <v>1235</v>
      </c>
      <c r="C470" t="s">
        <v>1236</v>
      </c>
      <c r="D470" t="s">
        <v>187</v>
      </c>
    </row>
    <row r="471" spans="1:4" x14ac:dyDescent="0.2">
      <c r="A471" t="s">
        <v>1237</v>
      </c>
      <c r="B471" t="s">
        <v>1238</v>
      </c>
      <c r="C471" t="s">
        <v>190</v>
      </c>
      <c r="D471" t="s">
        <v>191</v>
      </c>
    </row>
    <row r="472" spans="1:4" x14ac:dyDescent="0.2">
      <c r="A472" t="s">
        <v>1239</v>
      </c>
      <c r="B472" t="s">
        <v>1240</v>
      </c>
      <c r="C472" t="s">
        <v>1241</v>
      </c>
      <c r="D472" t="s">
        <v>195</v>
      </c>
    </row>
    <row r="473" spans="1:4" x14ac:dyDescent="0.2">
      <c r="A473" t="s">
        <v>1242</v>
      </c>
      <c r="B473" t="s">
        <v>1243</v>
      </c>
      <c r="C473" t="s">
        <v>190</v>
      </c>
      <c r="D473" t="s">
        <v>191</v>
      </c>
    </row>
    <row r="474" spans="1:4" x14ac:dyDescent="0.2">
      <c r="A474" t="s">
        <v>1244</v>
      </c>
      <c r="B474" t="s">
        <v>1245</v>
      </c>
      <c r="C474" t="s">
        <v>1246</v>
      </c>
      <c r="D474" t="s">
        <v>187</v>
      </c>
    </row>
    <row r="475" spans="1:4" x14ac:dyDescent="0.2">
      <c r="A475" t="s">
        <v>1247</v>
      </c>
      <c r="B475" t="s">
        <v>1248</v>
      </c>
      <c r="C475" t="s">
        <v>190</v>
      </c>
      <c r="D475" t="s">
        <v>191</v>
      </c>
    </row>
    <row r="476" spans="1:4" x14ac:dyDescent="0.2">
      <c r="A476" t="s">
        <v>1249</v>
      </c>
      <c r="B476" t="s">
        <v>1250</v>
      </c>
      <c r="C476" t="s">
        <v>1251</v>
      </c>
      <c r="D476" t="s">
        <v>187</v>
      </c>
    </row>
    <row r="477" spans="1:4" x14ac:dyDescent="0.2">
      <c r="A477" t="s">
        <v>1252</v>
      </c>
      <c r="B477" t="s">
        <v>1253</v>
      </c>
      <c r="C477" t="s">
        <v>190</v>
      </c>
      <c r="D477" t="s">
        <v>191</v>
      </c>
    </row>
    <row r="478" spans="1:4" x14ac:dyDescent="0.2">
      <c r="A478" t="s">
        <v>1254</v>
      </c>
      <c r="B478" t="s">
        <v>1255</v>
      </c>
      <c r="C478" t="s">
        <v>190</v>
      </c>
      <c r="D478" t="s">
        <v>191</v>
      </c>
    </row>
    <row r="479" spans="1:4" x14ac:dyDescent="0.2">
      <c r="A479" t="s">
        <v>1256</v>
      </c>
      <c r="B479" t="s">
        <v>1257</v>
      </c>
      <c r="C479" t="s">
        <v>190</v>
      </c>
      <c r="D479" t="s">
        <v>191</v>
      </c>
    </row>
    <row r="480" spans="1:4" x14ac:dyDescent="0.2">
      <c r="A480" t="s">
        <v>1256</v>
      </c>
      <c r="B480" t="s">
        <v>1258</v>
      </c>
      <c r="C480" t="s">
        <v>190</v>
      </c>
      <c r="D480" t="s">
        <v>191</v>
      </c>
    </row>
    <row r="481" spans="1:4" x14ac:dyDescent="0.2">
      <c r="A481" t="s">
        <v>1259</v>
      </c>
      <c r="B481" t="s">
        <v>1258</v>
      </c>
      <c r="C481" t="s">
        <v>190</v>
      </c>
      <c r="D481" t="s">
        <v>1260</v>
      </c>
    </row>
    <row r="482" spans="1:4" x14ac:dyDescent="0.2">
      <c r="A482" t="s">
        <v>1261</v>
      </c>
      <c r="B482" t="s">
        <v>1262</v>
      </c>
      <c r="C482" t="s">
        <v>1263</v>
      </c>
      <c r="D482" t="s">
        <v>187</v>
      </c>
    </row>
    <row r="483" spans="1:4" x14ac:dyDescent="0.2">
      <c r="A483" t="s">
        <v>1264</v>
      </c>
      <c r="B483" t="s">
        <v>1265</v>
      </c>
      <c r="C483" t="s">
        <v>1266</v>
      </c>
      <c r="D483" t="s">
        <v>187</v>
      </c>
    </row>
    <row r="484" spans="1:4" x14ac:dyDescent="0.2">
      <c r="A484" t="s">
        <v>1267</v>
      </c>
      <c r="B484" t="s">
        <v>1268</v>
      </c>
      <c r="C484" t="s">
        <v>190</v>
      </c>
      <c r="D484" t="s">
        <v>191</v>
      </c>
    </row>
    <row r="485" spans="1:4" x14ac:dyDescent="0.2">
      <c r="A485" t="s">
        <v>1269</v>
      </c>
      <c r="B485" t="s">
        <v>1270</v>
      </c>
      <c r="C485" t="s">
        <v>190</v>
      </c>
      <c r="D485" t="s">
        <v>191</v>
      </c>
    </row>
    <row r="486" spans="1:4" x14ac:dyDescent="0.2">
      <c r="A486" t="s">
        <v>1271</v>
      </c>
      <c r="B486" t="s">
        <v>1272</v>
      </c>
      <c r="C486" t="s">
        <v>190</v>
      </c>
      <c r="D486" t="s">
        <v>191</v>
      </c>
    </row>
    <row r="487" spans="1:4" x14ac:dyDescent="0.2">
      <c r="A487" t="s">
        <v>1273</v>
      </c>
      <c r="B487" t="s">
        <v>1274</v>
      </c>
      <c r="C487" t="s">
        <v>190</v>
      </c>
      <c r="D487" t="s">
        <v>191</v>
      </c>
    </row>
    <row r="488" spans="1:4" x14ac:dyDescent="0.2">
      <c r="A488" t="s">
        <v>1275</v>
      </c>
      <c r="B488" t="s">
        <v>1276</v>
      </c>
      <c r="C488" t="s">
        <v>1277</v>
      </c>
      <c r="D488" t="s">
        <v>195</v>
      </c>
    </row>
    <row r="489" spans="1:4" x14ac:dyDescent="0.2">
      <c r="A489" t="s">
        <v>1278</v>
      </c>
      <c r="B489" t="s">
        <v>1279</v>
      </c>
      <c r="C489" t="s">
        <v>1280</v>
      </c>
      <c r="D489" t="s">
        <v>187</v>
      </c>
    </row>
    <row r="490" spans="1:4" x14ac:dyDescent="0.2">
      <c r="A490" t="s">
        <v>1281</v>
      </c>
      <c r="B490" t="s">
        <v>1282</v>
      </c>
      <c r="C490" t="s">
        <v>1283</v>
      </c>
      <c r="D490" t="s">
        <v>187</v>
      </c>
    </row>
    <row r="491" spans="1:4" x14ac:dyDescent="0.2">
      <c r="A491" t="s">
        <v>1284</v>
      </c>
      <c r="B491" t="s">
        <v>1285</v>
      </c>
      <c r="C491" t="s">
        <v>1286</v>
      </c>
      <c r="D491" t="s">
        <v>195</v>
      </c>
    </row>
    <row r="492" spans="1:4" x14ac:dyDescent="0.2">
      <c r="A492" t="s">
        <v>1287</v>
      </c>
      <c r="B492" t="s">
        <v>1288</v>
      </c>
      <c r="C492" t="s">
        <v>190</v>
      </c>
      <c r="D492" t="s">
        <v>191</v>
      </c>
    </row>
    <row r="493" spans="1:4" x14ac:dyDescent="0.2">
      <c r="A493" t="s">
        <v>1289</v>
      </c>
      <c r="B493" t="s">
        <v>1290</v>
      </c>
      <c r="C493" t="s">
        <v>190</v>
      </c>
      <c r="D493" t="s">
        <v>191</v>
      </c>
    </row>
    <row r="494" spans="1:4" x14ac:dyDescent="0.2">
      <c r="A494" t="s">
        <v>1291</v>
      </c>
      <c r="B494" t="s">
        <v>1292</v>
      </c>
      <c r="C494" t="s">
        <v>190</v>
      </c>
      <c r="D494" t="s">
        <v>191</v>
      </c>
    </row>
    <row r="495" spans="1:4" x14ac:dyDescent="0.2">
      <c r="A495" t="s">
        <v>1293</v>
      </c>
      <c r="B495" t="s">
        <v>1294</v>
      </c>
      <c r="C495" t="s">
        <v>1295</v>
      </c>
      <c r="D495" t="s">
        <v>187</v>
      </c>
    </row>
    <row r="496" spans="1:4" x14ac:dyDescent="0.2">
      <c r="A496" t="s">
        <v>1296</v>
      </c>
      <c r="B496" t="s">
        <v>1297</v>
      </c>
      <c r="C496" t="s">
        <v>190</v>
      </c>
      <c r="D496" t="s">
        <v>191</v>
      </c>
    </row>
    <row r="497" spans="1:4" x14ac:dyDescent="0.2">
      <c r="A497" t="s">
        <v>1298</v>
      </c>
      <c r="B497" t="s">
        <v>1299</v>
      </c>
      <c r="C497" t="s">
        <v>1300</v>
      </c>
      <c r="D497" t="s">
        <v>187</v>
      </c>
    </row>
    <row r="498" spans="1:4" x14ac:dyDescent="0.2">
      <c r="A498" t="s">
        <v>1301</v>
      </c>
      <c r="B498" t="s">
        <v>1302</v>
      </c>
      <c r="C498" t="s">
        <v>190</v>
      </c>
      <c r="D498" t="s">
        <v>191</v>
      </c>
    </row>
    <row r="499" spans="1:4" x14ac:dyDescent="0.2">
      <c r="A499" t="s">
        <v>1303</v>
      </c>
      <c r="B499" t="s">
        <v>1304</v>
      </c>
      <c r="C499" t="s">
        <v>190</v>
      </c>
      <c r="D499" t="s">
        <v>191</v>
      </c>
    </row>
    <row r="500" spans="1:4" x14ac:dyDescent="0.2">
      <c r="A500" t="s">
        <v>1303</v>
      </c>
      <c r="B500" t="s">
        <v>1305</v>
      </c>
      <c r="C500" t="s">
        <v>190</v>
      </c>
      <c r="D500" t="s">
        <v>191</v>
      </c>
    </row>
    <row r="501" spans="1:4" x14ac:dyDescent="0.2">
      <c r="A501" t="s">
        <v>1306</v>
      </c>
      <c r="B501" t="s">
        <v>1307</v>
      </c>
      <c r="C501" t="s">
        <v>190</v>
      </c>
      <c r="D501" t="s">
        <v>191</v>
      </c>
    </row>
    <row r="502" spans="1:4" x14ac:dyDescent="0.2">
      <c r="A502" t="s">
        <v>1308</v>
      </c>
      <c r="B502" t="s">
        <v>1309</v>
      </c>
      <c r="C502" t="s">
        <v>190</v>
      </c>
      <c r="D502" t="s">
        <v>191</v>
      </c>
    </row>
    <row r="503" spans="1:4" x14ac:dyDescent="0.2">
      <c r="A503" t="s">
        <v>1310</v>
      </c>
      <c r="B503" t="s">
        <v>1311</v>
      </c>
      <c r="C503" t="s">
        <v>1312</v>
      </c>
      <c r="D503" t="s">
        <v>195</v>
      </c>
    </row>
    <row r="504" spans="1:4" x14ac:dyDescent="0.2">
      <c r="A504" t="s">
        <v>1313</v>
      </c>
      <c r="B504" t="s">
        <v>1314</v>
      </c>
      <c r="C504" t="s">
        <v>190</v>
      </c>
      <c r="D504" t="s">
        <v>191</v>
      </c>
    </row>
    <row r="505" spans="1:4" x14ac:dyDescent="0.2">
      <c r="A505" t="s">
        <v>1315</v>
      </c>
      <c r="B505" t="s">
        <v>1316</v>
      </c>
      <c r="C505" t="s">
        <v>1317</v>
      </c>
      <c r="D505" t="s">
        <v>195</v>
      </c>
    </row>
    <row r="506" spans="1:4" x14ac:dyDescent="0.2">
      <c r="A506" t="s">
        <v>1318</v>
      </c>
      <c r="B506" t="s">
        <v>1319</v>
      </c>
      <c r="C506" t="s">
        <v>1320</v>
      </c>
      <c r="D506" t="s">
        <v>195</v>
      </c>
    </row>
    <row r="507" spans="1:4" x14ac:dyDescent="0.2">
      <c r="A507" t="s">
        <v>1321</v>
      </c>
      <c r="B507" t="s">
        <v>1322</v>
      </c>
      <c r="C507" t="s">
        <v>190</v>
      </c>
      <c r="D507" t="s">
        <v>191</v>
      </c>
    </row>
    <row r="508" spans="1:4" x14ac:dyDescent="0.2">
      <c r="A508" t="s">
        <v>1323</v>
      </c>
      <c r="B508" t="s">
        <v>1324</v>
      </c>
      <c r="C508" t="s">
        <v>190</v>
      </c>
      <c r="D508" t="s">
        <v>191</v>
      </c>
    </row>
    <row r="509" spans="1:4" x14ac:dyDescent="0.2">
      <c r="A509" t="s">
        <v>1325</v>
      </c>
      <c r="B509" t="s">
        <v>1326</v>
      </c>
      <c r="C509" t="s">
        <v>1327</v>
      </c>
      <c r="D509" t="s">
        <v>187</v>
      </c>
    </row>
    <row r="510" spans="1:4" x14ac:dyDescent="0.2">
      <c r="A510" t="s">
        <v>1328</v>
      </c>
      <c r="B510" t="s">
        <v>1329</v>
      </c>
      <c r="C510" t="s">
        <v>190</v>
      </c>
      <c r="D510" t="s">
        <v>191</v>
      </c>
    </row>
    <row r="511" spans="1:4" x14ac:dyDescent="0.2">
      <c r="A511" t="s">
        <v>1330</v>
      </c>
      <c r="B511" t="s">
        <v>1331</v>
      </c>
      <c r="C511" t="s">
        <v>1332</v>
      </c>
      <c r="D511" t="s">
        <v>187</v>
      </c>
    </row>
    <row r="512" spans="1:4" x14ac:dyDescent="0.2">
      <c r="A512" t="s">
        <v>1333</v>
      </c>
      <c r="B512" t="s">
        <v>1334</v>
      </c>
      <c r="C512" t="s">
        <v>1335</v>
      </c>
      <c r="D512" t="s">
        <v>187</v>
      </c>
    </row>
    <row r="513" spans="1:4" x14ac:dyDescent="0.2">
      <c r="A513" t="s">
        <v>1336</v>
      </c>
      <c r="B513" t="s">
        <v>1337</v>
      </c>
      <c r="C513" t="s">
        <v>190</v>
      </c>
      <c r="D513" t="s">
        <v>191</v>
      </c>
    </row>
    <row r="514" spans="1:4" x14ac:dyDescent="0.2">
      <c r="A514" t="s">
        <v>1338</v>
      </c>
      <c r="B514" t="s">
        <v>1339</v>
      </c>
      <c r="C514" t="s">
        <v>1340</v>
      </c>
      <c r="D514" t="s">
        <v>195</v>
      </c>
    </row>
    <row r="515" spans="1:4" x14ac:dyDescent="0.2">
      <c r="A515" t="s">
        <v>1341</v>
      </c>
      <c r="B515" t="s">
        <v>1342</v>
      </c>
      <c r="C515" t="s">
        <v>190</v>
      </c>
      <c r="D515" t="s">
        <v>1343</v>
      </c>
    </row>
    <row r="516" spans="1:4" x14ac:dyDescent="0.2">
      <c r="A516" t="s">
        <v>1344</v>
      </c>
      <c r="B516" t="s">
        <v>1345</v>
      </c>
      <c r="C516" t="s">
        <v>190</v>
      </c>
      <c r="D516" t="s">
        <v>191</v>
      </c>
    </row>
    <row r="517" spans="1:4" x14ac:dyDescent="0.2">
      <c r="A517" t="s">
        <v>1346</v>
      </c>
      <c r="B517" t="s">
        <v>1347</v>
      </c>
      <c r="C517" t="s">
        <v>1348</v>
      </c>
      <c r="D517" t="s">
        <v>195</v>
      </c>
    </row>
    <row r="518" spans="1:4" x14ac:dyDescent="0.2">
      <c r="A518" t="s">
        <v>1349</v>
      </c>
      <c r="B518" t="s">
        <v>1350</v>
      </c>
      <c r="C518" t="s">
        <v>1351</v>
      </c>
      <c r="D518" t="s">
        <v>187</v>
      </c>
    </row>
    <row r="519" spans="1:4" x14ac:dyDescent="0.2">
      <c r="A519" t="s">
        <v>1352</v>
      </c>
      <c r="B519" t="s">
        <v>1353</v>
      </c>
      <c r="C519" t="s">
        <v>1354</v>
      </c>
      <c r="D519" t="s">
        <v>195</v>
      </c>
    </row>
    <row r="520" spans="1:4" x14ac:dyDescent="0.2">
      <c r="A520" t="s">
        <v>1355</v>
      </c>
      <c r="B520" t="s">
        <v>1356</v>
      </c>
      <c r="C520" t="s">
        <v>1357</v>
      </c>
      <c r="D520" t="s">
        <v>187</v>
      </c>
    </row>
    <row r="521" spans="1:4" x14ac:dyDescent="0.2">
      <c r="A521" t="s">
        <v>1358</v>
      </c>
      <c r="B521" t="s">
        <v>1359</v>
      </c>
      <c r="C521" t="s">
        <v>190</v>
      </c>
      <c r="D521" t="s">
        <v>191</v>
      </c>
    </row>
    <row r="522" spans="1:4" x14ac:dyDescent="0.2">
      <c r="A522" t="s">
        <v>1360</v>
      </c>
      <c r="B522" t="s">
        <v>1361</v>
      </c>
      <c r="C522" t="s">
        <v>1362</v>
      </c>
      <c r="D522" t="s">
        <v>195</v>
      </c>
    </row>
    <row r="523" spans="1:4" x14ac:dyDescent="0.2">
      <c r="A523" t="s">
        <v>1363</v>
      </c>
      <c r="B523" t="s">
        <v>1364</v>
      </c>
      <c r="C523" t="s">
        <v>1365</v>
      </c>
      <c r="D523" t="s">
        <v>187</v>
      </c>
    </row>
    <row r="524" spans="1:4" x14ac:dyDescent="0.2">
      <c r="A524" t="s">
        <v>1366</v>
      </c>
      <c r="B524" t="s">
        <v>1367</v>
      </c>
      <c r="C524" t="s">
        <v>190</v>
      </c>
      <c r="D524" t="s">
        <v>191</v>
      </c>
    </row>
    <row r="525" spans="1:4" x14ac:dyDescent="0.2">
      <c r="A525" t="s">
        <v>1368</v>
      </c>
      <c r="B525" t="s">
        <v>1369</v>
      </c>
      <c r="C525" t="s">
        <v>1370</v>
      </c>
      <c r="D525" t="s">
        <v>195</v>
      </c>
    </row>
    <row r="526" spans="1:4" x14ac:dyDescent="0.2">
      <c r="A526" t="s">
        <v>1371</v>
      </c>
      <c r="B526" t="s">
        <v>1372</v>
      </c>
      <c r="C526" t="s">
        <v>1373</v>
      </c>
      <c r="D526" t="s">
        <v>195</v>
      </c>
    </row>
    <row r="527" spans="1:4" x14ac:dyDescent="0.2">
      <c r="A527" t="s">
        <v>1374</v>
      </c>
      <c r="B527" t="s">
        <v>1375</v>
      </c>
      <c r="C527" t="s">
        <v>1376</v>
      </c>
      <c r="D527" t="s">
        <v>195</v>
      </c>
    </row>
    <row r="528" spans="1:4" x14ac:dyDescent="0.2">
      <c r="A528" t="s">
        <v>1377</v>
      </c>
      <c r="B528" t="s">
        <v>1378</v>
      </c>
      <c r="C528" t="s">
        <v>1379</v>
      </c>
      <c r="D528" t="s">
        <v>195</v>
      </c>
    </row>
    <row r="529" spans="1:4" x14ac:dyDescent="0.2">
      <c r="A529" t="s">
        <v>1380</v>
      </c>
      <c r="B529" t="s">
        <v>1381</v>
      </c>
      <c r="C529" t="s">
        <v>1382</v>
      </c>
      <c r="D529" t="s">
        <v>195</v>
      </c>
    </row>
    <row r="530" spans="1:4" x14ac:dyDescent="0.2">
      <c r="A530" t="s">
        <v>1383</v>
      </c>
      <c r="B530" t="s">
        <v>1384</v>
      </c>
      <c r="C530" t="s">
        <v>190</v>
      </c>
      <c r="D530" t="s">
        <v>191</v>
      </c>
    </row>
    <row r="531" spans="1:4" x14ac:dyDescent="0.2">
      <c r="A531" t="s">
        <v>1385</v>
      </c>
      <c r="B531" t="s">
        <v>1386</v>
      </c>
      <c r="C531" t="s">
        <v>1387</v>
      </c>
      <c r="D531" t="s">
        <v>195</v>
      </c>
    </row>
    <row r="532" spans="1:4" x14ac:dyDescent="0.2">
      <c r="A532" t="s">
        <v>1388</v>
      </c>
      <c r="B532" t="s">
        <v>1389</v>
      </c>
      <c r="C532" t="s">
        <v>190</v>
      </c>
      <c r="D532" t="s">
        <v>191</v>
      </c>
    </row>
    <row r="533" spans="1:4" x14ac:dyDescent="0.2">
      <c r="A533" t="s">
        <v>1390</v>
      </c>
      <c r="B533" t="s">
        <v>1391</v>
      </c>
      <c r="C533" t="s">
        <v>190</v>
      </c>
      <c r="D533" t="s">
        <v>191</v>
      </c>
    </row>
    <row r="534" spans="1:4" x14ac:dyDescent="0.2">
      <c r="A534" t="s">
        <v>1392</v>
      </c>
      <c r="B534" t="s">
        <v>1393</v>
      </c>
      <c r="C534" t="s">
        <v>190</v>
      </c>
      <c r="D534" t="s">
        <v>191</v>
      </c>
    </row>
    <row r="535" spans="1:4" x14ac:dyDescent="0.2">
      <c r="A535" t="s">
        <v>1394</v>
      </c>
      <c r="B535" t="s">
        <v>1395</v>
      </c>
      <c r="C535" t="s">
        <v>190</v>
      </c>
      <c r="D535" t="s">
        <v>191</v>
      </c>
    </row>
    <row r="536" spans="1:4" x14ac:dyDescent="0.2">
      <c r="A536" t="s">
        <v>1396</v>
      </c>
      <c r="B536" t="s">
        <v>1397</v>
      </c>
      <c r="C536" t="s">
        <v>190</v>
      </c>
      <c r="D536" t="s">
        <v>191</v>
      </c>
    </row>
    <row r="537" spans="1:4" x14ac:dyDescent="0.2">
      <c r="A537" t="s">
        <v>1398</v>
      </c>
      <c r="B537" t="s">
        <v>1399</v>
      </c>
      <c r="C537" t="s">
        <v>190</v>
      </c>
      <c r="D537" t="s">
        <v>191</v>
      </c>
    </row>
    <row r="538" spans="1:4" x14ac:dyDescent="0.2">
      <c r="A538" t="s">
        <v>1400</v>
      </c>
      <c r="B538" t="s">
        <v>1401</v>
      </c>
      <c r="C538" t="s">
        <v>190</v>
      </c>
      <c r="D538" t="s">
        <v>191</v>
      </c>
    </row>
    <row r="539" spans="1:4" x14ac:dyDescent="0.2">
      <c r="A539" t="s">
        <v>1402</v>
      </c>
      <c r="B539" t="s">
        <v>1403</v>
      </c>
      <c r="C539" t="s">
        <v>190</v>
      </c>
      <c r="D539" t="s">
        <v>191</v>
      </c>
    </row>
    <row r="540" spans="1:4" x14ac:dyDescent="0.2">
      <c r="A540" t="s">
        <v>1404</v>
      </c>
      <c r="B540" t="s">
        <v>1405</v>
      </c>
      <c r="C540" t="s">
        <v>190</v>
      </c>
      <c r="D540" t="s">
        <v>191</v>
      </c>
    </row>
    <row r="541" spans="1:4" x14ac:dyDescent="0.2">
      <c r="A541" t="s">
        <v>1406</v>
      </c>
      <c r="B541" t="s">
        <v>1407</v>
      </c>
      <c r="C541" t="s">
        <v>190</v>
      </c>
      <c r="D541" t="s">
        <v>191</v>
      </c>
    </row>
    <row r="542" spans="1:4" x14ac:dyDescent="0.2">
      <c r="A542" t="s">
        <v>1408</v>
      </c>
      <c r="B542" t="s">
        <v>1409</v>
      </c>
      <c r="C542" t="s">
        <v>1410</v>
      </c>
      <c r="D542" t="s">
        <v>195</v>
      </c>
    </row>
    <row r="543" spans="1:4" x14ac:dyDescent="0.2">
      <c r="A543" t="s">
        <v>1411</v>
      </c>
      <c r="B543" t="s">
        <v>1412</v>
      </c>
      <c r="C543" t="s">
        <v>1413</v>
      </c>
      <c r="D543" t="s">
        <v>187</v>
      </c>
    </row>
    <row r="544" spans="1:4" x14ac:dyDescent="0.2">
      <c r="A544" t="s">
        <v>1414</v>
      </c>
      <c r="B544" t="s">
        <v>1415</v>
      </c>
      <c r="C544" t="s">
        <v>190</v>
      </c>
      <c r="D544" t="s">
        <v>191</v>
      </c>
    </row>
    <row r="545" spans="1:4" x14ac:dyDescent="0.2">
      <c r="A545" t="s">
        <v>1416</v>
      </c>
      <c r="B545" t="s">
        <v>1417</v>
      </c>
      <c r="C545" t="s">
        <v>190</v>
      </c>
      <c r="D545" t="s">
        <v>191</v>
      </c>
    </row>
    <row r="546" spans="1:4" x14ac:dyDescent="0.2">
      <c r="A546" t="s">
        <v>1418</v>
      </c>
      <c r="B546" t="s">
        <v>1419</v>
      </c>
      <c r="C546" t="s">
        <v>1420</v>
      </c>
      <c r="D546" t="s">
        <v>195</v>
      </c>
    </row>
    <row r="547" spans="1:4" x14ac:dyDescent="0.2">
      <c r="A547" t="s">
        <v>1421</v>
      </c>
      <c r="B547" t="s">
        <v>1422</v>
      </c>
      <c r="C547" t="s">
        <v>190</v>
      </c>
      <c r="D547" t="s">
        <v>191</v>
      </c>
    </row>
    <row r="548" spans="1:4" x14ac:dyDescent="0.2">
      <c r="A548" t="s">
        <v>1423</v>
      </c>
      <c r="B548" t="s">
        <v>1424</v>
      </c>
      <c r="C548" t="s">
        <v>1425</v>
      </c>
      <c r="D548" t="s">
        <v>195</v>
      </c>
    </row>
    <row r="549" spans="1:4" x14ac:dyDescent="0.2">
      <c r="A549" t="s">
        <v>1426</v>
      </c>
      <c r="B549" t="s">
        <v>1427</v>
      </c>
      <c r="C549" t="s">
        <v>190</v>
      </c>
      <c r="D549" t="s">
        <v>191</v>
      </c>
    </row>
    <row r="550" spans="1:4" x14ac:dyDescent="0.2">
      <c r="A550" t="s">
        <v>1428</v>
      </c>
      <c r="B550" t="s">
        <v>1429</v>
      </c>
      <c r="C550" t="s">
        <v>190</v>
      </c>
      <c r="D550" t="s">
        <v>191</v>
      </c>
    </row>
    <row r="551" spans="1:4" x14ac:dyDescent="0.2">
      <c r="A551" t="s">
        <v>1430</v>
      </c>
      <c r="B551" t="s">
        <v>1431</v>
      </c>
      <c r="C551" t="s">
        <v>1432</v>
      </c>
      <c r="D551" t="s">
        <v>187</v>
      </c>
    </row>
    <row r="552" spans="1:4" x14ac:dyDescent="0.2">
      <c r="A552" t="s">
        <v>1433</v>
      </c>
      <c r="B552" t="s">
        <v>1434</v>
      </c>
      <c r="C552" t="s">
        <v>190</v>
      </c>
      <c r="D552" t="s">
        <v>191</v>
      </c>
    </row>
    <row r="553" spans="1:4" x14ac:dyDescent="0.2">
      <c r="A553" t="s">
        <v>1435</v>
      </c>
      <c r="B553" t="s">
        <v>1436</v>
      </c>
      <c r="C553" t="s">
        <v>1437</v>
      </c>
      <c r="D553" t="s">
        <v>195</v>
      </c>
    </row>
    <row r="554" spans="1:4" x14ac:dyDescent="0.2">
      <c r="A554" t="s">
        <v>1438</v>
      </c>
      <c r="B554" t="s">
        <v>1439</v>
      </c>
      <c r="C554" t="s">
        <v>1440</v>
      </c>
      <c r="D554" t="s">
        <v>195</v>
      </c>
    </row>
    <row r="555" spans="1:4" x14ac:dyDescent="0.2">
      <c r="A555" t="s">
        <v>1441</v>
      </c>
      <c r="B555" t="s">
        <v>1442</v>
      </c>
      <c r="C555" t="s">
        <v>190</v>
      </c>
      <c r="D555" t="s">
        <v>280</v>
      </c>
    </row>
    <row r="556" spans="1:4" x14ac:dyDescent="0.2">
      <c r="A556" t="s">
        <v>1443</v>
      </c>
      <c r="B556" t="s">
        <v>1444</v>
      </c>
      <c r="C556" t="s">
        <v>1445</v>
      </c>
      <c r="D556" t="s">
        <v>187</v>
      </c>
    </row>
    <row r="557" spans="1:4" x14ac:dyDescent="0.2">
      <c r="A557" t="s">
        <v>1446</v>
      </c>
      <c r="B557" t="s">
        <v>1447</v>
      </c>
      <c r="C557" t="s">
        <v>1448</v>
      </c>
      <c r="D557" t="s">
        <v>187</v>
      </c>
    </row>
    <row r="558" spans="1:4" x14ac:dyDescent="0.2">
      <c r="A558" t="s">
        <v>1449</v>
      </c>
      <c r="B558" t="s">
        <v>1450</v>
      </c>
      <c r="C558" t="s">
        <v>1451</v>
      </c>
      <c r="D558" t="s">
        <v>187</v>
      </c>
    </row>
    <row r="559" spans="1:4" x14ac:dyDescent="0.2">
      <c r="A559" t="s">
        <v>1452</v>
      </c>
      <c r="B559" t="s">
        <v>1453</v>
      </c>
      <c r="C559" t="s">
        <v>1454</v>
      </c>
      <c r="D559" t="s">
        <v>195</v>
      </c>
    </row>
    <row r="560" spans="1:4" x14ac:dyDescent="0.2">
      <c r="A560" t="s">
        <v>1455</v>
      </c>
      <c r="B560" t="s">
        <v>1456</v>
      </c>
      <c r="C560" t="s">
        <v>1457</v>
      </c>
      <c r="D560" t="s">
        <v>195</v>
      </c>
    </row>
    <row r="561" spans="1:4" x14ac:dyDescent="0.2">
      <c r="A561" t="s">
        <v>1458</v>
      </c>
      <c r="B561" t="s">
        <v>1459</v>
      </c>
      <c r="C561" t="s">
        <v>1460</v>
      </c>
      <c r="D561" t="s">
        <v>187</v>
      </c>
    </row>
    <row r="562" spans="1:4" x14ac:dyDescent="0.2">
      <c r="A562" t="s">
        <v>1461</v>
      </c>
      <c r="B562" t="s">
        <v>1462</v>
      </c>
      <c r="C562" t="s">
        <v>1463</v>
      </c>
      <c r="D562" t="s">
        <v>195</v>
      </c>
    </row>
    <row r="563" spans="1:4" x14ac:dyDescent="0.2">
      <c r="A563" t="s">
        <v>1464</v>
      </c>
      <c r="B563" t="s">
        <v>1465</v>
      </c>
      <c r="C563" t="s">
        <v>190</v>
      </c>
      <c r="D563" t="s">
        <v>191</v>
      </c>
    </row>
    <row r="564" spans="1:4" x14ac:dyDescent="0.2">
      <c r="A564" t="s">
        <v>1466</v>
      </c>
      <c r="B564" t="s">
        <v>1467</v>
      </c>
      <c r="C564" t="s">
        <v>190</v>
      </c>
      <c r="D564" t="s">
        <v>191</v>
      </c>
    </row>
    <row r="565" spans="1:4" x14ac:dyDescent="0.2">
      <c r="A565" t="s">
        <v>1468</v>
      </c>
      <c r="B565" t="s">
        <v>1469</v>
      </c>
      <c r="C565" t="s">
        <v>1470</v>
      </c>
      <c r="D565" t="s">
        <v>187</v>
      </c>
    </row>
    <row r="566" spans="1:4" x14ac:dyDescent="0.2">
      <c r="A566" t="s">
        <v>1471</v>
      </c>
      <c r="B566" t="s">
        <v>1472</v>
      </c>
      <c r="C566" t="s">
        <v>190</v>
      </c>
      <c r="D566" t="s">
        <v>191</v>
      </c>
    </row>
    <row r="567" spans="1:4" x14ac:dyDescent="0.2">
      <c r="A567" t="s">
        <v>1473</v>
      </c>
      <c r="B567" t="s">
        <v>1474</v>
      </c>
      <c r="C567" t="s">
        <v>1475</v>
      </c>
      <c r="D567" t="s">
        <v>195</v>
      </c>
    </row>
    <row r="568" spans="1:4" x14ac:dyDescent="0.2">
      <c r="A568" t="s">
        <v>1476</v>
      </c>
      <c r="B568" t="s">
        <v>1477</v>
      </c>
      <c r="C568" t="s">
        <v>190</v>
      </c>
      <c r="D568" t="s">
        <v>191</v>
      </c>
    </row>
    <row r="569" spans="1:4" x14ac:dyDescent="0.2">
      <c r="A569" t="s">
        <v>1478</v>
      </c>
      <c r="B569" t="s">
        <v>1479</v>
      </c>
      <c r="C569" t="s">
        <v>190</v>
      </c>
      <c r="D569" t="s">
        <v>1480</v>
      </c>
    </row>
    <row r="570" spans="1:4" x14ac:dyDescent="0.2">
      <c r="A570" t="s">
        <v>1478</v>
      </c>
      <c r="B570" t="s">
        <v>1481</v>
      </c>
      <c r="C570" t="s">
        <v>190</v>
      </c>
      <c r="D570" t="s">
        <v>191</v>
      </c>
    </row>
    <row r="571" spans="1:4" x14ac:dyDescent="0.2">
      <c r="A571" t="s">
        <v>1482</v>
      </c>
      <c r="B571" t="s">
        <v>1483</v>
      </c>
      <c r="C571" t="s">
        <v>1484</v>
      </c>
      <c r="D571" t="s">
        <v>195</v>
      </c>
    </row>
    <row r="572" spans="1:4" x14ac:dyDescent="0.2">
      <c r="A572" t="s">
        <v>1485</v>
      </c>
      <c r="B572" t="s">
        <v>1486</v>
      </c>
      <c r="C572" t="s">
        <v>1487</v>
      </c>
      <c r="D572" t="s">
        <v>195</v>
      </c>
    </row>
    <row r="573" spans="1:4" x14ac:dyDescent="0.2">
      <c r="A573" t="s">
        <v>1488</v>
      </c>
      <c r="B573" t="s">
        <v>1489</v>
      </c>
      <c r="C573" t="s">
        <v>190</v>
      </c>
      <c r="D573" t="s">
        <v>191</v>
      </c>
    </row>
    <row r="574" spans="1:4" x14ac:dyDescent="0.2">
      <c r="A574" t="s">
        <v>1490</v>
      </c>
      <c r="B574" t="s">
        <v>1491</v>
      </c>
      <c r="C574" t="s">
        <v>1492</v>
      </c>
      <c r="D574" t="s">
        <v>195</v>
      </c>
    </row>
    <row r="575" spans="1:4" x14ac:dyDescent="0.2">
      <c r="A575" t="s">
        <v>1493</v>
      </c>
      <c r="B575" t="s">
        <v>1494</v>
      </c>
      <c r="C575" t="s">
        <v>190</v>
      </c>
      <c r="D575" t="s">
        <v>191</v>
      </c>
    </row>
    <row r="576" spans="1:4" x14ac:dyDescent="0.2">
      <c r="A576" t="s">
        <v>1495</v>
      </c>
      <c r="B576" t="s">
        <v>1496</v>
      </c>
      <c r="C576" t="s">
        <v>1497</v>
      </c>
      <c r="D576" t="s">
        <v>195</v>
      </c>
    </row>
    <row r="577" spans="1:4" x14ac:dyDescent="0.2">
      <c r="A577" t="s">
        <v>1498</v>
      </c>
      <c r="B577" t="s">
        <v>1499</v>
      </c>
      <c r="C577" t="s">
        <v>1500</v>
      </c>
      <c r="D577" t="s">
        <v>195</v>
      </c>
    </row>
    <row r="578" spans="1:4" x14ac:dyDescent="0.2">
      <c r="A578" t="s">
        <v>1501</v>
      </c>
      <c r="B578" t="s">
        <v>1502</v>
      </c>
      <c r="C578" t="s">
        <v>190</v>
      </c>
      <c r="D578" t="s">
        <v>1503</v>
      </c>
    </row>
    <row r="579" spans="1:4" x14ac:dyDescent="0.2">
      <c r="A579" t="s">
        <v>1501</v>
      </c>
      <c r="B579" t="s">
        <v>1504</v>
      </c>
      <c r="C579" t="s">
        <v>190</v>
      </c>
      <c r="D579" t="s">
        <v>191</v>
      </c>
    </row>
    <row r="580" spans="1:4" x14ac:dyDescent="0.2">
      <c r="A580" t="s">
        <v>1505</v>
      </c>
      <c r="B580" t="s">
        <v>1506</v>
      </c>
      <c r="C580" t="s">
        <v>190</v>
      </c>
      <c r="D580" t="s">
        <v>1507</v>
      </c>
    </row>
    <row r="581" spans="1:4" x14ac:dyDescent="0.2">
      <c r="A581" t="s">
        <v>1505</v>
      </c>
      <c r="B581" t="s">
        <v>1502</v>
      </c>
      <c r="C581" t="s">
        <v>190</v>
      </c>
      <c r="D581" t="s">
        <v>191</v>
      </c>
    </row>
    <row r="582" spans="1:4" x14ac:dyDescent="0.2">
      <c r="A582" t="s">
        <v>1508</v>
      </c>
      <c r="B582" t="s">
        <v>1509</v>
      </c>
      <c r="C582" t="s">
        <v>190</v>
      </c>
      <c r="D582" t="s">
        <v>191</v>
      </c>
    </row>
    <row r="583" spans="1:4" x14ac:dyDescent="0.2">
      <c r="A583" t="s">
        <v>1508</v>
      </c>
      <c r="B583" t="s">
        <v>1510</v>
      </c>
      <c r="C583" t="s">
        <v>190</v>
      </c>
      <c r="D583" t="s">
        <v>191</v>
      </c>
    </row>
    <row r="584" spans="1:4" x14ac:dyDescent="0.2">
      <c r="A584" t="s">
        <v>1511</v>
      </c>
      <c r="B584" t="s">
        <v>1512</v>
      </c>
      <c r="C584" t="s">
        <v>1513</v>
      </c>
      <c r="D584" t="s">
        <v>195</v>
      </c>
    </row>
    <row r="585" spans="1:4" x14ac:dyDescent="0.2">
      <c r="A585" t="s">
        <v>1511</v>
      </c>
      <c r="B585" t="s">
        <v>1514</v>
      </c>
      <c r="C585" t="s">
        <v>1515</v>
      </c>
      <c r="D585" t="s">
        <v>195</v>
      </c>
    </row>
    <row r="586" spans="1:4" x14ac:dyDescent="0.2">
      <c r="A586" t="s">
        <v>1516</v>
      </c>
      <c r="B586" t="s">
        <v>1517</v>
      </c>
      <c r="C586" t="s">
        <v>1518</v>
      </c>
      <c r="D586" t="s">
        <v>195</v>
      </c>
    </row>
    <row r="587" spans="1:4" x14ac:dyDescent="0.2">
      <c r="A587" t="s">
        <v>1519</v>
      </c>
      <c r="B587" t="s">
        <v>1520</v>
      </c>
      <c r="C587" t="s">
        <v>1521</v>
      </c>
      <c r="D587" t="s">
        <v>195</v>
      </c>
    </row>
    <row r="588" spans="1:4" x14ac:dyDescent="0.2">
      <c r="A588" t="s">
        <v>1519</v>
      </c>
      <c r="B588" t="s">
        <v>1522</v>
      </c>
      <c r="C588" t="s">
        <v>1523</v>
      </c>
      <c r="D588" t="s">
        <v>195</v>
      </c>
    </row>
    <row r="589" spans="1:4" x14ac:dyDescent="0.2">
      <c r="A589" t="s">
        <v>1524</v>
      </c>
      <c r="B589" t="s">
        <v>1525</v>
      </c>
      <c r="C589" t="s">
        <v>190</v>
      </c>
      <c r="D589" t="s">
        <v>191</v>
      </c>
    </row>
    <row r="590" spans="1:4" x14ac:dyDescent="0.2">
      <c r="A590" t="s">
        <v>1524</v>
      </c>
      <c r="B590" t="s">
        <v>1526</v>
      </c>
      <c r="C590" t="s">
        <v>190</v>
      </c>
      <c r="D590" t="s">
        <v>1527</v>
      </c>
    </row>
    <row r="591" spans="1:4" x14ac:dyDescent="0.2">
      <c r="A591" t="s">
        <v>1528</v>
      </c>
      <c r="B591" t="s">
        <v>1529</v>
      </c>
      <c r="C591" t="s">
        <v>1530</v>
      </c>
      <c r="D591" t="s">
        <v>187</v>
      </c>
    </row>
    <row r="592" spans="1:4" x14ac:dyDescent="0.2">
      <c r="A592" t="s">
        <v>1528</v>
      </c>
      <c r="B592" t="s">
        <v>1531</v>
      </c>
      <c r="C592" t="s">
        <v>1532</v>
      </c>
      <c r="D592" t="s">
        <v>187</v>
      </c>
    </row>
    <row r="593" spans="1:4" x14ac:dyDescent="0.2">
      <c r="A593" t="s">
        <v>1528</v>
      </c>
      <c r="B593" t="s">
        <v>1533</v>
      </c>
      <c r="C593" t="s">
        <v>190</v>
      </c>
      <c r="D593" t="s">
        <v>191</v>
      </c>
    </row>
    <row r="594" spans="1:4" x14ac:dyDescent="0.2">
      <c r="A594" t="s">
        <v>1534</v>
      </c>
      <c r="B594" t="s">
        <v>1535</v>
      </c>
      <c r="C594" t="s">
        <v>190</v>
      </c>
      <c r="D594" t="s">
        <v>191</v>
      </c>
    </row>
    <row r="595" spans="1:4" x14ac:dyDescent="0.2">
      <c r="A595" t="s">
        <v>1536</v>
      </c>
      <c r="B595" t="s">
        <v>1537</v>
      </c>
      <c r="C595" t="s">
        <v>190</v>
      </c>
      <c r="D595" t="s">
        <v>280</v>
      </c>
    </row>
    <row r="596" spans="1:4" x14ac:dyDescent="0.2">
      <c r="A596" t="s">
        <v>1538</v>
      </c>
      <c r="B596" t="s">
        <v>1539</v>
      </c>
      <c r="C596" t="s">
        <v>190</v>
      </c>
      <c r="D596" t="s">
        <v>191</v>
      </c>
    </row>
    <row r="597" spans="1:4" x14ac:dyDescent="0.2">
      <c r="A597" t="s">
        <v>1540</v>
      </c>
      <c r="B597" t="s">
        <v>1541</v>
      </c>
      <c r="C597" t="s">
        <v>190</v>
      </c>
      <c r="D597" t="s">
        <v>191</v>
      </c>
    </row>
    <row r="598" spans="1:4" x14ac:dyDescent="0.2">
      <c r="A598" t="s">
        <v>1542</v>
      </c>
      <c r="B598" t="s">
        <v>1543</v>
      </c>
      <c r="C598" t="s">
        <v>190</v>
      </c>
      <c r="D598" t="s">
        <v>191</v>
      </c>
    </row>
    <row r="599" spans="1:4" x14ac:dyDescent="0.2">
      <c r="A599" t="s">
        <v>1544</v>
      </c>
      <c r="B599" t="s">
        <v>1545</v>
      </c>
      <c r="C599" t="s">
        <v>1546</v>
      </c>
      <c r="D599" t="s">
        <v>195</v>
      </c>
    </row>
    <row r="600" spans="1:4" x14ac:dyDescent="0.2">
      <c r="A600" t="s">
        <v>1547</v>
      </c>
      <c r="B600" t="s">
        <v>1548</v>
      </c>
      <c r="C600" t="s">
        <v>190</v>
      </c>
      <c r="D600" t="s">
        <v>191</v>
      </c>
    </row>
    <row r="601" spans="1:4" x14ac:dyDescent="0.2">
      <c r="A601" t="s">
        <v>1549</v>
      </c>
      <c r="B601" t="s">
        <v>1550</v>
      </c>
      <c r="C601" t="s">
        <v>190</v>
      </c>
      <c r="D601" t="s">
        <v>191</v>
      </c>
    </row>
    <row r="602" spans="1:4" x14ac:dyDescent="0.2">
      <c r="A602" t="s">
        <v>1551</v>
      </c>
      <c r="B602" t="s">
        <v>1552</v>
      </c>
      <c r="C602" t="s">
        <v>190</v>
      </c>
      <c r="D602" t="s">
        <v>191</v>
      </c>
    </row>
    <row r="603" spans="1:4" x14ac:dyDescent="0.2">
      <c r="A603" t="s">
        <v>1553</v>
      </c>
      <c r="B603" t="s">
        <v>1554</v>
      </c>
      <c r="C603" t="s">
        <v>190</v>
      </c>
      <c r="D603" t="s">
        <v>191</v>
      </c>
    </row>
    <row r="604" spans="1:4" x14ac:dyDescent="0.2">
      <c r="A604" t="s">
        <v>1555</v>
      </c>
      <c r="B604" t="s">
        <v>1556</v>
      </c>
      <c r="C604" t="s">
        <v>1557</v>
      </c>
      <c r="D604" t="s">
        <v>187</v>
      </c>
    </row>
    <row r="605" spans="1:4" x14ac:dyDescent="0.2">
      <c r="A605" t="s">
        <v>1558</v>
      </c>
      <c r="B605" t="s">
        <v>1559</v>
      </c>
      <c r="C605" t="s">
        <v>1560</v>
      </c>
      <c r="D605" t="s">
        <v>187</v>
      </c>
    </row>
    <row r="606" spans="1:4" x14ac:dyDescent="0.2">
      <c r="A606" t="s">
        <v>1561</v>
      </c>
      <c r="B606" t="s">
        <v>1562</v>
      </c>
      <c r="C606" t="s">
        <v>1563</v>
      </c>
      <c r="D606" t="s">
        <v>195</v>
      </c>
    </row>
    <row r="607" spans="1:4" x14ac:dyDescent="0.2">
      <c r="A607" t="s">
        <v>1564</v>
      </c>
      <c r="B607" t="s">
        <v>1565</v>
      </c>
      <c r="C607" t="s">
        <v>190</v>
      </c>
      <c r="D607" t="s">
        <v>191</v>
      </c>
    </row>
    <row r="608" spans="1:4" x14ac:dyDescent="0.2">
      <c r="A608" t="s">
        <v>1566</v>
      </c>
      <c r="B608" t="s">
        <v>1567</v>
      </c>
      <c r="C608" t="s">
        <v>190</v>
      </c>
      <c r="D608" t="s">
        <v>191</v>
      </c>
    </row>
    <row r="609" spans="1:4" x14ac:dyDescent="0.2">
      <c r="A609" t="s">
        <v>1568</v>
      </c>
      <c r="B609" t="s">
        <v>1569</v>
      </c>
      <c r="C609" t="s">
        <v>190</v>
      </c>
      <c r="D609" t="s">
        <v>191</v>
      </c>
    </row>
    <row r="610" spans="1:4" x14ac:dyDescent="0.2">
      <c r="A610" t="s">
        <v>1570</v>
      </c>
      <c r="B610" t="s">
        <v>1571</v>
      </c>
      <c r="C610" t="s">
        <v>1572</v>
      </c>
      <c r="D610" t="s">
        <v>195</v>
      </c>
    </row>
    <row r="611" spans="1:4" x14ac:dyDescent="0.2">
      <c r="A611" t="s">
        <v>1573</v>
      </c>
      <c r="B611" t="s">
        <v>1574</v>
      </c>
      <c r="C611" t="s">
        <v>190</v>
      </c>
      <c r="D611" t="s">
        <v>191</v>
      </c>
    </row>
    <row r="612" spans="1:4" x14ac:dyDescent="0.2">
      <c r="A612" t="s">
        <v>1575</v>
      </c>
      <c r="B612" t="s">
        <v>1576</v>
      </c>
      <c r="C612" t="s">
        <v>190</v>
      </c>
      <c r="D612" t="s">
        <v>191</v>
      </c>
    </row>
    <row r="613" spans="1:4" x14ac:dyDescent="0.2">
      <c r="A613" t="s">
        <v>1577</v>
      </c>
      <c r="B613" t="s">
        <v>1578</v>
      </c>
      <c r="C613" t="s">
        <v>190</v>
      </c>
      <c r="D613" t="s">
        <v>191</v>
      </c>
    </row>
    <row r="614" spans="1:4" x14ac:dyDescent="0.2">
      <c r="A614" t="s">
        <v>1579</v>
      </c>
      <c r="B614" t="s">
        <v>1580</v>
      </c>
      <c r="C614" t="s">
        <v>190</v>
      </c>
      <c r="D614" t="s">
        <v>191</v>
      </c>
    </row>
    <row r="615" spans="1:4" x14ac:dyDescent="0.2">
      <c r="A615" t="s">
        <v>1581</v>
      </c>
      <c r="B615" t="s">
        <v>1582</v>
      </c>
      <c r="C615" t="s">
        <v>190</v>
      </c>
      <c r="D615" t="s">
        <v>191</v>
      </c>
    </row>
    <row r="616" spans="1:4" x14ac:dyDescent="0.2">
      <c r="A616" t="s">
        <v>1583</v>
      </c>
      <c r="B616" t="s">
        <v>1584</v>
      </c>
      <c r="C616" t="s">
        <v>1585</v>
      </c>
      <c r="D616" t="s">
        <v>195</v>
      </c>
    </row>
    <row r="617" spans="1:4" x14ac:dyDescent="0.2">
      <c r="A617" t="s">
        <v>1586</v>
      </c>
      <c r="B617" t="s">
        <v>1587</v>
      </c>
      <c r="C617" t="s">
        <v>190</v>
      </c>
      <c r="D617" t="s">
        <v>191</v>
      </c>
    </row>
    <row r="618" spans="1:4" x14ac:dyDescent="0.2">
      <c r="A618" t="s">
        <v>1588</v>
      </c>
      <c r="B618" t="s">
        <v>1589</v>
      </c>
      <c r="C618" t="s">
        <v>190</v>
      </c>
      <c r="D618" t="s">
        <v>191</v>
      </c>
    </row>
    <row r="619" spans="1:4" x14ac:dyDescent="0.2">
      <c r="A619" t="s">
        <v>1590</v>
      </c>
      <c r="B619" t="s">
        <v>1591</v>
      </c>
      <c r="C619" t="s">
        <v>1592</v>
      </c>
      <c r="D619" t="s">
        <v>195</v>
      </c>
    </row>
    <row r="620" spans="1:4" x14ac:dyDescent="0.2">
      <c r="A620" t="s">
        <v>1593</v>
      </c>
      <c r="B620" t="s">
        <v>1594</v>
      </c>
      <c r="C620" t="s">
        <v>190</v>
      </c>
      <c r="D620" t="s">
        <v>191</v>
      </c>
    </row>
    <row r="621" spans="1:4" x14ac:dyDescent="0.2">
      <c r="A621" t="s">
        <v>1593</v>
      </c>
      <c r="B621" t="s">
        <v>1595</v>
      </c>
      <c r="C621" t="s">
        <v>190</v>
      </c>
      <c r="D621" t="s">
        <v>191</v>
      </c>
    </row>
    <row r="622" spans="1:4" x14ac:dyDescent="0.2">
      <c r="A622" t="s">
        <v>1596</v>
      </c>
      <c r="B622" t="s">
        <v>1597</v>
      </c>
      <c r="C622" t="s">
        <v>1598</v>
      </c>
      <c r="D622" t="s">
        <v>195</v>
      </c>
    </row>
    <row r="623" spans="1:4" x14ac:dyDescent="0.2">
      <c r="A623" t="s">
        <v>1599</v>
      </c>
      <c r="B623" t="s">
        <v>1600</v>
      </c>
      <c r="C623" t="s">
        <v>190</v>
      </c>
      <c r="D623" t="s">
        <v>191</v>
      </c>
    </row>
    <row r="624" spans="1:4" x14ac:dyDescent="0.2">
      <c r="A624" t="s">
        <v>1601</v>
      </c>
      <c r="B624" t="s">
        <v>1602</v>
      </c>
      <c r="C624" t="s">
        <v>1603</v>
      </c>
      <c r="D624" t="s">
        <v>195</v>
      </c>
    </row>
    <row r="625" spans="1:4" x14ac:dyDescent="0.2">
      <c r="A625" t="s">
        <v>1604</v>
      </c>
      <c r="B625" t="s">
        <v>1605</v>
      </c>
      <c r="C625" t="s">
        <v>1606</v>
      </c>
      <c r="D625" t="s">
        <v>187</v>
      </c>
    </row>
    <row r="626" spans="1:4" x14ac:dyDescent="0.2">
      <c r="A626" t="s">
        <v>1607</v>
      </c>
      <c r="B626" t="s">
        <v>1608</v>
      </c>
      <c r="C626" t="s">
        <v>190</v>
      </c>
      <c r="D626" t="s">
        <v>280</v>
      </c>
    </row>
    <row r="627" spans="1:4" x14ac:dyDescent="0.2">
      <c r="A627" t="s">
        <v>1609</v>
      </c>
      <c r="B627" t="s">
        <v>1610</v>
      </c>
      <c r="C627" t="s">
        <v>190</v>
      </c>
      <c r="D627" t="s">
        <v>191</v>
      </c>
    </row>
    <row r="628" spans="1:4" x14ac:dyDescent="0.2">
      <c r="A628" t="s">
        <v>1611</v>
      </c>
      <c r="B628" t="s">
        <v>1612</v>
      </c>
      <c r="C628" t="s">
        <v>190</v>
      </c>
      <c r="D628" t="s">
        <v>191</v>
      </c>
    </row>
    <row r="629" spans="1:4" x14ac:dyDescent="0.2">
      <c r="A629" t="s">
        <v>1613</v>
      </c>
      <c r="B629" t="s">
        <v>1614</v>
      </c>
      <c r="C629" t="s">
        <v>190</v>
      </c>
      <c r="D629" t="s">
        <v>191</v>
      </c>
    </row>
    <row r="630" spans="1:4" x14ac:dyDescent="0.2">
      <c r="A630" t="s">
        <v>1615</v>
      </c>
      <c r="B630" t="s">
        <v>1616</v>
      </c>
      <c r="C630" t="s">
        <v>190</v>
      </c>
      <c r="D630" t="s">
        <v>191</v>
      </c>
    </row>
    <row r="631" spans="1:4" x14ac:dyDescent="0.2">
      <c r="A631" t="s">
        <v>1617</v>
      </c>
      <c r="B631" t="s">
        <v>1618</v>
      </c>
      <c r="C631" t="s">
        <v>190</v>
      </c>
      <c r="D631" t="s">
        <v>191</v>
      </c>
    </row>
    <row r="632" spans="1:4" x14ac:dyDescent="0.2">
      <c r="A632" t="s">
        <v>1619</v>
      </c>
      <c r="B632" t="s">
        <v>1620</v>
      </c>
      <c r="C632" t="s">
        <v>1621</v>
      </c>
      <c r="D632" t="s">
        <v>195</v>
      </c>
    </row>
    <row r="633" spans="1:4" x14ac:dyDescent="0.2">
      <c r="A633" t="s">
        <v>1622</v>
      </c>
      <c r="B633" t="s">
        <v>1623</v>
      </c>
      <c r="C633" t="s">
        <v>190</v>
      </c>
      <c r="D633" t="s">
        <v>191</v>
      </c>
    </row>
    <row r="634" spans="1:4" x14ac:dyDescent="0.2">
      <c r="A634" t="s">
        <v>1624</v>
      </c>
      <c r="B634" t="s">
        <v>1625</v>
      </c>
      <c r="C634" t="s">
        <v>190</v>
      </c>
      <c r="D634" t="s">
        <v>191</v>
      </c>
    </row>
    <row r="635" spans="1:4" x14ac:dyDescent="0.2">
      <c r="A635" t="s">
        <v>1626</v>
      </c>
      <c r="B635" t="s">
        <v>1627</v>
      </c>
      <c r="C635" t="s">
        <v>190</v>
      </c>
      <c r="D635" t="s">
        <v>191</v>
      </c>
    </row>
    <row r="636" spans="1:4" x14ac:dyDescent="0.2">
      <c r="A636" t="s">
        <v>1628</v>
      </c>
      <c r="B636" t="s">
        <v>1629</v>
      </c>
      <c r="C636" t="s">
        <v>190</v>
      </c>
      <c r="D636" t="s">
        <v>191</v>
      </c>
    </row>
    <row r="637" spans="1:4" x14ac:dyDescent="0.2">
      <c r="A637" t="s">
        <v>1630</v>
      </c>
      <c r="B637" t="s">
        <v>1631</v>
      </c>
      <c r="C637" t="s">
        <v>190</v>
      </c>
      <c r="D637" t="s">
        <v>191</v>
      </c>
    </row>
    <row r="638" spans="1:4" x14ac:dyDescent="0.2">
      <c r="A638" t="s">
        <v>1632</v>
      </c>
      <c r="B638" t="s">
        <v>1633</v>
      </c>
      <c r="C638" t="s">
        <v>190</v>
      </c>
      <c r="D638" t="s">
        <v>191</v>
      </c>
    </row>
    <row r="639" spans="1:4" x14ac:dyDescent="0.2">
      <c r="A639" t="s">
        <v>1634</v>
      </c>
      <c r="B639" t="s">
        <v>1635</v>
      </c>
      <c r="C639" t="s">
        <v>190</v>
      </c>
      <c r="D639" t="s">
        <v>191</v>
      </c>
    </row>
    <row r="640" spans="1:4" x14ac:dyDescent="0.2">
      <c r="A640" t="s">
        <v>1636</v>
      </c>
      <c r="B640" t="s">
        <v>1637</v>
      </c>
      <c r="C640" t="s">
        <v>190</v>
      </c>
      <c r="D640" t="s">
        <v>191</v>
      </c>
    </row>
    <row r="641" spans="1:4" x14ac:dyDescent="0.2">
      <c r="A641" t="s">
        <v>1638</v>
      </c>
      <c r="B641" t="s">
        <v>1639</v>
      </c>
      <c r="C641" t="s">
        <v>190</v>
      </c>
      <c r="D641" t="s">
        <v>191</v>
      </c>
    </row>
    <row r="642" spans="1:4" x14ac:dyDescent="0.2">
      <c r="A642" t="s">
        <v>1640</v>
      </c>
      <c r="B642" t="s">
        <v>1641</v>
      </c>
      <c r="C642" t="s">
        <v>190</v>
      </c>
      <c r="D642" t="s">
        <v>191</v>
      </c>
    </row>
    <row r="643" spans="1:4" x14ac:dyDescent="0.2">
      <c r="A643" t="s">
        <v>1642</v>
      </c>
      <c r="B643" t="s">
        <v>1643</v>
      </c>
      <c r="C643" t="s">
        <v>190</v>
      </c>
      <c r="D643" t="s">
        <v>191</v>
      </c>
    </row>
    <row r="644" spans="1:4" x14ac:dyDescent="0.2">
      <c r="A644" t="s">
        <v>1644</v>
      </c>
      <c r="B644" t="s">
        <v>1645</v>
      </c>
      <c r="C644" t="s">
        <v>1646</v>
      </c>
      <c r="D644" t="s">
        <v>195</v>
      </c>
    </row>
    <row r="645" spans="1:4" x14ac:dyDescent="0.2">
      <c r="A645" t="s">
        <v>1647</v>
      </c>
      <c r="B645" t="s">
        <v>1648</v>
      </c>
      <c r="C645" t="s">
        <v>190</v>
      </c>
      <c r="D645" t="s">
        <v>191</v>
      </c>
    </row>
    <row r="646" spans="1:4" x14ac:dyDescent="0.2">
      <c r="A646" t="s">
        <v>1649</v>
      </c>
      <c r="B646" t="s">
        <v>1650</v>
      </c>
      <c r="C646" t="s">
        <v>190</v>
      </c>
      <c r="D646" t="s">
        <v>191</v>
      </c>
    </row>
    <row r="647" spans="1:4" x14ac:dyDescent="0.2">
      <c r="A647" t="s">
        <v>1651</v>
      </c>
      <c r="B647" t="s">
        <v>1652</v>
      </c>
      <c r="C647" t="s">
        <v>190</v>
      </c>
      <c r="D647" t="s">
        <v>191</v>
      </c>
    </row>
    <row r="648" spans="1:4" x14ac:dyDescent="0.2">
      <c r="A648" t="s">
        <v>1653</v>
      </c>
      <c r="B648" t="s">
        <v>1654</v>
      </c>
      <c r="C648" t="s">
        <v>190</v>
      </c>
      <c r="D648" t="s">
        <v>191</v>
      </c>
    </row>
    <row r="649" spans="1:4" x14ac:dyDescent="0.2">
      <c r="A649" t="s">
        <v>1655</v>
      </c>
      <c r="B649" t="s">
        <v>1656</v>
      </c>
      <c r="C649" t="s">
        <v>1657</v>
      </c>
      <c r="D649" t="s">
        <v>195</v>
      </c>
    </row>
    <row r="650" spans="1:4" x14ac:dyDescent="0.2">
      <c r="A650" t="s">
        <v>1658</v>
      </c>
      <c r="B650" t="s">
        <v>1659</v>
      </c>
      <c r="C650" t="s">
        <v>190</v>
      </c>
      <c r="D650" t="s">
        <v>191</v>
      </c>
    </row>
    <row r="651" spans="1:4" x14ac:dyDescent="0.2">
      <c r="A651" t="s">
        <v>1660</v>
      </c>
      <c r="B651" t="s">
        <v>1661</v>
      </c>
      <c r="C651" t="s">
        <v>1662</v>
      </c>
      <c r="D651" t="s">
        <v>187</v>
      </c>
    </row>
    <row r="652" spans="1:4" x14ac:dyDescent="0.2">
      <c r="A652" t="s">
        <v>1663</v>
      </c>
      <c r="B652" t="s">
        <v>1664</v>
      </c>
      <c r="C652" t="s">
        <v>190</v>
      </c>
      <c r="D652" t="s">
        <v>191</v>
      </c>
    </row>
    <row r="653" spans="1:4" x14ac:dyDescent="0.2">
      <c r="A653" t="s">
        <v>1665</v>
      </c>
      <c r="B653" t="s">
        <v>1666</v>
      </c>
      <c r="C653" t="s">
        <v>1667</v>
      </c>
      <c r="D653" t="s">
        <v>187</v>
      </c>
    </row>
    <row r="654" spans="1:4" x14ac:dyDescent="0.2">
      <c r="A654" t="s">
        <v>1668</v>
      </c>
      <c r="B654" t="s">
        <v>1669</v>
      </c>
      <c r="C654" t="s">
        <v>190</v>
      </c>
      <c r="D654" t="s">
        <v>191</v>
      </c>
    </row>
    <row r="655" spans="1:4" x14ac:dyDescent="0.2">
      <c r="A655" t="s">
        <v>1670</v>
      </c>
      <c r="B655" t="s">
        <v>1671</v>
      </c>
      <c r="C655" t="s">
        <v>190</v>
      </c>
      <c r="D655" t="s">
        <v>191</v>
      </c>
    </row>
    <row r="656" spans="1:4" x14ac:dyDescent="0.2">
      <c r="A656" t="s">
        <v>1672</v>
      </c>
      <c r="B656" t="s">
        <v>1673</v>
      </c>
      <c r="C656" t="s">
        <v>190</v>
      </c>
      <c r="D656" t="s">
        <v>191</v>
      </c>
    </row>
    <row r="657" spans="1:4" x14ac:dyDescent="0.2">
      <c r="A657" t="s">
        <v>1674</v>
      </c>
      <c r="B657" t="s">
        <v>1675</v>
      </c>
      <c r="C657" t="s">
        <v>190</v>
      </c>
      <c r="D657" t="s">
        <v>280</v>
      </c>
    </row>
    <row r="658" spans="1:4" x14ac:dyDescent="0.2">
      <c r="A658" t="s">
        <v>1676</v>
      </c>
      <c r="B658" t="s">
        <v>1677</v>
      </c>
      <c r="C658" t="s">
        <v>190</v>
      </c>
      <c r="D658" t="s">
        <v>191</v>
      </c>
    </row>
    <row r="659" spans="1:4" x14ac:dyDescent="0.2">
      <c r="A659" t="s">
        <v>1678</v>
      </c>
      <c r="B659" t="s">
        <v>1679</v>
      </c>
      <c r="C659" t="s">
        <v>1680</v>
      </c>
      <c r="D659" t="s">
        <v>187</v>
      </c>
    </row>
    <row r="660" spans="1:4" x14ac:dyDescent="0.2">
      <c r="A660" t="s">
        <v>1681</v>
      </c>
      <c r="B660" t="s">
        <v>1682</v>
      </c>
      <c r="C660" t="s">
        <v>190</v>
      </c>
      <c r="D660" t="s">
        <v>191</v>
      </c>
    </row>
    <row r="661" spans="1:4" x14ac:dyDescent="0.2">
      <c r="A661" t="s">
        <v>1683</v>
      </c>
      <c r="B661" t="s">
        <v>1684</v>
      </c>
      <c r="C661" t="s">
        <v>1685</v>
      </c>
      <c r="D661" t="s">
        <v>195</v>
      </c>
    </row>
    <row r="662" spans="1:4" x14ac:dyDescent="0.2">
      <c r="A662" t="s">
        <v>1686</v>
      </c>
      <c r="B662" t="s">
        <v>1687</v>
      </c>
      <c r="C662" t="s">
        <v>190</v>
      </c>
      <c r="D662" t="s">
        <v>191</v>
      </c>
    </row>
    <row r="663" spans="1:4" x14ac:dyDescent="0.2">
      <c r="A663" t="s">
        <v>1688</v>
      </c>
      <c r="B663" t="s">
        <v>1689</v>
      </c>
      <c r="C663" t="s">
        <v>1690</v>
      </c>
      <c r="D663" t="s">
        <v>195</v>
      </c>
    </row>
    <row r="664" spans="1:4" x14ac:dyDescent="0.2">
      <c r="A664" t="s">
        <v>1691</v>
      </c>
      <c r="B664" t="s">
        <v>1692</v>
      </c>
      <c r="C664" t="s">
        <v>190</v>
      </c>
      <c r="D664" t="s">
        <v>191</v>
      </c>
    </row>
    <row r="665" spans="1:4" x14ac:dyDescent="0.2">
      <c r="A665" t="s">
        <v>1693</v>
      </c>
      <c r="B665" t="s">
        <v>1694</v>
      </c>
      <c r="C665" t="s">
        <v>190</v>
      </c>
      <c r="D665" t="s">
        <v>191</v>
      </c>
    </row>
    <row r="666" spans="1:4" x14ac:dyDescent="0.2">
      <c r="A666" t="s">
        <v>1695</v>
      </c>
      <c r="B666" t="s">
        <v>1696</v>
      </c>
      <c r="C666" t="s">
        <v>1697</v>
      </c>
      <c r="D666" t="s">
        <v>195</v>
      </c>
    </row>
    <row r="667" spans="1:4" x14ac:dyDescent="0.2">
      <c r="A667" t="s">
        <v>1698</v>
      </c>
      <c r="B667" t="s">
        <v>1699</v>
      </c>
      <c r="C667" t="s">
        <v>1700</v>
      </c>
      <c r="D667" t="s">
        <v>187</v>
      </c>
    </row>
    <row r="668" spans="1:4" x14ac:dyDescent="0.2">
      <c r="A668" t="s">
        <v>1701</v>
      </c>
      <c r="B668" t="s">
        <v>1702</v>
      </c>
      <c r="C668" t="s">
        <v>190</v>
      </c>
      <c r="D668" t="s">
        <v>191</v>
      </c>
    </row>
    <row r="669" spans="1:4" x14ac:dyDescent="0.2">
      <c r="A669" t="s">
        <v>1701</v>
      </c>
      <c r="B669" t="s">
        <v>1703</v>
      </c>
      <c r="C669" t="s">
        <v>190</v>
      </c>
      <c r="D669" t="s">
        <v>191</v>
      </c>
    </row>
    <row r="670" spans="1:4" x14ac:dyDescent="0.2">
      <c r="A670" t="s">
        <v>1704</v>
      </c>
      <c r="B670" t="s">
        <v>1705</v>
      </c>
      <c r="C670" t="s">
        <v>190</v>
      </c>
      <c r="D670" t="s">
        <v>191</v>
      </c>
    </row>
    <row r="671" spans="1:4" x14ac:dyDescent="0.2">
      <c r="A671" t="s">
        <v>1706</v>
      </c>
      <c r="B671" t="s">
        <v>1707</v>
      </c>
      <c r="C671" t="s">
        <v>190</v>
      </c>
      <c r="D671" t="s">
        <v>191</v>
      </c>
    </row>
    <row r="672" spans="1:4" x14ac:dyDescent="0.2">
      <c r="A672" t="s">
        <v>1708</v>
      </c>
      <c r="B672" t="s">
        <v>1709</v>
      </c>
      <c r="C672" t="s">
        <v>1710</v>
      </c>
      <c r="D672" t="s">
        <v>187</v>
      </c>
    </row>
    <row r="673" spans="1:4" x14ac:dyDescent="0.2">
      <c r="A673" t="s">
        <v>1711</v>
      </c>
      <c r="B673" t="s">
        <v>1712</v>
      </c>
      <c r="C673" t="s">
        <v>190</v>
      </c>
      <c r="D673" t="s">
        <v>191</v>
      </c>
    </row>
    <row r="674" spans="1:4" x14ac:dyDescent="0.2">
      <c r="A674" t="s">
        <v>1713</v>
      </c>
      <c r="B674" t="s">
        <v>1714</v>
      </c>
      <c r="C674" t="s">
        <v>190</v>
      </c>
      <c r="D674" t="s">
        <v>191</v>
      </c>
    </row>
    <row r="675" spans="1:4" x14ac:dyDescent="0.2">
      <c r="A675" t="s">
        <v>1715</v>
      </c>
      <c r="B675" t="s">
        <v>1716</v>
      </c>
      <c r="C675" t="s">
        <v>190</v>
      </c>
      <c r="D675" t="s">
        <v>191</v>
      </c>
    </row>
    <row r="676" spans="1:4" x14ac:dyDescent="0.2">
      <c r="A676" t="s">
        <v>1717</v>
      </c>
      <c r="B676" t="s">
        <v>1718</v>
      </c>
      <c r="C676" t="s">
        <v>190</v>
      </c>
      <c r="D676" t="s">
        <v>191</v>
      </c>
    </row>
    <row r="677" spans="1:4" x14ac:dyDescent="0.2">
      <c r="A677" t="s">
        <v>1719</v>
      </c>
      <c r="B677" t="s">
        <v>1720</v>
      </c>
      <c r="C677" t="s">
        <v>190</v>
      </c>
      <c r="D677" t="s">
        <v>191</v>
      </c>
    </row>
    <row r="678" spans="1:4" x14ac:dyDescent="0.2">
      <c r="A678" t="s">
        <v>1721</v>
      </c>
      <c r="B678" t="s">
        <v>1722</v>
      </c>
      <c r="C678" t="s">
        <v>1723</v>
      </c>
      <c r="D678" t="s">
        <v>195</v>
      </c>
    </row>
    <row r="679" spans="1:4" x14ac:dyDescent="0.2">
      <c r="A679" t="s">
        <v>1724</v>
      </c>
      <c r="B679" t="s">
        <v>1725</v>
      </c>
      <c r="C679" t="s">
        <v>190</v>
      </c>
      <c r="D679" t="s">
        <v>191</v>
      </c>
    </row>
    <row r="680" spans="1:4" x14ac:dyDescent="0.2">
      <c r="A680" t="s">
        <v>1726</v>
      </c>
      <c r="B680" t="s">
        <v>1727</v>
      </c>
      <c r="C680" t="s">
        <v>190</v>
      </c>
      <c r="D680" t="s">
        <v>191</v>
      </c>
    </row>
    <row r="681" spans="1:4" x14ac:dyDescent="0.2">
      <c r="A681" t="s">
        <v>1728</v>
      </c>
      <c r="B681" t="s">
        <v>1729</v>
      </c>
      <c r="C681" t="s">
        <v>1730</v>
      </c>
      <c r="D681" t="s">
        <v>195</v>
      </c>
    </row>
    <row r="682" spans="1:4" x14ac:dyDescent="0.2">
      <c r="A682" t="s">
        <v>1731</v>
      </c>
      <c r="B682" t="s">
        <v>1732</v>
      </c>
      <c r="C682" t="s">
        <v>190</v>
      </c>
      <c r="D682" t="s">
        <v>191</v>
      </c>
    </row>
    <row r="683" spans="1:4" x14ac:dyDescent="0.2">
      <c r="A683" t="s">
        <v>1733</v>
      </c>
      <c r="B683" t="s">
        <v>1734</v>
      </c>
      <c r="C683" t="s">
        <v>1735</v>
      </c>
      <c r="D683" t="s">
        <v>187</v>
      </c>
    </row>
    <row r="684" spans="1:4" x14ac:dyDescent="0.2">
      <c r="A684" t="s">
        <v>1736</v>
      </c>
      <c r="B684" t="s">
        <v>1737</v>
      </c>
      <c r="C684" t="s">
        <v>1738</v>
      </c>
      <c r="D684" t="s">
        <v>195</v>
      </c>
    </row>
    <row r="685" spans="1:4" x14ac:dyDescent="0.2">
      <c r="A685" t="s">
        <v>1739</v>
      </c>
      <c r="B685" t="s">
        <v>1740</v>
      </c>
      <c r="C685" t="s">
        <v>1741</v>
      </c>
      <c r="D685" t="s">
        <v>195</v>
      </c>
    </row>
    <row r="686" spans="1:4" x14ac:dyDescent="0.2">
      <c r="A686" t="s">
        <v>1742</v>
      </c>
      <c r="B686" t="s">
        <v>1743</v>
      </c>
      <c r="C686" t="s">
        <v>1744</v>
      </c>
      <c r="D686" t="s">
        <v>195</v>
      </c>
    </row>
    <row r="687" spans="1:4" x14ac:dyDescent="0.2">
      <c r="A687" t="s">
        <v>1745</v>
      </c>
      <c r="B687" t="s">
        <v>1746</v>
      </c>
      <c r="C687" t="s">
        <v>190</v>
      </c>
      <c r="D687" t="s">
        <v>191</v>
      </c>
    </row>
    <row r="688" spans="1:4" x14ac:dyDescent="0.2">
      <c r="A688" t="s">
        <v>1745</v>
      </c>
      <c r="B688" t="s">
        <v>1747</v>
      </c>
      <c r="C688" t="s">
        <v>190</v>
      </c>
      <c r="D688" t="s">
        <v>1748</v>
      </c>
    </row>
    <row r="689" spans="1:4" x14ac:dyDescent="0.2">
      <c r="A689" t="s">
        <v>1749</v>
      </c>
      <c r="B689" t="s">
        <v>1750</v>
      </c>
      <c r="C689" t="s">
        <v>190</v>
      </c>
      <c r="D689" t="s">
        <v>191</v>
      </c>
    </row>
    <row r="690" spans="1:4" x14ac:dyDescent="0.2">
      <c r="A690" t="s">
        <v>1751</v>
      </c>
      <c r="B690" t="s">
        <v>1752</v>
      </c>
      <c r="C690" t="s">
        <v>190</v>
      </c>
      <c r="D690" t="s">
        <v>191</v>
      </c>
    </row>
    <row r="691" spans="1:4" x14ac:dyDescent="0.2">
      <c r="A691" t="s">
        <v>1751</v>
      </c>
      <c r="B691" t="s">
        <v>1753</v>
      </c>
      <c r="C691" t="s">
        <v>1754</v>
      </c>
      <c r="D691" t="s">
        <v>195</v>
      </c>
    </row>
    <row r="692" spans="1:4" x14ac:dyDescent="0.2">
      <c r="A692" t="s">
        <v>1755</v>
      </c>
      <c r="B692" t="s">
        <v>1756</v>
      </c>
      <c r="C692" t="s">
        <v>190</v>
      </c>
      <c r="D692" t="s">
        <v>191</v>
      </c>
    </row>
    <row r="693" spans="1:4" x14ac:dyDescent="0.2">
      <c r="A693" t="s">
        <v>1757</v>
      </c>
      <c r="B693" t="s">
        <v>1758</v>
      </c>
      <c r="C693" t="s">
        <v>1759</v>
      </c>
      <c r="D693" t="s">
        <v>187</v>
      </c>
    </row>
    <row r="694" spans="1:4" x14ac:dyDescent="0.2">
      <c r="A694" t="s">
        <v>1760</v>
      </c>
      <c r="B694" t="s">
        <v>1761</v>
      </c>
      <c r="C694" t="s">
        <v>1762</v>
      </c>
      <c r="D694" t="s">
        <v>195</v>
      </c>
    </row>
    <row r="695" spans="1:4" x14ac:dyDescent="0.2">
      <c r="A695" t="s">
        <v>1763</v>
      </c>
      <c r="B695" t="s">
        <v>1764</v>
      </c>
      <c r="C695" t="s">
        <v>1765</v>
      </c>
      <c r="D695" t="s">
        <v>187</v>
      </c>
    </row>
    <row r="696" spans="1:4" x14ac:dyDescent="0.2">
      <c r="A696" t="s">
        <v>1766</v>
      </c>
      <c r="B696" t="s">
        <v>1767</v>
      </c>
      <c r="C696" t="s">
        <v>190</v>
      </c>
      <c r="D696" t="s">
        <v>191</v>
      </c>
    </row>
    <row r="697" spans="1:4" x14ac:dyDescent="0.2">
      <c r="A697" t="s">
        <v>1768</v>
      </c>
      <c r="B697" t="s">
        <v>1769</v>
      </c>
      <c r="C697" t="s">
        <v>190</v>
      </c>
      <c r="D697" t="s">
        <v>280</v>
      </c>
    </row>
    <row r="698" spans="1:4" x14ac:dyDescent="0.2">
      <c r="A698" t="s">
        <v>1770</v>
      </c>
      <c r="B698" t="s">
        <v>1771</v>
      </c>
      <c r="C698" t="s">
        <v>1772</v>
      </c>
      <c r="D698" t="s">
        <v>187</v>
      </c>
    </row>
    <row r="699" spans="1:4" x14ac:dyDescent="0.2">
      <c r="A699" t="s">
        <v>1773</v>
      </c>
      <c r="B699" t="s">
        <v>1774</v>
      </c>
      <c r="C699" t="s">
        <v>1775</v>
      </c>
      <c r="D699" t="s">
        <v>187</v>
      </c>
    </row>
    <row r="700" spans="1:4" x14ac:dyDescent="0.2">
      <c r="A700" t="s">
        <v>1776</v>
      </c>
      <c r="B700" t="s">
        <v>1777</v>
      </c>
      <c r="C700" t="s">
        <v>1778</v>
      </c>
      <c r="D700" t="s">
        <v>195</v>
      </c>
    </row>
    <row r="701" spans="1:4" x14ac:dyDescent="0.2">
      <c r="A701" t="s">
        <v>1779</v>
      </c>
      <c r="B701" t="s">
        <v>1780</v>
      </c>
      <c r="C701" t="s">
        <v>1781</v>
      </c>
      <c r="D701" t="s">
        <v>195</v>
      </c>
    </row>
    <row r="702" spans="1:4" x14ac:dyDescent="0.2">
      <c r="A702" t="s">
        <v>1782</v>
      </c>
      <c r="B702" t="s">
        <v>1783</v>
      </c>
      <c r="C702" t="s">
        <v>190</v>
      </c>
      <c r="D702" t="s">
        <v>191</v>
      </c>
    </row>
    <row r="703" spans="1:4" x14ac:dyDescent="0.2">
      <c r="A703" t="s">
        <v>1784</v>
      </c>
      <c r="B703" t="s">
        <v>1785</v>
      </c>
      <c r="C703" t="s">
        <v>190</v>
      </c>
      <c r="D703" t="s">
        <v>191</v>
      </c>
    </row>
    <row r="704" spans="1:4" x14ac:dyDescent="0.2">
      <c r="A704" t="s">
        <v>1786</v>
      </c>
      <c r="B704" t="s">
        <v>1787</v>
      </c>
      <c r="C704" t="s">
        <v>1788</v>
      </c>
      <c r="D704" t="s">
        <v>187</v>
      </c>
    </row>
    <row r="705" spans="1:4" x14ac:dyDescent="0.2">
      <c r="A705" t="s">
        <v>1789</v>
      </c>
      <c r="B705" t="s">
        <v>1790</v>
      </c>
      <c r="C705" t="s">
        <v>190</v>
      </c>
      <c r="D705" t="s">
        <v>191</v>
      </c>
    </row>
    <row r="706" spans="1:4" x14ac:dyDescent="0.2">
      <c r="A706" t="s">
        <v>1791</v>
      </c>
      <c r="B706" t="s">
        <v>1792</v>
      </c>
      <c r="C706" t="s">
        <v>190</v>
      </c>
      <c r="D706" t="s">
        <v>191</v>
      </c>
    </row>
    <row r="707" spans="1:4" x14ac:dyDescent="0.2">
      <c r="A707" t="s">
        <v>1793</v>
      </c>
      <c r="B707" t="s">
        <v>1794</v>
      </c>
      <c r="C707" t="s">
        <v>1795</v>
      </c>
      <c r="D707" t="s">
        <v>187</v>
      </c>
    </row>
    <row r="708" spans="1:4" x14ac:dyDescent="0.2">
      <c r="A708" t="s">
        <v>1796</v>
      </c>
      <c r="B708" t="s">
        <v>1797</v>
      </c>
      <c r="C708" t="s">
        <v>190</v>
      </c>
      <c r="D708" t="s">
        <v>191</v>
      </c>
    </row>
    <row r="709" spans="1:4" x14ac:dyDescent="0.2">
      <c r="A709" t="s">
        <v>1798</v>
      </c>
      <c r="B709" t="s">
        <v>1799</v>
      </c>
      <c r="C709" t="s">
        <v>190</v>
      </c>
      <c r="D709" t="s">
        <v>191</v>
      </c>
    </row>
    <row r="710" spans="1:4" x14ac:dyDescent="0.2">
      <c r="A710" t="s">
        <v>1800</v>
      </c>
      <c r="B710" t="s">
        <v>1801</v>
      </c>
      <c r="C710" t="s">
        <v>190</v>
      </c>
      <c r="D710" t="s">
        <v>191</v>
      </c>
    </row>
    <row r="711" spans="1:4" x14ac:dyDescent="0.2">
      <c r="A711" t="s">
        <v>1802</v>
      </c>
      <c r="B711" t="s">
        <v>1803</v>
      </c>
      <c r="C711" t="s">
        <v>1804</v>
      </c>
      <c r="D711" t="s">
        <v>195</v>
      </c>
    </row>
    <row r="712" spans="1:4" x14ac:dyDescent="0.2">
      <c r="A712" t="s">
        <v>1805</v>
      </c>
      <c r="B712" t="s">
        <v>1806</v>
      </c>
      <c r="C712" t="s">
        <v>190</v>
      </c>
      <c r="D712" t="s">
        <v>191</v>
      </c>
    </row>
    <row r="713" spans="1:4" x14ac:dyDescent="0.2">
      <c r="A713" t="s">
        <v>1807</v>
      </c>
      <c r="B713" t="s">
        <v>1808</v>
      </c>
      <c r="C713" t="s">
        <v>190</v>
      </c>
      <c r="D713" t="s">
        <v>191</v>
      </c>
    </row>
    <row r="714" spans="1:4" x14ac:dyDescent="0.2">
      <c r="A714" t="s">
        <v>1809</v>
      </c>
      <c r="B714" t="s">
        <v>1810</v>
      </c>
      <c r="C714" t="s">
        <v>1811</v>
      </c>
      <c r="D714" t="s">
        <v>187</v>
      </c>
    </row>
    <row r="715" spans="1:4" x14ac:dyDescent="0.2">
      <c r="A715" t="s">
        <v>1812</v>
      </c>
      <c r="B715" t="s">
        <v>1813</v>
      </c>
      <c r="C715" t="s">
        <v>190</v>
      </c>
      <c r="D715" t="s">
        <v>191</v>
      </c>
    </row>
    <row r="716" spans="1:4" x14ac:dyDescent="0.2">
      <c r="A716" t="s">
        <v>1814</v>
      </c>
      <c r="B716" t="s">
        <v>1815</v>
      </c>
      <c r="C716" t="s">
        <v>190</v>
      </c>
      <c r="D716" t="s">
        <v>191</v>
      </c>
    </row>
    <row r="717" spans="1:4" x14ac:dyDescent="0.2">
      <c r="A717" t="s">
        <v>1816</v>
      </c>
      <c r="B717" t="s">
        <v>1817</v>
      </c>
      <c r="C717" t="s">
        <v>190</v>
      </c>
      <c r="D717" t="s">
        <v>191</v>
      </c>
    </row>
    <row r="718" spans="1:4" x14ac:dyDescent="0.2">
      <c r="A718" t="s">
        <v>1818</v>
      </c>
      <c r="B718" t="s">
        <v>1819</v>
      </c>
      <c r="C718" t="s">
        <v>190</v>
      </c>
      <c r="D718" t="s">
        <v>191</v>
      </c>
    </row>
    <row r="719" spans="1:4" x14ac:dyDescent="0.2">
      <c r="A719" t="s">
        <v>1820</v>
      </c>
      <c r="B719" t="s">
        <v>1821</v>
      </c>
      <c r="C719" t="s">
        <v>1822</v>
      </c>
      <c r="D719" t="s">
        <v>187</v>
      </c>
    </row>
    <row r="720" spans="1:4" x14ac:dyDescent="0.2">
      <c r="A720" t="s">
        <v>1823</v>
      </c>
      <c r="B720" t="s">
        <v>1824</v>
      </c>
      <c r="C720" t="s">
        <v>190</v>
      </c>
      <c r="D720" t="s">
        <v>191</v>
      </c>
    </row>
    <row r="721" spans="1:4" x14ac:dyDescent="0.2">
      <c r="A721" t="s">
        <v>1825</v>
      </c>
      <c r="B721" t="s">
        <v>1826</v>
      </c>
      <c r="C721" t="s">
        <v>190</v>
      </c>
      <c r="D721" t="s">
        <v>191</v>
      </c>
    </row>
    <row r="722" spans="1:4" x14ac:dyDescent="0.2">
      <c r="A722" t="s">
        <v>1827</v>
      </c>
      <c r="B722" t="s">
        <v>1828</v>
      </c>
      <c r="C722" t="s">
        <v>1829</v>
      </c>
      <c r="D722" t="s">
        <v>187</v>
      </c>
    </row>
    <row r="723" spans="1:4" x14ac:dyDescent="0.2">
      <c r="A723" t="s">
        <v>1830</v>
      </c>
      <c r="B723" t="s">
        <v>1831</v>
      </c>
      <c r="C723" t="s">
        <v>1832</v>
      </c>
      <c r="D723" t="s">
        <v>195</v>
      </c>
    </row>
    <row r="724" spans="1:4" x14ac:dyDescent="0.2">
      <c r="A724" t="s">
        <v>1833</v>
      </c>
      <c r="B724" t="s">
        <v>1834</v>
      </c>
      <c r="C724" t="s">
        <v>190</v>
      </c>
      <c r="D724" t="s">
        <v>191</v>
      </c>
    </row>
    <row r="725" spans="1:4" x14ac:dyDescent="0.2">
      <c r="A725" t="s">
        <v>1835</v>
      </c>
      <c r="B725" t="s">
        <v>1836</v>
      </c>
      <c r="C725" t="s">
        <v>190</v>
      </c>
      <c r="D725" t="s">
        <v>191</v>
      </c>
    </row>
    <row r="726" spans="1:4" x14ac:dyDescent="0.2">
      <c r="A726" t="s">
        <v>1837</v>
      </c>
      <c r="B726" t="s">
        <v>1838</v>
      </c>
      <c r="C726" t="s">
        <v>190</v>
      </c>
      <c r="D726" t="s">
        <v>191</v>
      </c>
    </row>
    <row r="727" spans="1:4" x14ac:dyDescent="0.2">
      <c r="A727" t="s">
        <v>1839</v>
      </c>
      <c r="B727" t="s">
        <v>1840</v>
      </c>
      <c r="C727" t="s">
        <v>1841</v>
      </c>
      <c r="D727" t="s">
        <v>187</v>
      </c>
    </row>
    <row r="728" spans="1:4" x14ac:dyDescent="0.2">
      <c r="A728" t="s">
        <v>1842</v>
      </c>
      <c r="B728" t="s">
        <v>1843</v>
      </c>
      <c r="C728" t="s">
        <v>190</v>
      </c>
      <c r="D728" t="s">
        <v>191</v>
      </c>
    </row>
    <row r="729" spans="1:4" x14ac:dyDescent="0.2">
      <c r="A729" t="s">
        <v>1844</v>
      </c>
      <c r="B729" t="s">
        <v>1845</v>
      </c>
      <c r="C729" t="s">
        <v>190</v>
      </c>
      <c r="D729" t="s">
        <v>191</v>
      </c>
    </row>
    <row r="730" spans="1:4" x14ac:dyDescent="0.2">
      <c r="A730" t="s">
        <v>1846</v>
      </c>
      <c r="B730" t="s">
        <v>1847</v>
      </c>
      <c r="C730" t="s">
        <v>1848</v>
      </c>
      <c r="D730" t="s">
        <v>187</v>
      </c>
    </row>
    <row r="731" spans="1:4" x14ac:dyDescent="0.2">
      <c r="A731" t="s">
        <v>1849</v>
      </c>
      <c r="B731" t="s">
        <v>1850</v>
      </c>
      <c r="C731" t="s">
        <v>1851</v>
      </c>
      <c r="D731" t="s">
        <v>195</v>
      </c>
    </row>
    <row r="732" spans="1:4" x14ac:dyDescent="0.2">
      <c r="A732" t="s">
        <v>1852</v>
      </c>
      <c r="B732" t="s">
        <v>1853</v>
      </c>
      <c r="C732" t="s">
        <v>1854</v>
      </c>
      <c r="D732" t="s">
        <v>195</v>
      </c>
    </row>
    <row r="733" spans="1:4" x14ac:dyDescent="0.2">
      <c r="A733" t="s">
        <v>1855</v>
      </c>
      <c r="B733" t="s">
        <v>1856</v>
      </c>
      <c r="C733" t="s">
        <v>190</v>
      </c>
      <c r="D733" t="s">
        <v>191</v>
      </c>
    </row>
    <row r="734" spans="1:4" x14ac:dyDescent="0.2">
      <c r="A734" t="s">
        <v>1857</v>
      </c>
      <c r="B734" t="s">
        <v>1858</v>
      </c>
      <c r="C734" t="s">
        <v>190</v>
      </c>
      <c r="D734" t="s">
        <v>191</v>
      </c>
    </row>
    <row r="735" spans="1:4" x14ac:dyDescent="0.2">
      <c r="A735" t="s">
        <v>1859</v>
      </c>
      <c r="B735" t="s">
        <v>1860</v>
      </c>
      <c r="C735" t="s">
        <v>190</v>
      </c>
      <c r="D735" t="s">
        <v>191</v>
      </c>
    </row>
    <row r="736" spans="1:4" x14ac:dyDescent="0.2">
      <c r="A736" t="s">
        <v>1861</v>
      </c>
      <c r="B736" t="s">
        <v>1862</v>
      </c>
      <c r="C736" t="s">
        <v>190</v>
      </c>
      <c r="D736" t="s">
        <v>191</v>
      </c>
    </row>
    <row r="737" spans="1:4" x14ac:dyDescent="0.2">
      <c r="A737" t="s">
        <v>1863</v>
      </c>
      <c r="B737" t="s">
        <v>1864</v>
      </c>
      <c r="C737" t="s">
        <v>190</v>
      </c>
      <c r="D737" t="s">
        <v>191</v>
      </c>
    </row>
    <row r="738" spans="1:4" x14ac:dyDescent="0.2">
      <c r="A738" t="s">
        <v>1865</v>
      </c>
      <c r="B738" t="s">
        <v>1866</v>
      </c>
      <c r="C738" t="s">
        <v>190</v>
      </c>
      <c r="D738" t="s">
        <v>191</v>
      </c>
    </row>
    <row r="739" spans="1:4" x14ac:dyDescent="0.2">
      <c r="A739" t="s">
        <v>1867</v>
      </c>
      <c r="B739" t="s">
        <v>1868</v>
      </c>
      <c r="C739" t="s">
        <v>190</v>
      </c>
      <c r="D739" t="s">
        <v>191</v>
      </c>
    </row>
    <row r="740" spans="1:4" x14ac:dyDescent="0.2">
      <c r="A740" t="s">
        <v>1869</v>
      </c>
      <c r="B740" t="s">
        <v>1870</v>
      </c>
      <c r="C740" t="s">
        <v>1871</v>
      </c>
      <c r="D740" t="s">
        <v>187</v>
      </c>
    </row>
    <row r="741" spans="1:4" x14ac:dyDescent="0.2">
      <c r="A741" t="s">
        <v>1872</v>
      </c>
      <c r="B741" t="s">
        <v>1873</v>
      </c>
      <c r="C741" t="s">
        <v>190</v>
      </c>
      <c r="D741" t="s">
        <v>191</v>
      </c>
    </row>
    <row r="742" spans="1:4" x14ac:dyDescent="0.2">
      <c r="A742" t="s">
        <v>1874</v>
      </c>
      <c r="B742" t="s">
        <v>1875</v>
      </c>
      <c r="C742" t="s">
        <v>190</v>
      </c>
      <c r="D742" t="s">
        <v>191</v>
      </c>
    </row>
    <row r="743" spans="1:4" x14ac:dyDescent="0.2">
      <c r="A743" t="s">
        <v>1876</v>
      </c>
      <c r="B743" t="s">
        <v>1877</v>
      </c>
      <c r="C743" t="s">
        <v>190</v>
      </c>
      <c r="D743" t="s">
        <v>191</v>
      </c>
    </row>
    <row r="744" spans="1:4" x14ac:dyDescent="0.2">
      <c r="A744" t="s">
        <v>1878</v>
      </c>
      <c r="B744" t="s">
        <v>1879</v>
      </c>
      <c r="C744" t="s">
        <v>190</v>
      </c>
      <c r="D744" t="s">
        <v>191</v>
      </c>
    </row>
    <row r="745" spans="1:4" x14ac:dyDescent="0.2">
      <c r="A745" t="s">
        <v>1880</v>
      </c>
      <c r="B745" t="s">
        <v>1881</v>
      </c>
      <c r="C745" t="s">
        <v>1882</v>
      </c>
      <c r="D745" t="s">
        <v>187</v>
      </c>
    </row>
    <row r="746" spans="1:4" x14ac:dyDescent="0.2">
      <c r="A746" t="s">
        <v>1883</v>
      </c>
      <c r="B746" t="s">
        <v>1884</v>
      </c>
      <c r="C746" t="s">
        <v>190</v>
      </c>
      <c r="D746" t="s">
        <v>191</v>
      </c>
    </row>
    <row r="747" spans="1:4" x14ac:dyDescent="0.2">
      <c r="A747" t="s">
        <v>1885</v>
      </c>
      <c r="B747" t="s">
        <v>1886</v>
      </c>
      <c r="C747" t="s">
        <v>190</v>
      </c>
      <c r="D747" t="s">
        <v>191</v>
      </c>
    </row>
    <row r="748" spans="1:4" x14ac:dyDescent="0.2">
      <c r="A748" t="s">
        <v>1887</v>
      </c>
      <c r="B748" t="s">
        <v>1888</v>
      </c>
      <c r="C748" t="s">
        <v>1889</v>
      </c>
      <c r="D748" t="s">
        <v>195</v>
      </c>
    </row>
    <row r="749" spans="1:4" x14ac:dyDescent="0.2">
      <c r="A749" t="s">
        <v>1890</v>
      </c>
      <c r="B749" t="s">
        <v>1891</v>
      </c>
      <c r="C749" t="s">
        <v>190</v>
      </c>
      <c r="D749" t="s">
        <v>191</v>
      </c>
    </row>
    <row r="750" spans="1:4" x14ac:dyDescent="0.2">
      <c r="A750" t="s">
        <v>1892</v>
      </c>
      <c r="B750" t="s">
        <v>1893</v>
      </c>
      <c r="C750" t="s">
        <v>1894</v>
      </c>
      <c r="D750" t="s">
        <v>187</v>
      </c>
    </row>
    <row r="751" spans="1:4" x14ac:dyDescent="0.2">
      <c r="A751" t="s">
        <v>1895</v>
      </c>
      <c r="B751" t="s">
        <v>1896</v>
      </c>
      <c r="C751" t="s">
        <v>190</v>
      </c>
      <c r="D751" t="s">
        <v>191</v>
      </c>
    </row>
    <row r="752" spans="1:4" x14ac:dyDescent="0.2">
      <c r="A752" t="s">
        <v>1897</v>
      </c>
      <c r="B752" t="s">
        <v>1898</v>
      </c>
      <c r="C752" t="s">
        <v>1899</v>
      </c>
      <c r="D752" t="s">
        <v>195</v>
      </c>
    </row>
    <row r="753" spans="1:4" x14ac:dyDescent="0.2">
      <c r="A753" t="s">
        <v>1900</v>
      </c>
      <c r="B753" t="s">
        <v>1901</v>
      </c>
      <c r="C753" t="s">
        <v>1902</v>
      </c>
      <c r="D753" t="s">
        <v>195</v>
      </c>
    </row>
    <row r="754" spans="1:4" x14ac:dyDescent="0.2">
      <c r="A754" t="s">
        <v>1903</v>
      </c>
      <c r="B754" t="s">
        <v>1904</v>
      </c>
      <c r="C754" t="s">
        <v>190</v>
      </c>
      <c r="D754" t="s">
        <v>191</v>
      </c>
    </row>
    <row r="755" spans="1:4" x14ac:dyDescent="0.2">
      <c r="A755" t="s">
        <v>1905</v>
      </c>
      <c r="B755" t="s">
        <v>1906</v>
      </c>
      <c r="C755" t="s">
        <v>1907</v>
      </c>
      <c r="D755" t="s">
        <v>195</v>
      </c>
    </row>
    <row r="756" spans="1:4" x14ac:dyDescent="0.2">
      <c r="A756" t="s">
        <v>1908</v>
      </c>
      <c r="B756" t="s">
        <v>1909</v>
      </c>
      <c r="C756" t="s">
        <v>190</v>
      </c>
      <c r="D756" t="s">
        <v>191</v>
      </c>
    </row>
    <row r="757" spans="1:4" x14ac:dyDescent="0.2">
      <c r="A757" t="s">
        <v>1910</v>
      </c>
      <c r="B757" t="s">
        <v>1911</v>
      </c>
      <c r="C757" t="s">
        <v>190</v>
      </c>
      <c r="D757" t="s">
        <v>191</v>
      </c>
    </row>
    <row r="758" spans="1:4" x14ac:dyDescent="0.2">
      <c r="A758" t="s">
        <v>1910</v>
      </c>
      <c r="B758" t="s">
        <v>1912</v>
      </c>
      <c r="C758" t="s">
        <v>190</v>
      </c>
      <c r="D758" t="s">
        <v>191</v>
      </c>
    </row>
    <row r="759" spans="1:4" x14ac:dyDescent="0.2">
      <c r="A759" t="s">
        <v>1913</v>
      </c>
      <c r="B759" t="s">
        <v>1914</v>
      </c>
      <c r="C759" t="s">
        <v>190</v>
      </c>
      <c r="D759" t="s">
        <v>191</v>
      </c>
    </row>
    <row r="760" spans="1:4" x14ac:dyDescent="0.2">
      <c r="A760" t="s">
        <v>1915</v>
      </c>
      <c r="B760" t="s">
        <v>1916</v>
      </c>
      <c r="C760" t="s">
        <v>190</v>
      </c>
      <c r="D760" t="s">
        <v>191</v>
      </c>
    </row>
    <row r="761" spans="1:4" x14ac:dyDescent="0.2">
      <c r="A761" t="s">
        <v>1917</v>
      </c>
      <c r="B761" t="s">
        <v>1918</v>
      </c>
      <c r="C761" t="s">
        <v>190</v>
      </c>
      <c r="D761" t="s">
        <v>191</v>
      </c>
    </row>
    <row r="762" spans="1:4" x14ac:dyDescent="0.2">
      <c r="A762" t="s">
        <v>1917</v>
      </c>
      <c r="B762" t="s">
        <v>1919</v>
      </c>
      <c r="C762" t="s">
        <v>190</v>
      </c>
      <c r="D762" t="s">
        <v>191</v>
      </c>
    </row>
    <row r="763" spans="1:4" x14ac:dyDescent="0.2">
      <c r="A763" t="s">
        <v>1917</v>
      </c>
      <c r="B763" t="s">
        <v>1920</v>
      </c>
      <c r="C763" t="s">
        <v>190</v>
      </c>
      <c r="D763" t="s">
        <v>191</v>
      </c>
    </row>
    <row r="764" spans="1:4" x14ac:dyDescent="0.2">
      <c r="A764" t="s">
        <v>1921</v>
      </c>
      <c r="B764" t="s">
        <v>1922</v>
      </c>
      <c r="C764" t="s">
        <v>1923</v>
      </c>
      <c r="D764" t="s">
        <v>195</v>
      </c>
    </row>
    <row r="765" spans="1:4" x14ac:dyDescent="0.2">
      <c r="A765" t="s">
        <v>1924</v>
      </c>
      <c r="B765" t="s">
        <v>1925</v>
      </c>
      <c r="C765" t="s">
        <v>1926</v>
      </c>
      <c r="D765" t="s">
        <v>187</v>
      </c>
    </row>
    <row r="766" spans="1:4" x14ac:dyDescent="0.2">
      <c r="A766" t="s">
        <v>1927</v>
      </c>
      <c r="B766" t="s">
        <v>1928</v>
      </c>
      <c r="C766" t="s">
        <v>190</v>
      </c>
      <c r="D766" t="s">
        <v>191</v>
      </c>
    </row>
    <row r="767" spans="1:4" x14ac:dyDescent="0.2">
      <c r="A767" t="s">
        <v>1929</v>
      </c>
      <c r="B767" t="s">
        <v>1930</v>
      </c>
      <c r="C767" t="s">
        <v>190</v>
      </c>
      <c r="D767" t="s">
        <v>191</v>
      </c>
    </row>
    <row r="768" spans="1:4" x14ac:dyDescent="0.2">
      <c r="A768" t="s">
        <v>1931</v>
      </c>
      <c r="B768" t="s">
        <v>1932</v>
      </c>
      <c r="C768" t="s">
        <v>1933</v>
      </c>
      <c r="D768" t="s">
        <v>187</v>
      </c>
    </row>
    <row r="769" spans="1:4" x14ac:dyDescent="0.2">
      <c r="A769" t="s">
        <v>1934</v>
      </c>
      <c r="B769" t="s">
        <v>1935</v>
      </c>
      <c r="C769" t="s">
        <v>190</v>
      </c>
      <c r="D769" t="s">
        <v>191</v>
      </c>
    </row>
    <row r="770" spans="1:4" x14ac:dyDescent="0.2">
      <c r="A770" t="s">
        <v>1936</v>
      </c>
      <c r="B770" t="s">
        <v>1937</v>
      </c>
      <c r="C770" t="s">
        <v>1938</v>
      </c>
      <c r="D770" t="s">
        <v>187</v>
      </c>
    </row>
    <row r="771" spans="1:4" x14ac:dyDescent="0.2">
      <c r="A771" t="s">
        <v>1939</v>
      </c>
      <c r="B771" t="s">
        <v>1940</v>
      </c>
      <c r="C771" t="s">
        <v>190</v>
      </c>
      <c r="D771" t="s">
        <v>191</v>
      </c>
    </row>
    <row r="772" spans="1:4" x14ac:dyDescent="0.2">
      <c r="A772" t="s">
        <v>1941</v>
      </c>
      <c r="B772" t="s">
        <v>1942</v>
      </c>
      <c r="C772" t="s">
        <v>190</v>
      </c>
      <c r="D772" t="s">
        <v>191</v>
      </c>
    </row>
    <row r="773" spans="1:4" x14ac:dyDescent="0.2">
      <c r="A773" t="s">
        <v>1943</v>
      </c>
      <c r="B773" t="s">
        <v>1944</v>
      </c>
      <c r="C773" t="s">
        <v>190</v>
      </c>
      <c r="D773" t="s">
        <v>191</v>
      </c>
    </row>
    <row r="774" spans="1:4" x14ac:dyDescent="0.2">
      <c r="A774" t="s">
        <v>1945</v>
      </c>
      <c r="B774" t="s">
        <v>1946</v>
      </c>
      <c r="C774" t="s">
        <v>190</v>
      </c>
      <c r="D774" t="s">
        <v>191</v>
      </c>
    </row>
    <row r="775" spans="1:4" x14ac:dyDescent="0.2">
      <c r="A775" t="s">
        <v>1947</v>
      </c>
      <c r="B775" t="s">
        <v>1948</v>
      </c>
      <c r="C775" t="s">
        <v>1949</v>
      </c>
      <c r="D775" t="s">
        <v>195</v>
      </c>
    </row>
    <row r="776" spans="1:4" x14ac:dyDescent="0.2">
      <c r="A776" t="s">
        <v>1950</v>
      </c>
      <c r="B776" t="s">
        <v>1951</v>
      </c>
      <c r="C776" t="s">
        <v>190</v>
      </c>
      <c r="D776" t="s">
        <v>191</v>
      </c>
    </row>
    <row r="777" spans="1:4" x14ac:dyDescent="0.2">
      <c r="A777" t="s">
        <v>1952</v>
      </c>
      <c r="B777" t="s">
        <v>1953</v>
      </c>
      <c r="C777" t="s">
        <v>190</v>
      </c>
      <c r="D777" t="s">
        <v>191</v>
      </c>
    </row>
    <row r="778" spans="1:4" x14ac:dyDescent="0.2">
      <c r="A778" t="s">
        <v>1954</v>
      </c>
      <c r="B778" t="s">
        <v>1955</v>
      </c>
      <c r="C778" t="s">
        <v>190</v>
      </c>
      <c r="D778" t="s">
        <v>191</v>
      </c>
    </row>
    <row r="779" spans="1:4" x14ac:dyDescent="0.2">
      <c r="A779" t="s">
        <v>1956</v>
      </c>
      <c r="B779" t="s">
        <v>1957</v>
      </c>
      <c r="C779" t="s">
        <v>190</v>
      </c>
      <c r="D779" t="s">
        <v>191</v>
      </c>
    </row>
    <row r="780" spans="1:4" x14ac:dyDescent="0.2">
      <c r="A780" t="s">
        <v>1958</v>
      </c>
      <c r="B780" t="s">
        <v>1959</v>
      </c>
      <c r="C780" t="s">
        <v>190</v>
      </c>
      <c r="D780" t="s">
        <v>191</v>
      </c>
    </row>
    <row r="781" spans="1:4" x14ac:dyDescent="0.2">
      <c r="A781" t="s">
        <v>1960</v>
      </c>
      <c r="B781" t="s">
        <v>1961</v>
      </c>
      <c r="C781" t="s">
        <v>1962</v>
      </c>
      <c r="D781" t="s">
        <v>195</v>
      </c>
    </row>
    <row r="782" spans="1:4" x14ac:dyDescent="0.2">
      <c r="A782" t="s">
        <v>1963</v>
      </c>
      <c r="B782" t="s">
        <v>1964</v>
      </c>
      <c r="C782" t="s">
        <v>190</v>
      </c>
      <c r="D782" t="s">
        <v>191</v>
      </c>
    </row>
    <row r="783" spans="1:4" x14ac:dyDescent="0.2">
      <c r="A783" t="s">
        <v>1965</v>
      </c>
      <c r="B783" t="s">
        <v>1966</v>
      </c>
      <c r="C783" t="s">
        <v>1967</v>
      </c>
      <c r="D783" t="s">
        <v>195</v>
      </c>
    </row>
    <row r="784" spans="1:4" x14ac:dyDescent="0.2">
      <c r="A784" t="s">
        <v>1968</v>
      </c>
      <c r="B784" t="s">
        <v>1969</v>
      </c>
      <c r="C784" t="s">
        <v>1970</v>
      </c>
      <c r="D784" t="s">
        <v>195</v>
      </c>
    </row>
    <row r="785" spans="1:4" x14ac:dyDescent="0.2">
      <c r="A785" t="s">
        <v>1971</v>
      </c>
      <c r="B785" t="s">
        <v>1972</v>
      </c>
      <c r="C785" t="s">
        <v>1973</v>
      </c>
      <c r="D785" t="s">
        <v>187</v>
      </c>
    </row>
    <row r="786" spans="1:4" x14ac:dyDescent="0.2">
      <c r="A786" t="s">
        <v>1974</v>
      </c>
      <c r="B786" t="s">
        <v>1975</v>
      </c>
      <c r="C786" t="s">
        <v>190</v>
      </c>
      <c r="D786" t="s">
        <v>191</v>
      </c>
    </row>
    <row r="787" spans="1:4" x14ac:dyDescent="0.2">
      <c r="A787" t="s">
        <v>1976</v>
      </c>
      <c r="B787" t="s">
        <v>1977</v>
      </c>
      <c r="C787" t="s">
        <v>190</v>
      </c>
      <c r="D787" t="s">
        <v>191</v>
      </c>
    </row>
    <row r="788" spans="1:4" x14ac:dyDescent="0.2">
      <c r="A788" t="s">
        <v>1978</v>
      </c>
      <c r="B788" t="s">
        <v>1979</v>
      </c>
      <c r="C788" t="s">
        <v>190</v>
      </c>
      <c r="D788" t="s">
        <v>191</v>
      </c>
    </row>
    <row r="789" spans="1:4" x14ac:dyDescent="0.2">
      <c r="A789" t="s">
        <v>1980</v>
      </c>
      <c r="B789" t="s">
        <v>1981</v>
      </c>
      <c r="C789" t="s">
        <v>190</v>
      </c>
      <c r="D789" t="s">
        <v>191</v>
      </c>
    </row>
    <row r="790" spans="1:4" x14ac:dyDescent="0.2">
      <c r="A790" t="s">
        <v>1982</v>
      </c>
      <c r="B790" t="s">
        <v>1983</v>
      </c>
      <c r="C790" t="s">
        <v>190</v>
      </c>
      <c r="D790" t="s">
        <v>191</v>
      </c>
    </row>
    <row r="791" spans="1:4" x14ac:dyDescent="0.2">
      <c r="A791" t="s">
        <v>1984</v>
      </c>
      <c r="B791" t="s">
        <v>1985</v>
      </c>
      <c r="C791" t="s">
        <v>190</v>
      </c>
      <c r="D791" t="s">
        <v>191</v>
      </c>
    </row>
    <row r="792" spans="1:4" x14ac:dyDescent="0.2">
      <c r="A792" t="s">
        <v>1986</v>
      </c>
      <c r="B792" t="s">
        <v>1987</v>
      </c>
      <c r="C792" t="s">
        <v>190</v>
      </c>
      <c r="D792" t="s">
        <v>191</v>
      </c>
    </row>
    <row r="793" spans="1:4" x14ac:dyDescent="0.2">
      <c r="A793" t="s">
        <v>1988</v>
      </c>
      <c r="B793" t="s">
        <v>1989</v>
      </c>
      <c r="C793" t="s">
        <v>190</v>
      </c>
      <c r="D793" t="s">
        <v>191</v>
      </c>
    </row>
    <row r="794" spans="1:4" x14ac:dyDescent="0.2">
      <c r="A794" t="s">
        <v>1990</v>
      </c>
      <c r="B794" t="s">
        <v>1991</v>
      </c>
      <c r="C794" t="s">
        <v>190</v>
      </c>
      <c r="D794" t="s">
        <v>191</v>
      </c>
    </row>
    <row r="795" spans="1:4" x14ac:dyDescent="0.2">
      <c r="A795" t="s">
        <v>1992</v>
      </c>
      <c r="B795" t="s">
        <v>1993</v>
      </c>
      <c r="C795" t="s">
        <v>1994</v>
      </c>
      <c r="D795" t="s">
        <v>195</v>
      </c>
    </row>
    <row r="796" spans="1:4" x14ac:dyDescent="0.2">
      <c r="A796" t="s">
        <v>1995</v>
      </c>
      <c r="B796" t="s">
        <v>1996</v>
      </c>
      <c r="C796" t="s">
        <v>1997</v>
      </c>
      <c r="D796" t="s">
        <v>195</v>
      </c>
    </row>
    <row r="797" spans="1:4" x14ac:dyDescent="0.2">
      <c r="A797" t="s">
        <v>1998</v>
      </c>
      <c r="B797" t="s">
        <v>1999</v>
      </c>
      <c r="C797" t="s">
        <v>190</v>
      </c>
      <c r="D797" t="s">
        <v>191</v>
      </c>
    </row>
    <row r="798" spans="1:4" x14ac:dyDescent="0.2">
      <c r="A798" t="s">
        <v>2000</v>
      </c>
      <c r="B798" t="s">
        <v>2001</v>
      </c>
      <c r="C798" t="s">
        <v>190</v>
      </c>
      <c r="D798" t="s">
        <v>191</v>
      </c>
    </row>
    <row r="799" spans="1:4" x14ac:dyDescent="0.2">
      <c r="A799" t="s">
        <v>2002</v>
      </c>
      <c r="B799" t="s">
        <v>2003</v>
      </c>
      <c r="C799" t="s">
        <v>2004</v>
      </c>
      <c r="D799" t="s">
        <v>195</v>
      </c>
    </row>
    <row r="800" spans="1:4" x14ac:dyDescent="0.2">
      <c r="A800" t="s">
        <v>2005</v>
      </c>
      <c r="B800" t="s">
        <v>2006</v>
      </c>
      <c r="C800" t="s">
        <v>190</v>
      </c>
      <c r="D800" t="s">
        <v>191</v>
      </c>
    </row>
    <row r="801" spans="1:4" x14ac:dyDescent="0.2">
      <c r="A801" t="s">
        <v>2007</v>
      </c>
      <c r="B801" t="s">
        <v>2008</v>
      </c>
      <c r="C801" t="s">
        <v>190</v>
      </c>
      <c r="D801" t="s">
        <v>191</v>
      </c>
    </row>
    <row r="802" spans="1:4" x14ac:dyDescent="0.2">
      <c r="A802" t="s">
        <v>2009</v>
      </c>
      <c r="B802" t="s">
        <v>2010</v>
      </c>
      <c r="C802" t="s">
        <v>190</v>
      </c>
      <c r="D802" t="s">
        <v>280</v>
      </c>
    </row>
    <row r="803" spans="1:4" x14ac:dyDescent="0.2">
      <c r="A803" t="s">
        <v>2011</v>
      </c>
      <c r="B803" t="s">
        <v>2012</v>
      </c>
      <c r="C803" t="s">
        <v>2013</v>
      </c>
      <c r="D803" t="s">
        <v>195</v>
      </c>
    </row>
    <row r="804" spans="1:4" x14ac:dyDescent="0.2">
      <c r="A804" t="s">
        <v>2014</v>
      </c>
      <c r="B804" t="s">
        <v>2015</v>
      </c>
      <c r="C804" t="s">
        <v>190</v>
      </c>
      <c r="D804" t="s">
        <v>280</v>
      </c>
    </row>
    <row r="805" spans="1:4" x14ac:dyDescent="0.2">
      <c r="A805" t="s">
        <v>2016</v>
      </c>
      <c r="B805" t="s">
        <v>2017</v>
      </c>
      <c r="C805" t="s">
        <v>190</v>
      </c>
      <c r="D805" t="s">
        <v>191</v>
      </c>
    </row>
    <row r="806" spans="1:4" x14ac:dyDescent="0.2">
      <c r="A806" t="s">
        <v>2018</v>
      </c>
      <c r="B806" t="s">
        <v>2019</v>
      </c>
      <c r="C806" t="s">
        <v>190</v>
      </c>
      <c r="D806" t="s">
        <v>191</v>
      </c>
    </row>
    <row r="807" spans="1:4" x14ac:dyDescent="0.2">
      <c r="A807" t="s">
        <v>2020</v>
      </c>
      <c r="B807" t="s">
        <v>2021</v>
      </c>
      <c r="C807" t="s">
        <v>2022</v>
      </c>
      <c r="D807" t="s">
        <v>195</v>
      </c>
    </row>
    <row r="808" spans="1:4" x14ac:dyDescent="0.2">
      <c r="A808" t="s">
        <v>2023</v>
      </c>
      <c r="B808" t="s">
        <v>2024</v>
      </c>
      <c r="C808" t="s">
        <v>190</v>
      </c>
      <c r="D808" t="s">
        <v>191</v>
      </c>
    </row>
    <row r="809" spans="1:4" x14ac:dyDescent="0.2">
      <c r="A809" t="s">
        <v>2025</v>
      </c>
      <c r="B809" t="s">
        <v>2026</v>
      </c>
      <c r="C809" t="s">
        <v>2027</v>
      </c>
      <c r="D809" t="s">
        <v>187</v>
      </c>
    </row>
    <row r="810" spans="1:4" x14ac:dyDescent="0.2">
      <c r="A810" t="s">
        <v>2028</v>
      </c>
      <c r="B810" t="s">
        <v>2029</v>
      </c>
      <c r="C810" t="s">
        <v>190</v>
      </c>
      <c r="D810" t="s">
        <v>280</v>
      </c>
    </row>
    <row r="811" spans="1:4" x14ac:dyDescent="0.2">
      <c r="A811" t="s">
        <v>2030</v>
      </c>
      <c r="B811" t="s">
        <v>2031</v>
      </c>
      <c r="C811" t="s">
        <v>2032</v>
      </c>
      <c r="D811" t="s">
        <v>195</v>
      </c>
    </row>
    <row r="812" spans="1:4" x14ac:dyDescent="0.2">
      <c r="A812" t="s">
        <v>2033</v>
      </c>
      <c r="B812" t="s">
        <v>2034</v>
      </c>
      <c r="C812" t="s">
        <v>2035</v>
      </c>
      <c r="D812" t="s">
        <v>187</v>
      </c>
    </row>
    <row r="813" spans="1:4" x14ac:dyDescent="0.2">
      <c r="A813" t="s">
        <v>2036</v>
      </c>
      <c r="B813" t="s">
        <v>2037</v>
      </c>
      <c r="C813" t="s">
        <v>2038</v>
      </c>
      <c r="D813" t="s">
        <v>195</v>
      </c>
    </row>
    <row r="814" spans="1:4" x14ac:dyDescent="0.2">
      <c r="A814" t="s">
        <v>2036</v>
      </c>
      <c r="B814" t="s">
        <v>2039</v>
      </c>
      <c r="C814" t="s">
        <v>2040</v>
      </c>
      <c r="D814" t="s">
        <v>195</v>
      </c>
    </row>
    <row r="815" spans="1:4" x14ac:dyDescent="0.2">
      <c r="A815" t="s">
        <v>2041</v>
      </c>
      <c r="B815" t="s">
        <v>2042</v>
      </c>
      <c r="C815" t="s">
        <v>2043</v>
      </c>
      <c r="D815" t="s">
        <v>187</v>
      </c>
    </row>
    <row r="816" spans="1:4" x14ac:dyDescent="0.2">
      <c r="A816" t="s">
        <v>2044</v>
      </c>
      <c r="B816" t="s">
        <v>2045</v>
      </c>
      <c r="C816" t="s">
        <v>190</v>
      </c>
      <c r="D816" t="s">
        <v>191</v>
      </c>
    </row>
    <row r="817" spans="1:4" x14ac:dyDescent="0.2">
      <c r="A817" t="s">
        <v>2046</v>
      </c>
      <c r="B817" t="s">
        <v>2047</v>
      </c>
      <c r="C817" t="s">
        <v>2048</v>
      </c>
      <c r="D817" t="s">
        <v>195</v>
      </c>
    </row>
    <row r="818" spans="1:4" x14ac:dyDescent="0.2">
      <c r="A818" t="s">
        <v>2049</v>
      </c>
      <c r="B818" t="s">
        <v>2050</v>
      </c>
      <c r="C818" t="s">
        <v>190</v>
      </c>
      <c r="D818" t="s">
        <v>191</v>
      </c>
    </row>
    <row r="819" spans="1:4" x14ac:dyDescent="0.2">
      <c r="A819" t="s">
        <v>2051</v>
      </c>
      <c r="B819" t="s">
        <v>2052</v>
      </c>
      <c r="C819" t="s">
        <v>2053</v>
      </c>
      <c r="D819" t="s">
        <v>195</v>
      </c>
    </row>
    <row r="820" spans="1:4" x14ac:dyDescent="0.2">
      <c r="A820" t="s">
        <v>2054</v>
      </c>
      <c r="B820" t="s">
        <v>2055</v>
      </c>
      <c r="C820" t="s">
        <v>2056</v>
      </c>
      <c r="D820" t="s">
        <v>187</v>
      </c>
    </row>
    <row r="821" spans="1:4" x14ac:dyDescent="0.2">
      <c r="A821" t="s">
        <v>2057</v>
      </c>
      <c r="B821" t="s">
        <v>2058</v>
      </c>
      <c r="C821" t="s">
        <v>2059</v>
      </c>
      <c r="D821" t="s">
        <v>187</v>
      </c>
    </row>
    <row r="822" spans="1:4" x14ac:dyDescent="0.2">
      <c r="A822" t="s">
        <v>2060</v>
      </c>
      <c r="B822" t="s">
        <v>2061</v>
      </c>
      <c r="C822" t="s">
        <v>190</v>
      </c>
      <c r="D822" t="s">
        <v>280</v>
      </c>
    </row>
    <row r="823" spans="1:4" x14ac:dyDescent="0.2">
      <c r="A823" t="s">
        <v>2062</v>
      </c>
      <c r="B823" t="s">
        <v>2063</v>
      </c>
      <c r="C823" t="s">
        <v>190</v>
      </c>
      <c r="D823" t="s">
        <v>191</v>
      </c>
    </row>
    <row r="824" spans="1:4" x14ac:dyDescent="0.2">
      <c r="A824" t="s">
        <v>2064</v>
      </c>
      <c r="B824" t="s">
        <v>2065</v>
      </c>
      <c r="C824" t="s">
        <v>2066</v>
      </c>
      <c r="D824" t="s">
        <v>187</v>
      </c>
    </row>
    <row r="825" spans="1:4" x14ac:dyDescent="0.2">
      <c r="A825" t="s">
        <v>2067</v>
      </c>
      <c r="B825" t="s">
        <v>2068</v>
      </c>
      <c r="C825" t="s">
        <v>190</v>
      </c>
      <c r="D825" t="s">
        <v>191</v>
      </c>
    </row>
    <row r="826" spans="1:4" x14ac:dyDescent="0.2">
      <c r="A826" t="s">
        <v>2069</v>
      </c>
      <c r="B826" t="s">
        <v>2070</v>
      </c>
      <c r="C826" t="s">
        <v>2071</v>
      </c>
      <c r="D826" t="s">
        <v>187</v>
      </c>
    </row>
    <row r="827" spans="1:4" x14ac:dyDescent="0.2">
      <c r="A827" t="s">
        <v>2072</v>
      </c>
      <c r="B827" t="s">
        <v>2073</v>
      </c>
      <c r="C827" t="s">
        <v>190</v>
      </c>
      <c r="D827" t="s">
        <v>191</v>
      </c>
    </row>
    <row r="828" spans="1:4" x14ac:dyDescent="0.2">
      <c r="A828" t="s">
        <v>2074</v>
      </c>
      <c r="B828" t="s">
        <v>2075</v>
      </c>
      <c r="C828" t="s">
        <v>2076</v>
      </c>
      <c r="D828" t="s">
        <v>195</v>
      </c>
    </row>
    <row r="829" spans="1:4" x14ac:dyDescent="0.2">
      <c r="A829" t="s">
        <v>2077</v>
      </c>
      <c r="B829" t="s">
        <v>2078</v>
      </c>
      <c r="C829" t="s">
        <v>190</v>
      </c>
      <c r="D829" t="s">
        <v>191</v>
      </c>
    </row>
    <row r="830" spans="1:4" x14ac:dyDescent="0.2">
      <c r="A830" t="s">
        <v>2079</v>
      </c>
      <c r="B830" t="s">
        <v>2080</v>
      </c>
      <c r="C830" t="s">
        <v>2081</v>
      </c>
      <c r="D830" t="s">
        <v>195</v>
      </c>
    </row>
    <row r="831" spans="1:4" x14ac:dyDescent="0.2">
      <c r="A831" t="s">
        <v>2082</v>
      </c>
      <c r="B831" t="s">
        <v>2083</v>
      </c>
      <c r="C831" t="s">
        <v>2084</v>
      </c>
      <c r="D831" t="s">
        <v>187</v>
      </c>
    </row>
    <row r="832" spans="1:4" x14ac:dyDescent="0.2">
      <c r="A832" t="s">
        <v>2085</v>
      </c>
      <c r="B832" t="s">
        <v>2086</v>
      </c>
      <c r="C832" t="s">
        <v>2087</v>
      </c>
      <c r="D832" t="s">
        <v>195</v>
      </c>
    </row>
    <row r="833" spans="1:4" x14ac:dyDescent="0.2">
      <c r="A833" t="s">
        <v>2088</v>
      </c>
      <c r="B833" t="s">
        <v>2089</v>
      </c>
      <c r="C833" t="s">
        <v>2090</v>
      </c>
      <c r="D833" t="s">
        <v>187</v>
      </c>
    </row>
    <row r="834" spans="1:4" x14ac:dyDescent="0.2">
      <c r="A834" t="s">
        <v>2091</v>
      </c>
      <c r="B834" t="s">
        <v>2092</v>
      </c>
      <c r="C834" t="s">
        <v>2093</v>
      </c>
      <c r="D834" t="s">
        <v>195</v>
      </c>
    </row>
    <row r="835" spans="1:4" x14ac:dyDescent="0.2">
      <c r="A835" t="s">
        <v>2094</v>
      </c>
      <c r="B835" t="s">
        <v>2095</v>
      </c>
      <c r="C835" t="s">
        <v>2096</v>
      </c>
      <c r="D835" t="s">
        <v>195</v>
      </c>
    </row>
    <row r="836" spans="1:4" x14ac:dyDescent="0.2">
      <c r="A836" t="s">
        <v>2097</v>
      </c>
      <c r="B836" t="s">
        <v>2098</v>
      </c>
      <c r="C836" t="s">
        <v>2099</v>
      </c>
      <c r="D836" t="s">
        <v>187</v>
      </c>
    </row>
    <row r="837" spans="1:4" x14ac:dyDescent="0.2">
      <c r="A837" t="s">
        <v>2100</v>
      </c>
      <c r="B837" t="s">
        <v>2101</v>
      </c>
      <c r="C837" t="s">
        <v>190</v>
      </c>
      <c r="D837" t="s">
        <v>191</v>
      </c>
    </row>
    <row r="838" spans="1:4" x14ac:dyDescent="0.2">
      <c r="A838" t="s">
        <v>2102</v>
      </c>
      <c r="B838" t="s">
        <v>2103</v>
      </c>
      <c r="C838" t="s">
        <v>190</v>
      </c>
      <c r="D838" t="s">
        <v>191</v>
      </c>
    </row>
    <row r="839" spans="1:4" x14ac:dyDescent="0.2">
      <c r="A839" t="s">
        <v>2104</v>
      </c>
      <c r="B839" t="s">
        <v>2105</v>
      </c>
      <c r="C839" t="s">
        <v>190</v>
      </c>
      <c r="D839" t="s">
        <v>191</v>
      </c>
    </row>
    <row r="840" spans="1:4" x14ac:dyDescent="0.2">
      <c r="A840" t="s">
        <v>2106</v>
      </c>
      <c r="B840" t="s">
        <v>2107</v>
      </c>
      <c r="C840" t="s">
        <v>2108</v>
      </c>
      <c r="D840" t="s">
        <v>195</v>
      </c>
    </row>
    <row r="841" spans="1:4" x14ac:dyDescent="0.2">
      <c r="A841" t="s">
        <v>2109</v>
      </c>
      <c r="B841" t="s">
        <v>2110</v>
      </c>
      <c r="C841" t="s">
        <v>190</v>
      </c>
      <c r="D841" t="s">
        <v>191</v>
      </c>
    </row>
    <row r="842" spans="1:4" x14ac:dyDescent="0.2">
      <c r="A842" t="s">
        <v>2111</v>
      </c>
      <c r="B842" t="s">
        <v>2112</v>
      </c>
      <c r="C842" t="s">
        <v>2113</v>
      </c>
      <c r="D842" t="s">
        <v>187</v>
      </c>
    </row>
    <row r="843" spans="1:4" x14ac:dyDescent="0.2">
      <c r="A843" t="s">
        <v>2114</v>
      </c>
      <c r="B843" t="s">
        <v>2115</v>
      </c>
      <c r="C843" t="s">
        <v>190</v>
      </c>
      <c r="D843" t="s">
        <v>191</v>
      </c>
    </row>
    <row r="844" spans="1:4" x14ac:dyDescent="0.2">
      <c r="A844" t="s">
        <v>2116</v>
      </c>
      <c r="B844" t="s">
        <v>2117</v>
      </c>
      <c r="C844" t="s">
        <v>190</v>
      </c>
      <c r="D844" t="s">
        <v>191</v>
      </c>
    </row>
    <row r="845" spans="1:4" x14ac:dyDescent="0.2">
      <c r="A845" t="s">
        <v>2118</v>
      </c>
      <c r="B845" t="s">
        <v>2119</v>
      </c>
      <c r="C845" t="s">
        <v>2120</v>
      </c>
      <c r="D845" t="s">
        <v>195</v>
      </c>
    </row>
    <row r="846" spans="1:4" x14ac:dyDescent="0.2">
      <c r="A846" t="s">
        <v>2121</v>
      </c>
      <c r="B846" t="s">
        <v>2122</v>
      </c>
      <c r="C846" t="s">
        <v>190</v>
      </c>
      <c r="D846" t="s">
        <v>191</v>
      </c>
    </row>
    <row r="847" spans="1:4" x14ac:dyDescent="0.2">
      <c r="A847" t="s">
        <v>2123</v>
      </c>
      <c r="B847" t="s">
        <v>2124</v>
      </c>
      <c r="C847" t="s">
        <v>2125</v>
      </c>
      <c r="D847" t="s">
        <v>187</v>
      </c>
    </row>
    <row r="848" spans="1:4" x14ac:dyDescent="0.2">
      <c r="A848" t="s">
        <v>2126</v>
      </c>
      <c r="B848" t="s">
        <v>2127</v>
      </c>
      <c r="C848" t="s">
        <v>190</v>
      </c>
      <c r="D848" t="s">
        <v>191</v>
      </c>
    </row>
    <row r="849" spans="1:4" x14ac:dyDescent="0.2">
      <c r="A849" t="s">
        <v>2128</v>
      </c>
      <c r="B849" t="s">
        <v>2129</v>
      </c>
      <c r="C849" t="s">
        <v>190</v>
      </c>
      <c r="D849" t="s">
        <v>191</v>
      </c>
    </row>
    <row r="850" spans="1:4" x14ac:dyDescent="0.2">
      <c r="A850" t="s">
        <v>2130</v>
      </c>
      <c r="B850" t="s">
        <v>2131</v>
      </c>
      <c r="C850" t="s">
        <v>2132</v>
      </c>
      <c r="D850" t="s">
        <v>187</v>
      </c>
    </row>
    <row r="851" spans="1:4" x14ac:dyDescent="0.2">
      <c r="A851" t="s">
        <v>2133</v>
      </c>
      <c r="B851" t="s">
        <v>2134</v>
      </c>
      <c r="C851" t="s">
        <v>190</v>
      </c>
      <c r="D851" t="s">
        <v>191</v>
      </c>
    </row>
    <row r="852" spans="1:4" x14ac:dyDescent="0.2">
      <c r="A852" t="s">
        <v>2135</v>
      </c>
      <c r="B852" t="s">
        <v>2136</v>
      </c>
      <c r="C852" t="s">
        <v>2137</v>
      </c>
      <c r="D852" t="s">
        <v>195</v>
      </c>
    </row>
    <row r="853" spans="1:4" x14ac:dyDescent="0.2">
      <c r="A853" t="s">
        <v>2138</v>
      </c>
      <c r="B853" t="s">
        <v>2139</v>
      </c>
      <c r="C853" t="s">
        <v>190</v>
      </c>
      <c r="D853" t="s">
        <v>2140</v>
      </c>
    </row>
    <row r="854" spans="1:4" x14ac:dyDescent="0.2">
      <c r="A854" t="s">
        <v>2141</v>
      </c>
      <c r="B854" t="s">
        <v>2142</v>
      </c>
      <c r="C854" t="s">
        <v>190</v>
      </c>
      <c r="D854" t="s">
        <v>191</v>
      </c>
    </row>
    <row r="855" spans="1:4" x14ac:dyDescent="0.2">
      <c r="A855" t="s">
        <v>2143</v>
      </c>
      <c r="B855" t="s">
        <v>2144</v>
      </c>
      <c r="C855" t="s">
        <v>2145</v>
      </c>
      <c r="D855" t="s">
        <v>195</v>
      </c>
    </row>
    <row r="856" spans="1:4" x14ac:dyDescent="0.2">
      <c r="A856" t="s">
        <v>2146</v>
      </c>
      <c r="B856" t="s">
        <v>2147</v>
      </c>
      <c r="C856" t="s">
        <v>2148</v>
      </c>
      <c r="D856" t="s">
        <v>195</v>
      </c>
    </row>
    <row r="857" spans="1:4" x14ac:dyDescent="0.2">
      <c r="A857" t="s">
        <v>2149</v>
      </c>
      <c r="B857" t="s">
        <v>2150</v>
      </c>
      <c r="C857" t="s">
        <v>2151</v>
      </c>
      <c r="D857" t="s">
        <v>195</v>
      </c>
    </row>
    <row r="858" spans="1:4" x14ac:dyDescent="0.2">
      <c r="A858" t="s">
        <v>2152</v>
      </c>
      <c r="B858" t="s">
        <v>2153</v>
      </c>
      <c r="C858" t="s">
        <v>190</v>
      </c>
      <c r="D858" t="s">
        <v>191</v>
      </c>
    </row>
    <row r="859" spans="1:4" x14ac:dyDescent="0.2">
      <c r="A859" t="s">
        <v>2154</v>
      </c>
      <c r="B859" t="s">
        <v>2155</v>
      </c>
      <c r="C859" t="s">
        <v>2156</v>
      </c>
      <c r="D859" t="s">
        <v>195</v>
      </c>
    </row>
    <row r="860" spans="1:4" x14ac:dyDescent="0.2">
      <c r="A860" t="s">
        <v>2157</v>
      </c>
      <c r="B860" t="s">
        <v>2158</v>
      </c>
      <c r="C860" t="s">
        <v>2159</v>
      </c>
      <c r="D860" t="s">
        <v>187</v>
      </c>
    </row>
    <row r="861" spans="1:4" x14ac:dyDescent="0.2">
      <c r="A861" t="s">
        <v>2160</v>
      </c>
      <c r="B861" t="s">
        <v>2161</v>
      </c>
      <c r="C861" t="s">
        <v>190</v>
      </c>
      <c r="D861" t="s">
        <v>191</v>
      </c>
    </row>
    <row r="862" spans="1:4" x14ac:dyDescent="0.2">
      <c r="A862" t="s">
        <v>2162</v>
      </c>
      <c r="B862" t="s">
        <v>2163</v>
      </c>
      <c r="C862" t="s">
        <v>2164</v>
      </c>
      <c r="D862" t="s">
        <v>195</v>
      </c>
    </row>
    <row r="863" spans="1:4" x14ac:dyDescent="0.2">
      <c r="A863" t="s">
        <v>2165</v>
      </c>
      <c r="B863" t="s">
        <v>2166</v>
      </c>
      <c r="C863" t="s">
        <v>190</v>
      </c>
      <c r="D863" t="s">
        <v>191</v>
      </c>
    </row>
    <row r="864" spans="1:4" x14ac:dyDescent="0.2">
      <c r="A864" t="s">
        <v>2167</v>
      </c>
      <c r="B864" t="s">
        <v>2168</v>
      </c>
      <c r="C864" t="s">
        <v>190</v>
      </c>
      <c r="D864" t="s">
        <v>191</v>
      </c>
    </row>
    <row r="865" spans="1:4" x14ac:dyDescent="0.2">
      <c r="A865" t="s">
        <v>2169</v>
      </c>
      <c r="B865" t="s">
        <v>2170</v>
      </c>
      <c r="C865" t="s">
        <v>2171</v>
      </c>
      <c r="D865" t="s">
        <v>195</v>
      </c>
    </row>
    <row r="866" spans="1:4" x14ac:dyDescent="0.2">
      <c r="A866" t="s">
        <v>2172</v>
      </c>
      <c r="B866" t="s">
        <v>2173</v>
      </c>
      <c r="C866" t="s">
        <v>190</v>
      </c>
      <c r="D866" t="s">
        <v>191</v>
      </c>
    </row>
    <row r="867" spans="1:4" x14ac:dyDescent="0.2">
      <c r="A867" t="s">
        <v>2174</v>
      </c>
      <c r="B867" t="s">
        <v>2175</v>
      </c>
      <c r="C867" t="s">
        <v>190</v>
      </c>
      <c r="D867" t="s">
        <v>191</v>
      </c>
    </row>
    <row r="868" spans="1:4" x14ac:dyDescent="0.2">
      <c r="A868" t="s">
        <v>2176</v>
      </c>
      <c r="B868" t="s">
        <v>2177</v>
      </c>
      <c r="C868" t="s">
        <v>190</v>
      </c>
      <c r="D868" t="s">
        <v>191</v>
      </c>
    </row>
    <row r="869" spans="1:4" x14ac:dyDescent="0.2">
      <c r="A869" t="s">
        <v>2178</v>
      </c>
      <c r="B869" t="s">
        <v>2179</v>
      </c>
      <c r="C869" t="s">
        <v>2180</v>
      </c>
      <c r="D869" t="s">
        <v>195</v>
      </c>
    </row>
    <row r="870" spans="1:4" x14ac:dyDescent="0.2">
      <c r="A870" t="s">
        <v>2181</v>
      </c>
      <c r="B870" t="s">
        <v>2182</v>
      </c>
      <c r="C870" t="s">
        <v>190</v>
      </c>
      <c r="D870" t="s">
        <v>191</v>
      </c>
    </row>
    <row r="871" spans="1:4" x14ac:dyDescent="0.2">
      <c r="A871" t="s">
        <v>2183</v>
      </c>
      <c r="B871" t="s">
        <v>2184</v>
      </c>
      <c r="C871" t="s">
        <v>190</v>
      </c>
      <c r="D871" t="s">
        <v>191</v>
      </c>
    </row>
    <row r="872" spans="1:4" x14ac:dyDescent="0.2">
      <c r="A872" t="s">
        <v>2185</v>
      </c>
      <c r="B872" t="s">
        <v>2186</v>
      </c>
      <c r="C872" t="s">
        <v>190</v>
      </c>
      <c r="D872" t="s">
        <v>191</v>
      </c>
    </row>
    <row r="873" spans="1:4" x14ac:dyDescent="0.2">
      <c r="A873" t="s">
        <v>2187</v>
      </c>
      <c r="B873" t="s">
        <v>2188</v>
      </c>
      <c r="C873" t="s">
        <v>2189</v>
      </c>
      <c r="D873" t="s">
        <v>195</v>
      </c>
    </row>
    <row r="874" spans="1:4" x14ac:dyDescent="0.2">
      <c r="A874" t="s">
        <v>2190</v>
      </c>
      <c r="B874" t="s">
        <v>2191</v>
      </c>
      <c r="C874" t="s">
        <v>190</v>
      </c>
      <c r="D874" t="s">
        <v>191</v>
      </c>
    </row>
    <row r="875" spans="1:4" x14ac:dyDescent="0.2">
      <c r="A875" t="s">
        <v>2192</v>
      </c>
      <c r="B875" t="s">
        <v>2193</v>
      </c>
      <c r="C875" t="s">
        <v>190</v>
      </c>
      <c r="D875" t="s">
        <v>191</v>
      </c>
    </row>
    <row r="876" spans="1:4" x14ac:dyDescent="0.2">
      <c r="A876" t="s">
        <v>2194</v>
      </c>
      <c r="B876" t="s">
        <v>2195</v>
      </c>
      <c r="C876" t="s">
        <v>190</v>
      </c>
      <c r="D876" t="s">
        <v>191</v>
      </c>
    </row>
    <row r="877" spans="1:4" x14ac:dyDescent="0.2">
      <c r="A877" t="s">
        <v>2196</v>
      </c>
      <c r="B877" t="s">
        <v>2197</v>
      </c>
      <c r="C877" t="s">
        <v>190</v>
      </c>
      <c r="D877" t="s">
        <v>191</v>
      </c>
    </row>
    <row r="878" spans="1:4" x14ac:dyDescent="0.2">
      <c r="A878" t="s">
        <v>2198</v>
      </c>
      <c r="B878" t="s">
        <v>2199</v>
      </c>
      <c r="C878" t="s">
        <v>2200</v>
      </c>
      <c r="D878" t="s">
        <v>195</v>
      </c>
    </row>
    <row r="879" spans="1:4" x14ac:dyDescent="0.2">
      <c r="A879" t="s">
        <v>2201</v>
      </c>
      <c r="B879" t="s">
        <v>2202</v>
      </c>
      <c r="C879" t="s">
        <v>190</v>
      </c>
      <c r="D879" t="s">
        <v>191</v>
      </c>
    </row>
    <row r="880" spans="1:4" x14ac:dyDescent="0.2">
      <c r="A880" t="s">
        <v>2201</v>
      </c>
      <c r="B880" t="s">
        <v>2203</v>
      </c>
      <c r="C880" t="s">
        <v>190</v>
      </c>
      <c r="D880" t="s">
        <v>191</v>
      </c>
    </row>
    <row r="881" spans="1:4" x14ac:dyDescent="0.2">
      <c r="A881" t="s">
        <v>2204</v>
      </c>
      <c r="B881" t="s">
        <v>2205</v>
      </c>
      <c r="C881" t="s">
        <v>190</v>
      </c>
      <c r="D881" t="s">
        <v>191</v>
      </c>
    </row>
    <row r="882" spans="1:4" x14ac:dyDescent="0.2">
      <c r="A882" t="s">
        <v>2206</v>
      </c>
      <c r="B882" t="s">
        <v>2207</v>
      </c>
      <c r="C882" t="s">
        <v>190</v>
      </c>
      <c r="D882" t="s">
        <v>191</v>
      </c>
    </row>
    <row r="883" spans="1:4" x14ac:dyDescent="0.2">
      <c r="A883" t="s">
        <v>2208</v>
      </c>
      <c r="B883" t="s">
        <v>2209</v>
      </c>
      <c r="C883" t="s">
        <v>190</v>
      </c>
      <c r="D883" t="s">
        <v>191</v>
      </c>
    </row>
    <row r="884" spans="1:4" x14ac:dyDescent="0.2">
      <c r="A884" t="s">
        <v>2210</v>
      </c>
      <c r="B884" t="s">
        <v>2211</v>
      </c>
      <c r="C884" t="s">
        <v>2212</v>
      </c>
      <c r="D884" t="s">
        <v>195</v>
      </c>
    </row>
    <row r="885" spans="1:4" x14ac:dyDescent="0.2">
      <c r="A885" t="s">
        <v>2213</v>
      </c>
      <c r="B885" t="s">
        <v>2214</v>
      </c>
      <c r="C885" t="s">
        <v>2215</v>
      </c>
      <c r="D885" t="s">
        <v>187</v>
      </c>
    </row>
    <row r="886" spans="1:4" x14ac:dyDescent="0.2">
      <c r="A886" t="s">
        <v>2216</v>
      </c>
      <c r="B886" t="s">
        <v>2217</v>
      </c>
      <c r="C886" t="s">
        <v>190</v>
      </c>
      <c r="D886" t="s">
        <v>191</v>
      </c>
    </row>
    <row r="887" spans="1:4" x14ac:dyDescent="0.2">
      <c r="A887" t="s">
        <v>2218</v>
      </c>
      <c r="B887" t="s">
        <v>2219</v>
      </c>
      <c r="C887" t="s">
        <v>2220</v>
      </c>
      <c r="D887" t="s">
        <v>195</v>
      </c>
    </row>
    <row r="888" spans="1:4" x14ac:dyDescent="0.2">
      <c r="A888" t="s">
        <v>2221</v>
      </c>
      <c r="B888" t="s">
        <v>2222</v>
      </c>
      <c r="C888" t="s">
        <v>2223</v>
      </c>
      <c r="D888" t="s">
        <v>195</v>
      </c>
    </row>
    <row r="889" spans="1:4" x14ac:dyDescent="0.2">
      <c r="A889" t="s">
        <v>2224</v>
      </c>
      <c r="B889" t="s">
        <v>2225</v>
      </c>
      <c r="C889" t="s">
        <v>2226</v>
      </c>
      <c r="D889" t="s">
        <v>195</v>
      </c>
    </row>
    <row r="890" spans="1:4" x14ac:dyDescent="0.2">
      <c r="A890" t="s">
        <v>2227</v>
      </c>
      <c r="B890" t="s">
        <v>2228</v>
      </c>
      <c r="C890" t="s">
        <v>190</v>
      </c>
      <c r="D890" t="s">
        <v>191</v>
      </c>
    </row>
    <row r="891" spans="1:4" x14ac:dyDescent="0.2">
      <c r="A891" t="s">
        <v>2229</v>
      </c>
      <c r="B891" t="s">
        <v>2230</v>
      </c>
      <c r="C891" t="s">
        <v>190</v>
      </c>
      <c r="D891" t="s">
        <v>191</v>
      </c>
    </row>
    <row r="892" spans="1:4" x14ac:dyDescent="0.2">
      <c r="A892" t="s">
        <v>2231</v>
      </c>
      <c r="B892" t="s">
        <v>2232</v>
      </c>
      <c r="C892" t="s">
        <v>190</v>
      </c>
      <c r="D892" t="s">
        <v>191</v>
      </c>
    </row>
    <row r="893" spans="1:4" x14ac:dyDescent="0.2">
      <c r="A893" t="s">
        <v>2231</v>
      </c>
      <c r="B893" t="s">
        <v>2233</v>
      </c>
      <c r="C893" t="s">
        <v>190</v>
      </c>
      <c r="D893" t="s">
        <v>191</v>
      </c>
    </row>
    <row r="894" spans="1:4" x14ac:dyDescent="0.2">
      <c r="A894" t="s">
        <v>2234</v>
      </c>
      <c r="B894" t="s">
        <v>2235</v>
      </c>
      <c r="C894" t="s">
        <v>2236</v>
      </c>
      <c r="D894" t="s">
        <v>195</v>
      </c>
    </row>
    <row r="895" spans="1:4" x14ac:dyDescent="0.2">
      <c r="A895" t="s">
        <v>2237</v>
      </c>
      <c r="B895" t="s">
        <v>2238</v>
      </c>
      <c r="C895" t="s">
        <v>2239</v>
      </c>
      <c r="D895" t="s">
        <v>187</v>
      </c>
    </row>
    <row r="896" spans="1:4" x14ac:dyDescent="0.2">
      <c r="A896" t="s">
        <v>2240</v>
      </c>
      <c r="B896" t="s">
        <v>2241</v>
      </c>
      <c r="C896" t="s">
        <v>190</v>
      </c>
      <c r="D896" t="s">
        <v>280</v>
      </c>
    </row>
    <row r="897" spans="1:4" x14ac:dyDescent="0.2">
      <c r="A897" t="s">
        <v>2242</v>
      </c>
      <c r="B897" t="s">
        <v>2243</v>
      </c>
      <c r="C897" t="s">
        <v>2244</v>
      </c>
      <c r="D897" t="s">
        <v>195</v>
      </c>
    </row>
    <row r="898" spans="1:4" x14ac:dyDescent="0.2">
      <c r="A898" t="s">
        <v>2245</v>
      </c>
      <c r="B898" t="s">
        <v>2246</v>
      </c>
      <c r="C898" t="s">
        <v>2247</v>
      </c>
      <c r="D898" t="s">
        <v>195</v>
      </c>
    </row>
    <row r="899" spans="1:4" x14ac:dyDescent="0.2">
      <c r="A899" t="s">
        <v>2248</v>
      </c>
      <c r="B899" t="s">
        <v>2249</v>
      </c>
      <c r="C899" t="s">
        <v>2250</v>
      </c>
      <c r="D899" t="s">
        <v>187</v>
      </c>
    </row>
    <row r="900" spans="1:4" x14ac:dyDescent="0.2">
      <c r="A900" t="s">
        <v>2251</v>
      </c>
      <c r="B900" t="s">
        <v>2252</v>
      </c>
      <c r="C900" t="s">
        <v>2253</v>
      </c>
      <c r="D900" t="s">
        <v>187</v>
      </c>
    </row>
    <row r="901" spans="1:4" x14ac:dyDescent="0.2">
      <c r="A901" t="s">
        <v>2254</v>
      </c>
      <c r="B901" t="s">
        <v>2255</v>
      </c>
      <c r="C901" t="s">
        <v>190</v>
      </c>
      <c r="D901" t="s">
        <v>191</v>
      </c>
    </row>
    <row r="902" spans="1:4" x14ac:dyDescent="0.2">
      <c r="A902" t="s">
        <v>2256</v>
      </c>
      <c r="B902" t="s">
        <v>2257</v>
      </c>
      <c r="C902" t="s">
        <v>190</v>
      </c>
      <c r="D902" t="s">
        <v>2258</v>
      </c>
    </row>
    <row r="903" spans="1:4" x14ac:dyDescent="0.2">
      <c r="A903" t="s">
        <v>2259</v>
      </c>
      <c r="B903" t="s">
        <v>2260</v>
      </c>
      <c r="C903" t="s">
        <v>2261</v>
      </c>
      <c r="D903" t="s">
        <v>195</v>
      </c>
    </row>
    <row r="904" spans="1:4" x14ac:dyDescent="0.2">
      <c r="A904" t="s">
        <v>2262</v>
      </c>
      <c r="B904" t="s">
        <v>2263</v>
      </c>
      <c r="C904" t="s">
        <v>190</v>
      </c>
      <c r="D904" t="s">
        <v>191</v>
      </c>
    </row>
    <row r="905" spans="1:4" x14ac:dyDescent="0.2">
      <c r="A905" t="s">
        <v>2264</v>
      </c>
      <c r="B905" t="s">
        <v>2265</v>
      </c>
      <c r="C905" t="s">
        <v>190</v>
      </c>
      <c r="D905" t="s">
        <v>191</v>
      </c>
    </row>
    <row r="906" spans="1:4" x14ac:dyDescent="0.2">
      <c r="A906" t="s">
        <v>2266</v>
      </c>
      <c r="B906" t="s">
        <v>2267</v>
      </c>
      <c r="C906" t="s">
        <v>190</v>
      </c>
      <c r="D906" t="s">
        <v>191</v>
      </c>
    </row>
    <row r="907" spans="1:4" x14ac:dyDescent="0.2">
      <c r="A907" t="s">
        <v>2268</v>
      </c>
      <c r="B907" t="s">
        <v>2269</v>
      </c>
      <c r="C907" t="s">
        <v>2270</v>
      </c>
      <c r="D907" t="s">
        <v>195</v>
      </c>
    </row>
    <row r="908" spans="1:4" x14ac:dyDescent="0.2">
      <c r="A908" t="s">
        <v>2271</v>
      </c>
      <c r="B908" t="s">
        <v>2272</v>
      </c>
      <c r="C908" t="s">
        <v>2273</v>
      </c>
      <c r="D908" t="s">
        <v>187</v>
      </c>
    </row>
    <row r="909" spans="1:4" x14ac:dyDescent="0.2">
      <c r="A909" t="s">
        <v>2274</v>
      </c>
      <c r="B909" t="s">
        <v>2275</v>
      </c>
      <c r="C909" t="s">
        <v>2276</v>
      </c>
      <c r="D909" t="s">
        <v>195</v>
      </c>
    </row>
    <row r="910" spans="1:4" x14ac:dyDescent="0.2">
      <c r="A910" t="s">
        <v>2274</v>
      </c>
      <c r="B910" t="s">
        <v>2277</v>
      </c>
      <c r="C910" t="s">
        <v>2278</v>
      </c>
      <c r="D910" t="s">
        <v>195</v>
      </c>
    </row>
    <row r="911" spans="1:4" x14ac:dyDescent="0.2">
      <c r="A911" t="s">
        <v>2279</v>
      </c>
      <c r="B911" t="s">
        <v>2280</v>
      </c>
      <c r="C911" t="s">
        <v>190</v>
      </c>
      <c r="D911" t="s">
        <v>191</v>
      </c>
    </row>
    <row r="912" spans="1:4" x14ac:dyDescent="0.2">
      <c r="A912" t="s">
        <v>2279</v>
      </c>
      <c r="B912" t="s">
        <v>2281</v>
      </c>
      <c r="C912" t="s">
        <v>190</v>
      </c>
      <c r="D912" t="s">
        <v>191</v>
      </c>
    </row>
    <row r="913" spans="1:4" x14ac:dyDescent="0.2">
      <c r="A913" t="s">
        <v>2282</v>
      </c>
      <c r="B913" t="s">
        <v>2283</v>
      </c>
      <c r="C913" t="s">
        <v>2284</v>
      </c>
      <c r="D913" t="s">
        <v>187</v>
      </c>
    </row>
    <row r="914" spans="1:4" x14ac:dyDescent="0.2">
      <c r="A914" t="s">
        <v>2285</v>
      </c>
      <c r="B914" t="s">
        <v>2286</v>
      </c>
      <c r="C914" t="s">
        <v>190</v>
      </c>
      <c r="D914" t="s">
        <v>280</v>
      </c>
    </row>
    <row r="915" spans="1:4" x14ac:dyDescent="0.2">
      <c r="A915" t="s">
        <v>2287</v>
      </c>
      <c r="B915" t="s">
        <v>2288</v>
      </c>
      <c r="C915" t="s">
        <v>2289</v>
      </c>
      <c r="D915" t="s">
        <v>195</v>
      </c>
    </row>
    <row r="916" spans="1:4" x14ac:dyDescent="0.2">
      <c r="A916" t="s">
        <v>2290</v>
      </c>
      <c r="B916" t="s">
        <v>2291</v>
      </c>
      <c r="C916" t="s">
        <v>2292</v>
      </c>
      <c r="D916" t="s">
        <v>195</v>
      </c>
    </row>
    <row r="917" spans="1:4" x14ac:dyDescent="0.2">
      <c r="A917" t="s">
        <v>2293</v>
      </c>
      <c r="B917" t="s">
        <v>2294</v>
      </c>
      <c r="C917" t="s">
        <v>2295</v>
      </c>
      <c r="D917" t="s">
        <v>187</v>
      </c>
    </row>
    <row r="918" spans="1:4" x14ac:dyDescent="0.2">
      <c r="A918" t="s">
        <v>2296</v>
      </c>
      <c r="B918" t="s">
        <v>2297</v>
      </c>
      <c r="C918" t="s">
        <v>190</v>
      </c>
      <c r="D918" t="s">
        <v>280</v>
      </c>
    </row>
    <row r="919" spans="1:4" x14ac:dyDescent="0.2">
      <c r="A919" t="s">
        <v>2298</v>
      </c>
      <c r="B919" t="s">
        <v>2299</v>
      </c>
      <c r="C919" t="s">
        <v>190</v>
      </c>
      <c r="D919" t="s">
        <v>191</v>
      </c>
    </row>
    <row r="920" spans="1:4" x14ac:dyDescent="0.2">
      <c r="A920" t="s">
        <v>2300</v>
      </c>
      <c r="B920" t="s">
        <v>2301</v>
      </c>
      <c r="C920" t="s">
        <v>190</v>
      </c>
      <c r="D920" t="s">
        <v>191</v>
      </c>
    </row>
    <row r="921" spans="1:4" x14ac:dyDescent="0.2">
      <c r="A921" t="s">
        <v>2302</v>
      </c>
      <c r="B921" t="s">
        <v>2303</v>
      </c>
      <c r="C921" t="s">
        <v>190</v>
      </c>
      <c r="D921" t="s">
        <v>191</v>
      </c>
    </row>
    <row r="922" spans="1:4" x14ac:dyDescent="0.2">
      <c r="A922" t="s">
        <v>2304</v>
      </c>
      <c r="B922" t="s">
        <v>2305</v>
      </c>
      <c r="C922" t="s">
        <v>2306</v>
      </c>
      <c r="D922" t="s">
        <v>195</v>
      </c>
    </row>
    <row r="923" spans="1:4" x14ac:dyDescent="0.2">
      <c r="A923" t="s">
        <v>2307</v>
      </c>
      <c r="B923" t="s">
        <v>2308</v>
      </c>
      <c r="C923" t="s">
        <v>2309</v>
      </c>
      <c r="D923" t="s">
        <v>195</v>
      </c>
    </row>
    <row r="924" spans="1:4" x14ac:dyDescent="0.2">
      <c r="A924" t="s">
        <v>2310</v>
      </c>
      <c r="B924" t="s">
        <v>2311</v>
      </c>
      <c r="C924" t="s">
        <v>2312</v>
      </c>
      <c r="D924" t="s">
        <v>195</v>
      </c>
    </row>
    <row r="925" spans="1:4" x14ac:dyDescent="0.2">
      <c r="A925" t="s">
        <v>2313</v>
      </c>
      <c r="B925" t="s">
        <v>2314</v>
      </c>
      <c r="C925" t="s">
        <v>190</v>
      </c>
      <c r="D925" t="s">
        <v>191</v>
      </c>
    </row>
    <row r="926" spans="1:4" x14ac:dyDescent="0.2">
      <c r="A926" t="s">
        <v>2315</v>
      </c>
      <c r="B926" t="s">
        <v>2316</v>
      </c>
      <c r="C926" t="s">
        <v>190</v>
      </c>
      <c r="D926" t="s">
        <v>191</v>
      </c>
    </row>
    <row r="927" spans="1:4" x14ac:dyDescent="0.2">
      <c r="A927" t="s">
        <v>2315</v>
      </c>
      <c r="B927" t="s">
        <v>2317</v>
      </c>
      <c r="C927" t="s">
        <v>190</v>
      </c>
      <c r="D927" t="s">
        <v>280</v>
      </c>
    </row>
    <row r="928" spans="1:4" x14ac:dyDescent="0.2">
      <c r="A928" t="s">
        <v>2318</v>
      </c>
      <c r="B928" t="s">
        <v>2319</v>
      </c>
      <c r="C928" t="s">
        <v>190</v>
      </c>
      <c r="D928" t="s">
        <v>191</v>
      </c>
    </row>
    <row r="929" spans="1:4" x14ac:dyDescent="0.2">
      <c r="A929" t="s">
        <v>2320</v>
      </c>
      <c r="B929" t="s">
        <v>2321</v>
      </c>
      <c r="C929" t="s">
        <v>190</v>
      </c>
      <c r="D929" t="s">
        <v>191</v>
      </c>
    </row>
    <row r="930" spans="1:4" x14ac:dyDescent="0.2">
      <c r="A930" t="s">
        <v>2322</v>
      </c>
      <c r="B930" t="s">
        <v>2323</v>
      </c>
      <c r="C930" t="s">
        <v>190</v>
      </c>
      <c r="D930" t="s">
        <v>280</v>
      </c>
    </row>
    <row r="931" spans="1:4" x14ac:dyDescent="0.2">
      <c r="A931" t="s">
        <v>2324</v>
      </c>
      <c r="B931" t="s">
        <v>2325</v>
      </c>
      <c r="C931" t="s">
        <v>2326</v>
      </c>
      <c r="D931" t="s">
        <v>195</v>
      </c>
    </row>
    <row r="932" spans="1:4" x14ac:dyDescent="0.2">
      <c r="A932" t="s">
        <v>2327</v>
      </c>
      <c r="B932" t="s">
        <v>2328</v>
      </c>
      <c r="C932" t="s">
        <v>190</v>
      </c>
      <c r="D932" t="s">
        <v>191</v>
      </c>
    </row>
    <row r="933" spans="1:4" x14ac:dyDescent="0.2">
      <c r="A933" t="s">
        <v>2329</v>
      </c>
      <c r="B933" t="s">
        <v>2330</v>
      </c>
      <c r="C933" t="s">
        <v>2331</v>
      </c>
      <c r="D933" t="s">
        <v>195</v>
      </c>
    </row>
    <row r="934" spans="1:4" x14ac:dyDescent="0.2">
      <c r="A934" t="s">
        <v>2332</v>
      </c>
      <c r="B934" t="s">
        <v>2333</v>
      </c>
      <c r="C934" t="s">
        <v>2334</v>
      </c>
      <c r="D934" t="s">
        <v>195</v>
      </c>
    </row>
    <row r="935" spans="1:4" x14ac:dyDescent="0.2">
      <c r="A935" t="s">
        <v>2335</v>
      </c>
      <c r="B935" t="s">
        <v>2336</v>
      </c>
      <c r="C935" t="s">
        <v>190</v>
      </c>
      <c r="D935" t="s">
        <v>191</v>
      </c>
    </row>
    <row r="936" spans="1:4" x14ac:dyDescent="0.2">
      <c r="A936" t="s">
        <v>2335</v>
      </c>
      <c r="B936" t="s">
        <v>2337</v>
      </c>
      <c r="C936" t="s">
        <v>2338</v>
      </c>
      <c r="D936" t="s">
        <v>195</v>
      </c>
    </row>
    <row r="937" spans="1:4" x14ac:dyDescent="0.2">
      <c r="A937" t="s">
        <v>2339</v>
      </c>
      <c r="B937" t="s">
        <v>2340</v>
      </c>
      <c r="C937" t="s">
        <v>2341</v>
      </c>
      <c r="D937" t="s">
        <v>187</v>
      </c>
    </row>
    <row r="938" spans="1:4" x14ac:dyDescent="0.2">
      <c r="A938" t="s">
        <v>2342</v>
      </c>
      <c r="B938" t="s">
        <v>2343</v>
      </c>
      <c r="C938" t="s">
        <v>190</v>
      </c>
      <c r="D938" t="s">
        <v>191</v>
      </c>
    </row>
    <row r="939" spans="1:4" x14ac:dyDescent="0.2">
      <c r="A939" t="s">
        <v>2342</v>
      </c>
      <c r="B939" t="s">
        <v>2344</v>
      </c>
      <c r="C939" t="s">
        <v>190</v>
      </c>
      <c r="D939" t="s">
        <v>191</v>
      </c>
    </row>
    <row r="940" spans="1:4" x14ac:dyDescent="0.2">
      <c r="A940" t="s">
        <v>2345</v>
      </c>
      <c r="B940" t="s">
        <v>2346</v>
      </c>
      <c r="C940" t="s">
        <v>190</v>
      </c>
      <c r="D940" t="s">
        <v>191</v>
      </c>
    </row>
    <row r="941" spans="1:4" x14ac:dyDescent="0.2">
      <c r="A941" t="s">
        <v>2347</v>
      </c>
      <c r="B941" t="s">
        <v>2348</v>
      </c>
      <c r="C941" t="s">
        <v>2349</v>
      </c>
      <c r="D941" t="s">
        <v>195</v>
      </c>
    </row>
    <row r="942" spans="1:4" x14ac:dyDescent="0.2">
      <c r="A942" t="s">
        <v>2350</v>
      </c>
      <c r="B942" t="s">
        <v>2351</v>
      </c>
      <c r="C942" t="s">
        <v>190</v>
      </c>
      <c r="D942" t="s">
        <v>280</v>
      </c>
    </row>
    <row r="943" spans="1:4" x14ac:dyDescent="0.2">
      <c r="A943" t="s">
        <v>2352</v>
      </c>
      <c r="B943" t="s">
        <v>2353</v>
      </c>
      <c r="C943" t="s">
        <v>2354</v>
      </c>
      <c r="D943" t="s">
        <v>195</v>
      </c>
    </row>
    <row r="944" spans="1:4" x14ac:dyDescent="0.2">
      <c r="A944" t="s">
        <v>2355</v>
      </c>
      <c r="B944" t="s">
        <v>2356</v>
      </c>
      <c r="C944" t="s">
        <v>190</v>
      </c>
      <c r="D944" t="s">
        <v>191</v>
      </c>
    </row>
    <row r="945" spans="1:4" x14ac:dyDescent="0.2">
      <c r="A945" t="s">
        <v>2357</v>
      </c>
      <c r="B945" t="s">
        <v>2358</v>
      </c>
      <c r="C945" t="s">
        <v>2359</v>
      </c>
      <c r="D945" t="s">
        <v>187</v>
      </c>
    </row>
    <row r="946" spans="1:4" x14ac:dyDescent="0.2">
      <c r="A946" t="s">
        <v>2360</v>
      </c>
      <c r="B946" t="s">
        <v>2361</v>
      </c>
      <c r="C946" t="s">
        <v>190</v>
      </c>
      <c r="D946" t="s">
        <v>2362</v>
      </c>
    </row>
    <row r="947" spans="1:4" x14ac:dyDescent="0.2">
      <c r="A947" t="s">
        <v>2363</v>
      </c>
      <c r="B947" t="s">
        <v>2364</v>
      </c>
      <c r="C947" t="s">
        <v>2365</v>
      </c>
      <c r="D947" t="s">
        <v>195</v>
      </c>
    </row>
    <row r="948" spans="1:4" x14ac:dyDescent="0.2">
      <c r="A948" t="s">
        <v>2366</v>
      </c>
      <c r="B948" t="s">
        <v>2367</v>
      </c>
      <c r="C948" t="s">
        <v>190</v>
      </c>
      <c r="D948" t="s">
        <v>191</v>
      </c>
    </row>
    <row r="949" spans="1:4" x14ac:dyDescent="0.2">
      <c r="A949" t="s">
        <v>2368</v>
      </c>
      <c r="B949" t="s">
        <v>2369</v>
      </c>
      <c r="C949" t="s">
        <v>2370</v>
      </c>
      <c r="D949" t="s">
        <v>187</v>
      </c>
    </row>
    <row r="950" spans="1:4" x14ac:dyDescent="0.2">
      <c r="A950" t="s">
        <v>2371</v>
      </c>
      <c r="B950" t="s">
        <v>2372</v>
      </c>
      <c r="C950" t="s">
        <v>2373</v>
      </c>
      <c r="D950" t="s">
        <v>195</v>
      </c>
    </row>
    <row r="951" spans="1:4" x14ac:dyDescent="0.2">
      <c r="A951" t="s">
        <v>2374</v>
      </c>
      <c r="B951" t="s">
        <v>2375</v>
      </c>
      <c r="C951" t="s">
        <v>190</v>
      </c>
      <c r="D951" t="s">
        <v>191</v>
      </c>
    </row>
    <row r="952" spans="1:4" x14ac:dyDescent="0.2">
      <c r="A952" t="s">
        <v>2376</v>
      </c>
      <c r="B952" t="s">
        <v>2377</v>
      </c>
      <c r="C952" t="s">
        <v>2378</v>
      </c>
      <c r="D952" t="s">
        <v>195</v>
      </c>
    </row>
    <row r="953" spans="1:4" x14ac:dyDescent="0.2">
      <c r="A953" t="s">
        <v>2379</v>
      </c>
      <c r="B953" t="s">
        <v>2380</v>
      </c>
      <c r="C953" t="s">
        <v>2381</v>
      </c>
      <c r="D953" t="s">
        <v>195</v>
      </c>
    </row>
    <row r="954" spans="1:4" x14ac:dyDescent="0.2">
      <c r="A954" t="s">
        <v>2382</v>
      </c>
      <c r="B954" t="s">
        <v>2383</v>
      </c>
      <c r="C954" t="s">
        <v>2384</v>
      </c>
      <c r="D954" t="s">
        <v>195</v>
      </c>
    </row>
    <row r="955" spans="1:4" x14ac:dyDescent="0.2">
      <c r="A955" t="s">
        <v>2385</v>
      </c>
      <c r="B955" t="s">
        <v>2386</v>
      </c>
      <c r="C955" t="s">
        <v>190</v>
      </c>
      <c r="D955" t="s">
        <v>191</v>
      </c>
    </row>
    <row r="956" spans="1:4" x14ac:dyDescent="0.2">
      <c r="A956" t="s">
        <v>2385</v>
      </c>
      <c r="B956" t="s">
        <v>2387</v>
      </c>
      <c r="C956" t="s">
        <v>2388</v>
      </c>
      <c r="D956" t="s">
        <v>195</v>
      </c>
    </row>
    <row r="957" spans="1:4" x14ac:dyDescent="0.2">
      <c r="A957" t="s">
        <v>2389</v>
      </c>
      <c r="B957" t="s">
        <v>2390</v>
      </c>
      <c r="C957" t="s">
        <v>190</v>
      </c>
      <c r="D957" t="s">
        <v>191</v>
      </c>
    </row>
    <row r="958" spans="1:4" x14ac:dyDescent="0.2">
      <c r="A958" t="s">
        <v>2391</v>
      </c>
      <c r="B958" t="s">
        <v>2392</v>
      </c>
      <c r="C958" t="s">
        <v>2393</v>
      </c>
      <c r="D958" t="s">
        <v>187</v>
      </c>
    </row>
    <row r="959" spans="1:4" x14ac:dyDescent="0.2">
      <c r="A959" t="s">
        <v>2394</v>
      </c>
      <c r="B959" t="s">
        <v>2395</v>
      </c>
      <c r="C959" t="s">
        <v>190</v>
      </c>
      <c r="D959" t="s">
        <v>191</v>
      </c>
    </row>
    <row r="960" spans="1:4" x14ac:dyDescent="0.2">
      <c r="A960" t="s">
        <v>2396</v>
      </c>
      <c r="B960" t="s">
        <v>2397</v>
      </c>
      <c r="C960" t="s">
        <v>190</v>
      </c>
      <c r="D960" t="s">
        <v>280</v>
      </c>
    </row>
    <row r="961" spans="1:4" x14ac:dyDescent="0.2">
      <c r="A961" t="s">
        <v>2398</v>
      </c>
      <c r="B961" t="s">
        <v>2399</v>
      </c>
      <c r="C961" t="s">
        <v>2400</v>
      </c>
      <c r="D961" t="s">
        <v>187</v>
      </c>
    </row>
    <row r="962" spans="1:4" x14ac:dyDescent="0.2">
      <c r="A962" t="s">
        <v>2401</v>
      </c>
      <c r="B962" t="s">
        <v>2402</v>
      </c>
      <c r="C962" t="s">
        <v>2403</v>
      </c>
      <c r="D962" t="s">
        <v>195</v>
      </c>
    </row>
    <row r="963" spans="1:4" x14ac:dyDescent="0.2">
      <c r="A963" t="s">
        <v>2404</v>
      </c>
      <c r="B963" t="s">
        <v>2405</v>
      </c>
      <c r="C963" t="s">
        <v>190</v>
      </c>
      <c r="D963" t="s">
        <v>191</v>
      </c>
    </row>
    <row r="964" spans="1:4" x14ac:dyDescent="0.2">
      <c r="A964" t="s">
        <v>2406</v>
      </c>
      <c r="B964" t="s">
        <v>2407</v>
      </c>
      <c r="C964" t="s">
        <v>2408</v>
      </c>
      <c r="D964" t="s">
        <v>195</v>
      </c>
    </row>
    <row r="965" spans="1:4" x14ac:dyDescent="0.2">
      <c r="A965" t="s">
        <v>2409</v>
      </c>
      <c r="B965" t="s">
        <v>2410</v>
      </c>
      <c r="C965" t="s">
        <v>2411</v>
      </c>
      <c r="D965" t="s">
        <v>195</v>
      </c>
    </row>
    <row r="966" spans="1:4" x14ac:dyDescent="0.2">
      <c r="A966" t="s">
        <v>2412</v>
      </c>
      <c r="B966" t="s">
        <v>2413</v>
      </c>
      <c r="C966" t="s">
        <v>190</v>
      </c>
      <c r="D966" t="s">
        <v>191</v>
      </c>
    </row>
    <row r="967" spans="1:4" x14ac:dyDescent="0.2">
      <c r="A967" t="s">
        <v>2414</v>
      </c>
      <c r="B967" t="s">
        <v>2415</v>
      </c>
      <c r="C967" t="s">
        <v>2416</v>
      </c>
      <c r="D967" t="s">
        <v>195</v>
      </c>
    </row>
    <row r="968" spans="1:4" x14ac:dyDescent="0.2">
      <c r="A968" t="s">
        <v>2417</v>
      </c>
      <c r="B968" t="s">
        <v>2418</v>
      </c>
      <c r="C968" t="s">
        <v>2419</v>
      </c>
      <c r="D968" t="s">
        <v>195</v>
      </c>
    </row>
    <row r="969" spans="1:4" x14ac:dyDescent="0.2">
      <c r="A969" t="s">
        <v>2420</v>
      </c>
      <c r="B969" t="s">
        <v>2421</v>
      </c>
      <c r="C969" t="s">
        <v>190</v>
      </c>
      <c r="D969" t="s">
        <v>191</v>
      </c>
    </row>
    <row r="970" spans="1:4" x14ac:dyDescent="0.2">
      <c r="A970" t="s">
        <v>2422</v>
      </c>
      <c r="B970" t="s">
        <v>2423</v>
      </c>
      <c r="C970" t="s">
        <v>190</v>
      </c>
      <c r="D970" t="s">
        <v>191</v>
      </c>
    </row>
    <row r="971" spans="1:4" x14ac:dyDescent="0.2">
      <c r="A971" t="s">
        <v>2424</v>
      </c>
      <c r="B971" t="s">
        <v>2425</v>
      </c>
      <c r="C971" t="s">
        <v>190</v>
      </c>
      <c r="D971" t="s">
        <v>191</v>
      </c>
    </row>
    <row r="972" spans="1:4" x14ac:dyDescent="0.2">
      <c r="A972" t="s">
        <v>2426</v>
      </c>
      <c r="B972" t="s">
        <v>2427</v>
      </c>
      <c r="C972" t="s">
        <v>2428</v>
      </c>
      <c r="D972" t="s">
        <v>195</v>
      </c>
    </row>
    <row r="973" spans="1:4" x14ac:dyDescent="0.2">
      <c r="A973" t="s">
        <v>2429</v>
      </c>
      <c r="B973" t="s">
        <v>2430</v>
      </c>
      <c r="C973" t="s">
        <v>190</v>
      </c>
      <c r="D973" t="s">
        <v>191</v>
      </c>
    </row>
    <row r="974" spans="1:4" x14ac:dyDescent="0.2">
      <c r="A974" t="s">
        <v>2431</v>
      </c>
      <c r="B974" t="s">
        <v>2432</v>
      </c>
      <c r="C974" t="s">
        <v>190</v>
      </c>
      <c r="D974" t="s">
        <v>191</v>
      </c>
    </row>
    <row r="975" spans="1:4" x14ac:dyDescent="0.2">
      <c r="A975" t="s">
        <v>2433</v>
      </c>
      <c r="B975" t="s">
        <v>2434</v>
      </c>
      <c r="C975" t="s">
        <v>190</v>
      </c>
      <c r="D975" t="s">
        <v>191</v>
      </c>
    </row>
    <row r="976" spans="1:4" x14ac:dyDescent="0.2">
      <c r="A976" t="s">
        <v>2435</v>
      </c>
      <c r="B976" t="s">
        <v>2436</v>
      </c>
      <c r="C976" t="s">
        <v>2437</v>
      </c>
      <c r="D976" t="s">
        <v>195</v>
      </c>
    </row>
    <row r="977" spans="1:4" x14ac:dyDescent="0.2">
      <c r="A977" t="s">
        <v>2438</v>
      </c>
      <c r="B977" t="s">
        <v>2439</v>
      </c>
      <c r="C977" t="s">
        <v>190</v>
      </c>
      <c r="D977" t="s">
        <v>191</v>
      </c>
    </row>
    <row r="978" spans="1:4" x14ac:dyDescent="0.2">
      <c r="A978" t="s">
        <v>2438</v>
      </c>
      <c r="B978" t="s">
        <v>2440</v>
      </c>
      <c r="C978" t="s">
        <v>2441</v>
      </c>
      <c r="D978" t="s">
        <v>195</v>
      </c>
    </row>
    <row r="979" spans="1:4" x14ac:dyDescent="0.2">
      <c r="A979" t="s">
        <v>2442</v>
      </c>
      <c r="B979" t="s">
        <v>2440</v>
      </c>
      <c r="C979" t="s">
        <v>2441</v>
      </c>
      <c r="D979" t="s">
        <v>195</v>
      </c>
    </row>
    <row r="980" spans="1:4" x14ac:dyDescent="0.2">
      <c r="A980" t="s">
        <v>2443</v>
      </c>
      <c r="B980" t="s">
        <v>2444</v>
      </c>
      <c r="C980" t="s">
        <v>2445</v>
      </c>
      <c r="D980" t="s">
        <v>195</v>
      </c>
    </row>
    <row r="981" spans="1:4" x14ac:dyDescent="0.2">
      <c r="A981" t="s">
        <v>2446</v>
      </c>
      <c r="B981" t="s">
        <v>2447</v>
      </c>
      <c r="C981" t="s">
        <v>190</v>
      </c>
      <c r="D981" t="s">
        <v>191</v>
      </c>
    </row>
    <row r="982" spans="1:4" x14ac:dyDescent="0.2">
      <c r="A982" t="s">
        <v>2448</v>
      </c>
      <c r="B982" t="s">
        <v>2449</v>
      </c>
      <c r="C982" t="s">
        <v>190</v>
      </c>
      <c r="D982" t="s">
        <v>191</v>
      </c>
    </row>
    <row r="983" spans="1:4" x14ac:dyDescent="0.2">
      <c r="A983" t="s">
        <v>2450</v>
      </c>
      <c r="B983" t="s">
        <v>2451</v>
      </c>
      <c r="C983" t="s">
        <v>2452</v>
      </c>
      <c r="D983" t="s">
        <v>195</v>
      </c>
    </row>
    <row r="984" spans="1:4" x14ac:dyDescent="0.2">
      <c r="A984" t="s">
        <v>2453</v>
      </c>
      <c r="B984" t="s">
        <v>2454</v>
      </c>
      <c r="C984" t="s">
        <v>190</v>
      </c>
      <c r="D984" t="s">
        <v>280</v>
      </c>
    </row>
    <row r="985" spans="1:4" x14ac:dyDescent="0.2">
      <c r="A985" t="s">
        <v>2455</v>
      </c>
      <c r="B985" t="s">
        <v>2456</v>
      </c>
      <c r="C985" t="s">
        <v>2457</v>
      </c>
      <c r="D985" t="s">
        <v>195</v>
      </c>
    </row>
    <row r="986" spans="1:4" x14ac:dyDescent="0.2">
      <c r="A986" t="s">
        <v>2458</v>
      </c>
      <c r="B986" t="s">
        <v>2459</v>
      </c>
      <c r="C986" t="s">
        <v>190</v>
      </c>
      <c r="D986" t="s">
        <v>191</v>
      </c>
    </row>
    <row r="987" spans="1:4" x14ac:dyDescent="0.2">
      <c r="A987" t="s">
        <v>2460</v>
      </c>
      <c r="B987" t="s">
        <v>2461</v>
      </c>
      <c r="C987" t="s">
        <v>190</v>
      </c>
      <c r="D987" t="s">
        <v>191</v>
      </c>
    </row>
    <row r="988" spans="1:4" x14ac:dyDescent="0.2">
      <c r="A988" t="s">
        <v>2462</v>
      </c>
      <c r="B988" t="s">
        <v>2463</v>
      </c>
      <c r="C988" t="s">
        <v>2464</v>
      </c>
      <c r="D988" t="s">
        <v>195</v>
      </c>
    </row>
    <row r="989" spans="1:4" x14ac:dyDescent="0.2">
      <c r="A989" t="s">
        <v>2465</v>
      </c>
      <c r="B989" t="s">
        <v>2466</v>
      </c>
      <c r="C989" t="s">
        <v>190</v>
      </c>
      <c r="D989" t="s">
        <v>191</v>
      </c>
    </row>
    <row r="990" spans="1:4" x14ac:dyDescent="0.2">
      <c r="A990" t="s">
        <v>2467</v>
      </c>
      <c r="B990" t="s">
        <v>2468</v>
      </c>
      <c r="C990" t="s">
        <v>190</v>
      </c>
      <c r="D990" t="s">
        <v>191</v>
      </c>
    </row>
    <row r="991" spans="1:4" x14ac:dyDescent="0.2">
      <c r="A991" t="s">
        <v>2469</v>
      </c>
      <c r="B991" t="s">
        <v>2470</v>
      </c>
      <c r="C991" t="s">
        <v>190</v>
      </c>
      <c r="D991" t="s">
        <v>191</v>
      </c>
    </row>
    <row r="992" spans="1:4" x14ac:dyDescent="0.2">
      <c r="A992" t="s">
        <v>2471</v>
      </c>
      <c r="B992" t="s">
        <v>2472</v>
      </c>
      <c r="C992" t="s">
        <v>190</v>
      </c>
      <c r="D992" t="s">
        <v>191</v>
      </c>
    </row>
    <row r="993" spans="1:4" x14ac:dyDescent="0.2">
      <c r="A993" t="s">
        <v>2471</v>
      </c>
      <c r="B993" t="s">
        <v>2473</v>
      </c>
      <c r="C993" t="s">
        <v>190</v>
      </c>
      <c r="D993" t="s">
        <v>280</v>
      </c>
    </row>
    <row r="994" spans="1:4" x14ac:dyDescent="0.2">
      <c r="A994" t="s">
        <v>2474</v>
      </c>
      <c r="B994" t="s">
        <v>2475</v>
      </c>
      <c r="C994" t="s">
        <v>2476</v>
      </c>
      <c r="D994" t="s">
        <v>195</v>
      </c>
    </row>
    <row r="995" spans="1:4" x14ac:dyDescent="0.2">
      <c r="A995" t="s">
        <v>2477</v>
      </c>
      <c r="B995" t="s">
        <v>2478</v>
      </c>
      <c r="C995" t="s">
        <v>2479</v>
      </c>
      <c r="D995" t="s">
        <v>187</v>
      </c>
    </row>
    <row r="996" spans="1:4" x14ac:dyDescent="0.2">
      <c r="A996" t="s">
        <v>2480</v>
      </c>
      <c r="B996" t="s">
        <v>2481</v>
      </c>
      <c r="C996" t="s">
        <v>2482</v>
      </c>
      <c r="D996" t="s">
        <v>195</v>
      </c>
    </row>
    <row r="997" spans="1:4" x14ac:dyDescent="0.2">
      <c r="A997" t="s">
        <v>2483</v>
      </c>
      <c r="B997" t="s">
        <v>2484</v>
      </c>
      <c r="C997" t="s">
        <v>2485</v>
      </c>
      <c r="D997" t="s">
        <v>187</v>
      </c>
    </row>
    <row r="998" spans="1:4" x14ac:dyDescent="0.2">
      <c r="A998" t="s">
        <v>2486</v>
      </c>
      <c r="B998" t="s">
        <v>2487</v>
      </c>
      <c r="C998" t="s">
        <v>2488</v>
      </c>
      <c r="D998" t="s">
        <v>195</v>
      </c>
    </row>
    <row r="999" spans="1:4" x14ac:dyDescent="0.2">
      <c r="A999" t="s">
        <v>2489</v>
      </c>
      <c r="B999" t="s">
        <v>2490</v>
      </c>
      <c r="C999" t="s">
        <v>2491</v>
      </c>
      <c r="D999" t="s">
        <v>195</v>
      </c>
    </row>
    <row r="1000" spans="1:4" x14ac:dyDescent="0.2">
      <c r="A1000" t="s">
        <v>2492</v>
      </c>
      <c r="B1000" t="s">
        <v>2493</v>
      </c>
      <c r="C1000" t="s">
        <v>190</v>
      </c>
      <c r="D1000" t="s">
        <v>191</v>
      </c>
    </row>
    <row r="1001" spans="1:4" x14ac:dyDescent="0.2">
      <c r="A1001" t="s">
        <v>2494</v>
      </c>
      <c r="B1001" t="s">
        <v>2495</v>
      </c>
      <c r="C1001" t="s">
        <v>190</v>
      </c>
      <c r="D1001" t="s">
        <v>191</v>
      </c>
    </row>
    <row r="1002" spans="1:4" x14ac:dyDescent="0.2">
      <c r="A1002" t="s">
        <v>2496</v>
      </c>
      <c r="B1002" t="s">
        <v>2497</v>
      </c>
      <c r="C1002" t="s">
        <v>2498</v>
      </c>
      <c r="D1002" t="s">
        <v>195</v>
      </c>
    </row>
    <row r="1003" spans="1:4" x14ac:dyDescent="0.2">
      <c r="A1003" t="s">
        <v>2499</v>
      </c>
      <c r="B1003" t="s">
        <v>2500</v>
      </c>
      <c r="C1003" t="s">
        <v>190</v>
      </c>
      <c r="D1003" t="s">
        <v>191</v>
      </c>
    </row>
    <row r="1004" spans="1:4" x14ac:dyDescent="0.2">
      <c r="A1004" t="s">
        <v>2499</v>
      </c>
      <c r="B1004" t="s">
        <v>2501</v>
      </c>
      <c r="C1004" t="s">
        <v>190</v>
      </c>
      <c r="D1004" t="s">
        <v>191</v>
      </c>
    </row>
    <row r="1005" spans="1:4" x14ac:dyDescent="0.2">
      <c r="A1005" t="s">
        <v>2502</v>
      </c>
      <c r="B1005" t="s">
        <v>2503</v>
      </c>
      <c r="C1005" t="s">
        <v>190</v>
      </c>
      <c r="D1005" t="s">
        <v>191</v>
      </c>
    </row>
    <row r="1006" spans="1:4" x14ac:dyDescent="0.2">
      <c r="A1006" t="s">
        <v>2504</v>
      </c>
      <c r="B1006" t="s">
        <v>2505</v>
      </c>
      <c r="C1006" t="s">
        <v>190</v>
      </c>
      <c r="D1006" t="s">
        <v>191</v>
      </c>
    </row>
    <row r="1007" spans="1:4" x14ac:dyDescent="0.2">
      <c r="A1007" t="s">
        <v>2506</v>
      </c>
      <c r="B1007" t="s">
        <v>2507</v>
      </c>
      <c r="C1007" t="s">
        <v>2508</v>
      </c>
      <c r="D1007" t="s">
        <v>187</v>
      </c>
    </row>
    <row r="1008" spans="1:4" x14ac:dyDescent="0.2">
      <c r="A1008" t="s">
        <v>2509</v>
      </c>
      <c r="B1008" t="s">
        <v>2510</v>
      </c>
      <c r="C1008" t="s">
        <v>190</v>
      </c>
      <c r="D1008" t="s">
        <v>191</v>
      </c>
    </row>
    <row r="1009" spans="1:4" x14ac:dyDescent="0.2">
      <c r="A1009" t="s">
        <v>2511</v>
      </c>
      <c r="B1009" t="s">
        <v>2512</v>
      </c>
      <c r="C1009" t="s">
        <v>190</v>
      </c>
      <c r="D1009" t="s">
        <v>191</v>
      </c>
    </row>
    <row r="1010" spans="1:4" x14ac:dyDescent="0.2">
      <c r="A1010" t="s">
        <v>2513</v>
      </c>
      <c r="B1010" t="s">
        <v>2514</v>
      </c>
      <c r="C1010" t="s">
        <v>190</v>
      </c>
      <c r="D1010" t="s">
        <v>191</v>
      </c>
    </row>
    <row r="1011" spans="1:4" x14ac:dyDescent="0.2">
      <c r="A1011" t="s">
        <v>2515</v>
      </c>
      <c r="B1011" t="s">
        <v>2516</v>
      </c>
      <c r="C1011" t="s">
        <v>2517</v>
      </c>
      <c r="D1011" t="s">
        <v>195</v>
      </c>
    </row>
    <row r="1012" spans="1:4" x14ac:dyDescent="0.2">
      <c r="A1012" t="s">
        <v>2518</v>
      </c>
      <c r="B1012" t="s">
        <v>2519</v>
      </c>
      <c r="C1012" t="s">
        <v>190</v>
      </c>
      <c r="D1012" t="s">
        <v>191</v>
      </c>
    </row>
    <row r="1013" spans="1:4" x14ac:dyDescent="0.2">
      <c r="A1013" t="s">
        <v>2520</v>
      </c>
      <c r="B1013" t="s">
        <v>2521</v>
      </c>
      <c r="C1013" t="s">
        <v>2522</v>
      </c>
      <c r="D1013" t="s">
        <v>187</v>
      </c>
    </row>
    <row r="1014" spans="1:4" x14ac:dyDescent="0.2">
      <c r="A1014" t="s">
        <v>2523</v>
      </c>
      <c r="B1014" t="s">
        <v>2524</v>
      </c>
      <c r="C1014" t="s">
        <v>2525</v>
      </c>
      <c r="D1014" t="s">
        <v>187</v>
      </c>
    </row>
    <row r="1015" spans="1:4" x14ac:dyDescent="0.2">
      <c r="A1015" t="s">
        <v>2526</v>
      </c>
      <c r="B1015" t="s">
        <v>2527</v>
      </c>
      <c r="C1015" t="s">
        <v>2528</v>
      </c>
      <c r="D1015" t="s">
        <v>187</v>
      </c>
    </row>
    <row r="1016" spans="1:4" x14ac:dyDescent="0.2">
      <c r="A1016" t="s">
        <v>2529</v>
      </c>
      <c r="B1016" t="s">
        <v>2530</v>
      </c>
      <c r="C1016" t="s">
        <v>2531</v>
      </c>
      <c r="D1016" t="s">
        <v>187</v>
      </c>
    </row>
    <row r="1017" spans="1:4" x14ac:dyDescent="0.2">
      <c r="A1017" t="s">
        <v>2532</v>
      </c>
      <c r="B1017" t="s">
        <v>2533</v>
      </c>
      <c r="C1017" t="s">
        <v>2534</v>
      </c>
      <c r="D1017" t="s">
        <v>195</v>
      </c>
    </row>
    <row r="1018" spans="1:4" x14ac:dyDescent="0.2">
      <c r="A1018" t="s">
        <v>2535</v>
      </c>
      <c r="B1018" t="s">
        <v>2536</v>
      </c>
      <c r="C1018" t="s">
        <v>190</v>
      </c>
      <c r="D1018" t="s">
        <v>191</v>
      </c>
    </row>
    <row r="1019" spans="1:4" x14ac:dyDescent="0.2">
      <c r="A1019" t="s">
        <v>2537</v>
      </c>
      <c r="B1019" t="s">
        <v>2538</v>
      </c>
      <c r="C1019" t="s">
        <v>2539</v>
      </c>
      <c r="D1019" t="s">
        <v>187</v>
      </c>
    </row>
    <row r="1020" spans="1:4" x14ac:dyDescent="0.2">
      <c r="A1020" t="s">
        <v>2537</v>
      </c>
      <c r="B1020" t="s">
        <v>2540</v>
      </c>
      <c r="C1020" t="s">
        <v>2541</v>
      </c>
      <c r="D1020" t="s">
        <v>195</v>
      </c>
    </row>
    <row r="1021" spans="1:4" x14ac:dyDescent="0.2">
      <c r="A1021" t="s">
        <v>2542</v>
      </c>
      <c r="B1021" t="s">
        <v>2543</v>
      </c>
      <c r="C1021" t="s">
        <v>190</v>
      </c>
      <c r="D1021" t="s">
        <v>280</v>
      </c>
    </row>
    <row r="1022" spans="1:4" x14ac:dyDescent="0.2">
      <c r="A1022" t="s">
        <v>2544</v>
      </c>
      <c r="B1022" t="s">
        <v>2545</v>
      </c>
      <c r="C1022" t="s">
        <v>2546</v>
      </c>
      <c r="D1022" t="s">
        <v>195</v>
      </c>
    </row>
    <row r="1023" spans="1:4" x14ac:dyDescent="0.2">
      <c r="A1023" t="s">
        <v>2544</v>
      </c>
      <c r="B1023" t="s">
        <v>2547</v>
      </c>
      <c r="C1023" t="s">
        <v>2548</v>
      </c>
      <c r="D1023" t="s">
        <v>195</v>
      </c>
    </row>
    <row r="1024" spans="1:4" x14ac:dyDescent="0.2">
      <c r="A1024" t="s">
        <v>2549</v>
      </c>
      <c r="B1024" t="s">
        <v>2550</v>
      </c>
      <c r="C1024" t="s">
        <v>190</v>
      </c>
      <c r="D1024" t="s">
        <v>191</v>
      </c>
    </row>
    <row r="1025" spans="1:4" x14ac:dyDescent="0.2">
      <c r="A1025" t="s">
        <v>2551</v>
      </c>
      <c r="B1025" t="s">
        <v>2552</v>
      </c>
      <c r="C1025" t="s">
        <v>2553</v>
      </c>
      <c r="D1025" t="s">
        <v>195</v>
      </c>
    </row>
    <row r="1026" spans="1:4" x14ac:dyDescent="0.2">
      <c r="A1026" t="s">
        <v>2554</v>
      </c>
      <c r="B1026" t="s">
        <v>2555</v>
      </c>
      <c r="C1026" t="s">
        <v>2556</v>
      </c>
      <c r="D1026" t="s">
        <v>195</v>
      </c>
    </row>
    <row r="1027" spans="1:4" x14ac:dyDescent="0.2">
      <c r="A1027" t="s">
        <v>2554</v>
      </c>
      <c r="B1027" t="s">
        <v>2557</v>
      </c>
      <c r="C1027" t="s">
        <v>190</v>
      </c>
      <c r="D1027" t="s">
        <v>280</v>
      </c>
    </row>
    <row r="1028" spans="1:4" x14ac:dyDescent="0.2">
      <c r="A1028" t="s">
        <v>2554</v>
      </c>
      <c r="B1028" t="s">
        <v>2558</v>
      </c>
      <c r="C1028" t="s">
        <v>2559</v>
      </c>
      <c r="D1028" t="s">
        <v>195</v>
      </c>
    </row>
    <row r="1029" spans="1:4" x14ac:dyDescent="0.2">
      <c r="A1029" t="s">
        <v>2560</v>
      </c>
      <c r="B1029" t="s">
        <v>2561</v>
      </c>
      <c r="C1029" t="s">
        <v>2562</v>
      </c>
      <c r="D1029" t="s">
        <v>195</v>
      </c>
    </row>
    <row r="1030" spans="1:4" x14ac:dyDescent="0.2">
      <c r="A1030" t="s">
        <v>2563</v>
      </c>
      <c r="B1030" t="s">
        <v>2564</v>
      </c>
      <c r="C1030" t="s">
        <v>190</v>
      </c>
      <c r="D1030" t="s">
        <v>280</v>
      </c>
    </row>
    <row r="1031" spans="1:4" x14ac:dyDescent="0.2">
      <c r="A1031" t="s">
        <v>2565</v>
      </c>
      <c r="B1031" t="s">
        <v>2566</v>
      </c>
      <c r="C1031" t="s">
        <v>2567</v>
      </c>
      <c r="D1031" t="s">
        <v>187</v>
      </c>
    </row>
    <row r="1032" spans="1:4" x14ac:dyDescent="0.2">
      <c r="A1032" t="s">
        <v>2568</v>
      </c>
      <c r="B1032" t="s">
        <v>2569</v>
      </c>
      <c r="C1032" t="s">
        <v>190</v>
      </c>
      <c r="D1032" t="s">
        <v>191</v>
      </c>
    </row>
    <row r="1033" spans="1:4" x14ac:dyDescent="0.2">
      <c r="A1033" t="s">
        <v>2570</v>
      </c>
      <c r="B1033" t="s">
        <v>2571</v>
      </c>
      <c r="C1033" t="s">
        <v>2572</v>
      </c>
      <c r="D1033" t="s">
        <v>195</v>
      </c>
    </row>
    <row r="1034" spans="1:4" x14ac:dyDescent="0.2">
      <c r="A1034" t="s">
        <v>2573</v>
      </c>
      <c r="B1034" t="s">
        <v>2574</v>
      </c>
      <c r="C1034" t="s">
        <v>2575</v>
      </c>
      <c r="D1034" t="s">
        <v>187</v>
      </c>
    </row>
    <row r="1035" spans="1:4" x14ac:dyDescent="0.2">
      <c r="A1035" t="s">
        <v>2576</v>
      </c>
      <c r="B1035" t="s">
        <v>2577</v>
      </c>
      <c r="C1035" t="s">
        <v>190</v>
      </c>
      <c r="D1035" t="s">
        <v>280</v>
      </c>
    </row>
    <row r="1036" spans="1:4" x14ac:dyDescent="0.2">
      <c r="A1036" t="s">
        <v>2578</v>
      </c>
      <c r="B1036" t="s">
        <v>2579</v>
      </c>
      <c r="C1036" t="s">
        <v>190</v>
      </c>
      <c r="D1036" t="s">
        <v>191</v>
      </c>
    </row>
    <row r="1037" spans="1:4" x14ac:dyDescent="0.2">
      <c r="A1037" t="s">
        <v>2580</v>
      </c>
      <c r="B1037" t="s">
        <v>2581</v>
      </c>
      <c r="C1037" t="s">
        <v>190</v>
      </c>
      <c r="D1037" t="s">
        <v>191</v>
      </c>
    </row>
    <row r="1038" spans="1:4" x14ac:dyDescent="0.2">
      <c r="A1038" t="s">
        <v>2582</v>
      </c>
      <c r="B1038" t="s">
        <v>2583</v>
      </c>
      <c r="C1038" t="s">
        <v>190</v>
      </c>
      <c r="D1038" t="s">
        <v>191</v>
      </c>
    </row>
    <row r="1039" spans="1:4" x14ac:dyDescent="0.2">
      <c r="A1039" t="s">
        <v>2584</v>
      </c>
      <c r="B1039" t="s">
        <v>2585</v>
      </c>
      <c r="C1039" t="s">
        <v>190</v>
      </c>
      <c r="D1039" t="s">
        <v>191</v>
      </c>
    </row>
    <row r="1040" spans="1:4" x14ac:dyDescent="0.2">
      <c r="A1040" t="s">
        <v>2586</v>
      </c>
      <c r="B1040" t="s">
        <v>2587</v>
      </c>
      <c r="C1040" t="s">
        <v>190</v>
      </c>
      <c r="D1040" t="s">
        <v>280</v>
      </c>
    </row>
    <row r="1041" spans="1:4" x14ac:dyDescent="0.2">
      <c r="A1041" t="s">
        <v>2588</v>
      </c>
      <c r="B1041" t="s">
        <v>2589</v>
      </c>
      <c r="C1041" t="s">
        <v>2590</v>
      </c>
      <c r="D1041" t="s">
        <v>195</v>
      </c>
    </row>
    <row r="1042" spans="1:4" x14ac:dyDescent="0.2">
      <c r="A1042" t="s">
        <v>2591</v>
      </c>
      <c r="B1042" t="s">
        <v>2592</v>
      </c>
      <c r="C1042" t="s">
        <v>190</v>
      </c>
      <c r="D1042" t="s">
        <v>191</v>
      </c>
    </row>
    <row r="1043" spans="1:4" x14ac:dyDescent="0.2">
      <c r="A1043" t="s">
        <v>2593</v>
      </c>
      <c r="B1043" t="s">
        <v>2594</v>
      </c>
      <c r="C1043" t="s">
        <v>2595</v>
      </c>
      <c r="D1043" t="s">
        <v>195</v>
      </c>
    </row>
    <row r="1044" spans="1:4" x14ac:dyDescent="0.2">
      <c r="A1044" t="s">
        <v>2593</v>
      </c>
      <c r="B1044" t="s">
        <v>2596</v>
      </c>
      <c r="C1044" t="s">
        <v>2597</v>
      </c>
      <c r="D1044" t="s">
        <v>195</v>
      </c>
    </row>
    <row r="1045" spans="1:4" x14ac:dyDescent="0.2">
      <c r="A1045" t="s">
        <v>2598</v>
      </c>
      <c r="B1045" t="s">
        <v>2599</v>
      </c>
      <c r="C1045" t="s">
        <v>2600</v>
      </c>
      <c r="D1045" t="s">
        <v>195</v>
      </c>
    </row>
    <row r="1046" spans="1:4" x14ac:dyDescent="0.2">
      <c r="A1046" t="s">
        <v>2601</v>
      </c>
      <c r="B1046" t="s">
        <v>2602</v>
      </c>
      <c r="C1046" t="s">
        <v>2603</v>
      </c>
      <c r="D1046" t="s">
        <v>195</v>
      </c>
    </row>
    <row r="1047" spans="1:4" x14ac:dyDescent="0.2">
      <c r="A1047" t="s">
        <v>2604</v>
      </c>
      <c r="B1047" t="s">
        <v>993</v>
      </c>
      <c r="C1047" t="s">
        <v>994</v>
      </c>
      <c r="D1047" t="s">
        <v>195</v>
      </c>
    </row>
    <row r="1048" spans="1:4" x14ac:dyDescent="0.2">
      <c r="A1048" t="s">
        <v>2604</v>
      </c>
      <c r="B1048" t="s">
        <v>2605</v>
      </c>
      <c r="C1048" t="s">
        <v>2606</v>
      </c>
      <c r="D1048" t="s">
        <v>195</v>
      </c>
    </row>
    <row r="1049" spans="1:4" x14ac:dyDescent="0.2">
      <c r="A1049" t="s">
        <v>2607</v>
      </c>
      <c r="B1049" t="s">
        <v>2608</v>
      </c>
      <c r="C1049" t="s">
        <v>190</v>
      </c>
      <c r="D1049" t="s">
        <v>191</v>
      </c>
    </row>
    <row r="1050" spans="1:4" x14ac:dyDescent="0.2">
      <c r="A1050" t="s">
        <v>2609</v>
      </c>
      <c r="B1050" t="s">
        <v>2610</v>
      </c>
      <c r="C1050" t="s">
        <v>2611</v>
      </c>
      <c r="D1050" t="s">
        <v>187</v>
      </c>
    </row>
    <row r="1051" spans="1:4" x14ac:dyDescent="0.2">
      <c r="A1051" t="s">
        <v>2612</v>
      </c>
      <c r="B1051" t="s">
        <v>2613</v>
      </c>
      <c r="C1051" t="s">
        <v>2614</v>
      </c>
      <c r="D1051" t="s">
        <v>187</v>
      </c>
    </row>
    <row r="1052" spans="1:4" x14ac:dyDescent="0.2">
      <c r="A1052" t="s">
        <v>2612</v>
      </c>
      <c r="B1052" t="s">
        <v>2615</v>
      </c>
      <c r="C1052" t="s">
        <v>2616</v>
      </c>
      <c r="D1052" t="s">
        <v>187</v>
      </c>
    </row>
    <row r="1053" spans="1:4" x14ac:dyDescent="0.2">
      <c r="A1053" t="s">
        <v>2617</v>
      </c>
      <c r="B1053" t="s">
        <v>2618</v>
      </c>
      <c r="C1053" t="s">
        <v>2619</v>
      </c>
      <c r="D1053" t="s">
        <v>187</v>
      </c>
    </row>
    <row r="1054" spans="1:4" x14ac:dyDescent="0.2">
      <c r="A1054" t="s">
        <v>2620</v>
      </c>
      <c r="B1054" t="s">
        <v>2621</v>
      </c>
      <c r="C1054" t="s">
        <v>2622</v>
      </c>
      <c r="D1054" t="s">
        <v>187</v>
      </c>
    </row>
    <row r="1055" spans="1:4" x14ac:dyDescent="0.2">
      <c r="A1055" t="s">
        <v>2620</v>
      </c>
      <c r="B1055" t="s">
        <v>2623</v>
      </c>
      <c r="C1055" t="s">
        <v>190</v>
      </c>
      <c r="D1055" t="s">
        <v>2624</v>
      </c>
    </row>
    <row r="1056" spans="1:4" x14ac:dyDescent="0.2">
      <c r="A1056" t="s">
        <v>2625</v>
      </c>
      <c r="B1056" t="s">
        <v>2626</v>
      </c>
      <c r="C1056" t="s">
        <v>2627</v>
      </c>
      <c r="D1056" t="s">
        <v>187</v>
      </c>
    </row>
    <row r="1057" spans="1:4" x14ac:dyDescent="0.2">
      <c r="A1057" t="s">
        <v>2628</v>
      </c>
      <c r="B1057" t="s">
        <v>2629</v>
      </c>
      <c r="C1057" t="s">
        <v>190</v>
      </c>
      <c r="D1057" t="s">
        <v>191</v>
      </c>
    </row>
    <row r="1058" spans="1:4" x14ac:dyDescent="0.2">
      <c r="A1058" t="s">
        <v>2630</v>
      </c>
      <c r="B1058" t="s">
        <v>2631</v>
      </c>
      <c r="C1058" t="s">
        <v>2632</v>
      </c>
      <c r="D1058" t="s">
        <v>195</v>
      </c>
    </row>
    <row r="1059" spans="1:4" x14ac:dyDescent="0.2">
      <c r="A1059" t="s">
        <v>2630</v>
      </c>
      <c r="B1059" t="s">
        <v>2633</v>
      </c>
      <c r="C1059" t="s">
        <v>2634</v>
      </c>
      <c r="D1059" t="s">
        <v>195</v>
      </c>
    </row>
    <row r="1060" spans="1:4" x14ac:dyDescent="0.2">
      <c r="A1060" t="s">
        <v>2635</v>
      </c>
      <c r="B1060" t="s">
        <v>2636</v>
      </c>
      <c r="C1060" t="s">
        <v>190</v>
      </c>
      <c r="D1060" t="s">
        <v>191</v>
      </c>
    </row>
    <row r="1061" spans="1:4" x14ac:dyDescent="0.2">
      <c r="A1061" t="s">
        <v>2637</v>
      </c>
      <c r="B1061" t="s">
        <v>2638</v>
      </c>
      <c r="C1061" t="s">
        <v>190</v>
      </c>
      <c r="D1061" t="s">
        <v>191</v>
      </c>
    </row>
    <row r="1062" spans="1:4" x14ac:dyDescent="0.2">
      <c r="A1062" t="s">
        <v>2639</v>
      </c>
      <c r="B1062" t="s">
        <v>2640</v>
      </c>
      <c r="C1062" t="s">
        <v>2641</v>
      </c>
      <c r="D1062" t="s">
        <v>195</v>
      </c>
    </row>
    <row r="1063" spans="1:4" x14ac:dyDescent="0.2">
      <c r="A1063" t="s">
        <v>2642</v>
      </c>
      <c r="B1063" t="s">
        <v>2643</v>
      </c>
      <c r="C1063" t="s">
        <v>190</v>
      </c>
      <c r="D1063" t="s">
        <v>191</v>
      </c>
    </row>
    <row r="1064" spans="1:4" x14ac:dyDescent="0.2">
      <c r="A1064" t="s">
        <v>2644</v>
      </c>
      <c r="B1064" t="s">
        <v>2645</v>
      </c>
      <c r="C1064" t="s">
        <v>2646</v>
      </c>
      <c r="D1064" t="s">
        <v>195</v>
      </c>
    </row>
    <row r="1065" spans="1:4" x14ac:dyDescent="0.2">
      <c r="A1065" t="s">
        <v>2647</v>
      </c>
      <c r="B1065" t="s">
        <v>2648</v>
      </c>
      <c r="C1065" t="s">
        <v>2649</v>
      </c>
      <c r="D1065" t="s">
        <v>195</v>
      </c>
    </row>
    <row r="1066" spans="1:4" x14ac:dyDescent="0.2">
      <c r="A1066" t="s">
        <v>2650</v>
      </c>
      <c r="B1066" t="s">
        <v>2651</v>
      </c>
      <c r="C1066" t="s">
        <v>2652</v>
      </c>
      <c r="D1066" t="s">
        <v>195</v>
      </c>
    </row>
    <row r="1067" spans="1:4" x14ac:dyDescent="0.2">
      <c r="A1067" t="s">
        <v>2653</v>
      </c>
      <c r="B1067" t="s">
        <v>2654</v>
      </c>
      <c r="C1067" t="s">
        <v>2655</v>
      </c>
      <c r="D1067" t="s">
        <v>195</v>
      </c>
    </row>
    <row r="1068" spans="1:4" x14ac:dyDescent="0.2">
      <c r="A1068" t="s">
        <v>2656</v>
      </c>
      <c r="B1068" t="s">
        <v>2657</v>
      </c>
      <c r="C1068" t="s">
        <v>190</v>
      </c>
      <c r="D1068" t="s">
        <v>191</v>
      </c>
    </row>
    <row r="1069" spans="1:4" x14ac:dyDescent="0.2">
      <c r="A1069" t="s">
        <v>2658</v>
      </c>
      <c r="B1069" t="s">
        <v>2659</v>
      </c>
      <c r="C1069" t="s">
        <v>2660</v>
      </c>
      <c r="D1069" t="s">
        <v>195</v>
      </c>
    </row>
    <row r="1070" spans="1:4" x14ac:dyDescent="0.2">
      <c r="A1070" t="s">
        <v>2661</v>
      </c>
      <c r="B1070" t="s">
        <v>2662</v>
      </c>
      <c r="C1070" t="s">
        <v>190</v>
      </c>
      <c r="D1070" t="s">
        <v>191</v>
      </c>
    </row>
    <row r="1071" spans="1:4" x14ac:dyDescent="0.2">
      <c r="A1071" t="s">
        <v>2663</v>
      </c>
      <c r="B1071" t="s">
        <v>2664</v>
      </c>
      <c r="C1071" t="s">
        <v>2665</v>
      </c>
      <c r="D1071" t="s">
        <v>195</v>
      </c>
    </row>
    <row r="1072" spans="1:4" x14ac:dyDescent="0.2">
      <c r="A1072" t="s">
        <v>2663</v>
      </c>
      <c r="B1072" t="s">
        <v>2666</v>
      </c>
      <c r="C1072" t="s">
        <v>2667</v>
      </c>
      <c r="D1072" t="s">
        <v>195</v>
      </c>
    </row>
    <row r="1073" spans="1:4" x14ac:dyDescent="0.2">
      <c r="A1073" t="s">
        <v>2668</v>
      </c>
      <c r="B1073" t="s">
        <v>2664</v>
      </c>
      <c r="C1073" t="s">
        <v>2665</v>
      </c>
      <c r="D1073" t="s">
        <v>195</v>
      </c>
    </row>
    <row r="1074" spans="1:4" x14ac:dyDescent="0.2">
      <c r="A1074" t="s">
        <v>2668</v>
      </c>
      <c r="B1074" t="s">
        <v>2666</v>
      </c>
      <c r="C1074" t="s">
        <v>2667</v>
      </c>
      <c r="D1074" t="s">
        <v>195</v>
      </c>
    </row>
    <row r="1075" spans="1:4" x14ac:dyDescent="0.2">
      <c r="A1075" t="s">
        <v>2669</v>
      </c>
      <c r="B1075" t="s">
        <v>2670</v>
      </c>
      <c r="C1075" t="s">
        <v>2671</v>
      </c>
      <c r="D1075" t="s">
        <v>195</v>
      </c>
    </row>
    <row r="1076" spans="1:4" x14ac:dyDescent="0.2">
      <c r="A1076" t="s">
        <v>2672</v>
      </c>
      <c r="B1076" t="s">
        <v>2673</v>
      </c>
      <c r="C1076" t="s">
        <v>190</v>
      </c>
      <c r="D1076" t="s">
        <v>191</v>
      </c>
    </row>
    <row r="1077" spans="1:4" x14ac:dyDescent="0.2">
      <c r="A1077" t="s">
        <v>2674</v>
      </c>
      <c r="B1077" t="s">
        <v>2675</v>
      </c>
      <c r="C1077" t="s">
        <v>190</v>
      </c>
      <c r="D1077" t="s">
        <v>191</v>
      </c>
    </row>
    <row r="1078" spans="1:4" x14ac:dyDescent="0.2">
      <c r="A1078" t="s">
        <v>2676</v>
      </c>
      <c r="B1078" t="s">
        <v>2677</v>
      </c>
      <c r="C1078" t="s">
        <v>2678</v>
      </c>
      <c r="D1078" t="s">
        <v>195</v>
      </c>
    </row>
    <row r="1079" spans="1:4" x14ac:dyDescent="0.2">
      <c r="A1079" t="s">
        <v>2679</v>
      </c>
      <c r="B1079" t="s">
        <v>2680</v>
      </c>
      <c r="C1079" t="s">
        <v>190</v>
      </c>
      <c r="D1079" t="s">
        <v>191</v>
      </c>
    </row>
    <row r="1080" spans="1:4" x14ac:dyDescent="0.2">
      <c r="A1080" t="s">
        <v>2681</v>
      </c>
      <c r="B1080" t="s">
        <v>2682</v>
      </c>
      <c r="C1080" t="s">
        <v>2683</v>
      </c>
      <c r="D1080" t="s">
        <v>187</v>
      </c>
    </row>
    <row r="1081" spans="1:4" x14ac:dyDescent="0.2">
      <c r="A1081" t="s">
        <v>2684</v>
      </c>
      <c r="B1081" t="s">
        <v>2685</v>
      </c>
      <c r="C1081" t="s">
        <v>190</v>
      </c>
      <c r="D1081" t="s">
        <v>191</v>
      </c>
    </row>
    <row r="1082" spans="1:4" x14ac:dyDescent="0.2">
      <c r="A1082" t="s">
        <v>2684</v>
      </c>
      <c r="B1082" t="s">
        <v>2686</v>
      </c>
      <c r="C1082" t="s">
        <v>2687</v>
      </c>
      <c r="D1082" t="s">
        <v>195</v>
      </c>
    </row>
    <row r="1083" spans="1:4" x14ac:dyDescent="0.2">
      <c r="A1083" t="s">
        <v>2688</v>
      </c>
      <c r="B1083" t="s">
        <v>2689</v>
      </c>
      <c r="C1083" t="s">
        <v>190</v>
      </c>
      <c r="D1083" t="s">
        <v>191</v>
      </c>
    </row>
    <row r="1084" spans="1:4" x14ac:dyDescent="0.2">
      <c r="A1084" t="s">
        <v>2690</v>
      </c>
      <c r="B1084" t="s">
        <v>2691</v>
      </c>
      <c r="C1084" t="s">
        <v>190</v>
      </c>
      <c r="D1084" t="s">
        <v>191</v>
      </c>
    </row>
    <row r="1085" spans="1:4" x14ac:dyDescent="0.2">
      <c r="A1085" t="s">
        <v>2692</v>
      </c>
      <c r="B1085" t="s">
        <v>2693</v>
      </c>
      <c r="C1085" t="s">
        <v>2694</v>
      </c>
      <c r="D1085" t="s">
        <v>187</v>
      </c>
    </row>
    <row r="1086" spans="1:4" x14ac:dyDescent="0.2">
      <c r="A1086" t="s">
        <v>2695</v>
      </c>
      <c r="B1086" t="s">
        <v>2696</v>
      </c>
      <c r="C1086" t="s">
        <v>2697</v>
      </c>
      <c r="D1086" t="s">
        <v>195</v>
      </c>
    </row>
    <row r="1087" spans="1:4" x14ac:dyDescent="0.2">
      <c r="A1087" t="s">
        <v>2698</v>
      </c>
      <c r="B1087" t="s">
        <v>2699</v>
      </c>
      <c r="C1087" t="s">
        <v>190</v>
      </c>
      <c r="D1087" t="s">
        <v>191</v>
      </c>
    </row>
    <row r="1088" spans="1:4" x14ac:dyDescent="0.2">
      <c r="A1088" t="s">
        <v>2700</v>
      </c>
      <c r="B1088" t="s">
        <v>2701</v>
      </c>
      <c r="C1088" t="s">
        <v>190</v>
      </c>
      <c r="D1088" t="s">
        <v>191</v>
      </c>
    </row>
    <row r="1089" spans="1:4" x14ac:dyDescent="0.2">
      <c r="A1089" t="s">
        <v>2702</v>
      </c>
      <c r="B1089" t="s">
        <v>2703</v>
      </c>
      <c r="C1089" t="s">
        <v>2704</v>
      </c>
      <c r="D1089" t="s">
        <v>195</v>
      </c>
    </row>
    <row r="1090" spans="1:4" x14ac:dyDescent="0.2">
      <c r="A1090" t="s">
        <v>2705</v>
      </c>
      <c r="B1090" t="s">
        <v>2706</v>
      </c>
      <c r="C1090" t="s">
        <v>2707</v>
      </c>
      <c r="D1090" t="s">
        <v>187</v>
      </c>
    </row>
    <row r="1091" spans="1:4" x14ac:dyDescent="0.2">
      <c r="A1091" t="s">
        <v>2708</v>
      </c>
      <c r="B1091" t="s">
        <v>2709</v>
      </c>
      <c r="C1091" t="s">
        <v>190</v>
      </c>
      <c r="D1091" t="s">
        <v>191</v>
      </c>
    </row>
    <row r="1092" spans="1:4" x14ac:dyDescent="0.2">
      <c r="A1092" t="s">
        <v>2710</v>
      </c>
      <c r="B1092" t="s">
        <v>2711</v>
      </c>
      <c r="C1092" t="s">
        <v>190</v>
      </c>
      <c r="D1092" t="s">
        <v>2712</v>
      </c>
    </row>
    <row r="1093" spans="1:4" x14ac:dyDescent="0.2">
      <c r="A1093" t="s">
        <v>2710</v>
      </c>
      <c r="B1093" t="s">
        <v>2713</v>
      </c>
      <c r="C1093" t="s">
        <v>190</v>
      </c>
      <c r="D1093" t="s">
        <v>191</v>
      </c>
    </row>
    <row r="1094" spans="1:4" x14ac:dyDescent="0.2">
      <c r="A1094" t="s">
        <v>2714</v>
      </c>
      <c r="B1094" t="s">
        <v>2715</v>
      </c>
      <c r="C1094" t="s">
        <v>190</v>
      </c>
      <c r="D1094" t="s">
        <v>191</v>
      </c>
    </row>
    <row r="1095" spans="1:4" x14ac:dyDescent="0.2">
      <c r="A1095" t="s">
        <v>2716</v>
      </c>
      <c r="B1095" t="s">
        <v>2717</v>
      </c>
      <c r="C1095" t="s">
        <v>190</v>
      </c>
      <c r="D1095" t="s">
        <v>191</v>
      </c>
    </row>
    <row r="1096" spans="1:4" x14ac:dyDescent="0.2">
      <c r="A1096" t="s">
        <v>2718</v>
      </c>
      <c r="B1096" t="s">
        <v>2719</v>
      </c>
      <c r="C1096" t="s">
        <v>190</v>
      </c>
      <c r="D1096" t="s">
        <v>191</v>
      </c>
    </row>
    <row r="1097" spans="1:4" x14ac:dyDescent="0.2">
      <c r="A1097" t="s">
        <v>2720</v>
      </c>
      <c r="B1097" t="s">
        <v>2721</v>
      </c>
      <c r="C1097" t="s">
        <v>2722</v>
      </c>
      <c r="D1097" t="s">
        <v>187</v>
      </c>
    </row>
    <row r="1098" spans="1:4" x14ac:dyDescent="0.2">
      <c r="A1098" t="s">
        <v>2723</v>
      </c>
      <c r="B1098" t="s">
        <v>2724</v>
      </c>
      <c r="C1098" t="s">
        <v>190</v>
      </c>
      <c r="D1098" t="s">
        <v>191</v>
      </c>
    </row>
    <row r="1099" spans="1:4" x14ac:dyDescent="0.2">
      <c r="A1099" t="s">
        <v>2725</v>
      </c>
      <c r="B1099" t="s">
        <v>2726</v>
      </c>
      <c r="C1099" t="s">
        <v>2727</v>
      </c>
      <c r="D1099" t="s">
        <v>195</v>
      </c>
    </row>
    <row r="1100" spans="1:4" x14ac:dyDescent="0.2">
      <c r="A1100" t="s">
        <v>2728</v>
      </c>
      <c r="B1100" t="s">
        <v>2729</v>
      </c>
      <c r="C1100" t="s">
        <v>2730</v>
      </c>
      <c r="D1100" t="s">
        <v>195</v>
      </c>
    </row>
    <row r="1101" spans="1:4" x14ac:dyDescent="0.2">
      <c r="A1101" t="s">
        <v>2731</v>
      </c>
      <c r="B1101" t="s">
        <v>2732</v>
      </c>
      <c r="C1101" t="s">
        <v>2733</v>
      </c>
      <c r="D1101" t="s">
        <v>195</v>
      </c>
    </row>
    <row r="1102" spans="1:4" x14ac:dyDescent="0.2">
      <c r="A1102" t="s">
        <v>2734</v>
      </c>
      <c r="B1102" t="s">
        <v>2735</v>
      </c>
      <c r="C1102" t="s">
        <v>2736</v>
      </c>
      <c r="D1102" t="s">
        <v>195</v>
      </c>
    </row>
    <row r="1103" spans="1:4" x14ac:dyDescent="0.2">
      <c r="A1103" t="s">
        <v>2737</v>
      </c>
      <c r="B1103" t="s">
        <v>2738</v>
      </c>
      <c r="C1103" t="s">
        <v>190</v>
      </c>
      <c r="D1103" t="s">
        <v>191</v>
      </c>
    </row>
    <row r="1104" spans="1:4" x14ac:dyDescent="0.2">
      <c r="A1104" t="s">
        <v>2739</v>
      </c>
      <c r="B1104" t="s">
        <v>2740</v>
      </c>
      <c r="C1104" t="s">
        <v>190</v>
      </c>
      <c r="D1104" t="s">
        <v>191</v>
      </c>
    </row>
    <row r="1105" spans="1:4" x14ac:dyDescent="0.2">
      <c r="A1105" t="s">
        <v>2739</v>
      </c>
      <c r="B1105" t="s">
        <v>2741</v>
      </c>
      <c r="C1105" t="s">
        <v>190</v>
      </c>
      <c r="D1105" t="s">
        <v>191</v>
      </c>
    </row>
    <row r="1106" spans="1:4" x14ac:dyDescent="0.2">
      <c r="A1106" t="s">
        <v>2742</v>
      </c>
      <c r="B1106" t="s">
        <v>2743</v>
      </c>
      <c r="C1106" t="s">
        <v>2744</v>
      </c>
      <c r="D1106" t="s">
        <v>195</v>
      </c>
    </row>
    <row r="1107" spans="1:4" x14ac:dyDescent="0.2">
      <c r="A1107" t="s">
        <v>2745</v>
      </c>
      <c r="B1107" t="s">
        <v>2746</v>
      </c>
      <c r="C1107" t="s">
        <v>190</v>
      </c>
      <c r="D1107" t="s">
        <v>191</v>
      </c>
    </row>
    <row r="1108" spans="1:4" x14ac:dyDescent="0.2">
      <c r="A1108" t="s">
        <v>2745</v>
      </c>
      <c r="B1108" t="s">
        <v>2747</v>
      </c>
      <c r="C1108" t="s">
        <v>190</v>
      </c>
      <c r="D1108" t="s">
        <v>191</v>
      </c>
    </row>
    <row r="1109" spans="1:4" x14ac:dyDescent="0.2">
      <c r="A1109" t="s">
        <v>2745</v>
      </c>
      <c r="B1109" t="s">
        <v>2748</v>
      </c>
      <c r="C1109" t="s">
        <v>190</v>
      </c>
      <c r="D1109" t="s">
        <v>191</v>
      </c>
    </row>
    <row r="1110" spans="1:4" x14ac:dyDescent="0.2">
      <c r="A1110" t="s">
        <v>2745</v>
      </c>
      <c r="B1110" t="s">
        <v>2749</v>
      </c>
      <c r="C1110" t="s">
        <v>190</v>
      </c>
      <c r="D1110" t="s">
        <v>191</v>
      </c>
    </row>
    <row r="1111" spans="1:4" x14ac:dyDescent="0.2">
      <c r="A1111" t="s">
        <v>2750</v>
      </c>
      <c r="B1111" t="s">
        <v>2751</v>
      </c>
      <c r="C1111" t="s">
        <v>2752</v>
      </c>
      <c r="D1111" t="s">
        <v>195</v>
      </c>
    </row>
    <row r="1112" spans="1:4" x14ac:dyDescent="0.2">
      <c r="A1112" t="s">
        <v>2753</v>
      </c>
      <c r="B1112" t="s">
        <v>2754</v>
      </c>
      <c r="C1112" t="s">
        <v>190</v>
      </c>
      <c r="D1112" t="s">
        <v>191</v>
      </c>
    </row>
    <row r="1113" spans="1:4" x14ac:dyDescent="0.2">
      <c r="A1113" t="s">
        <v>2755</v>
      </c>
      <c r="B1113" t="s">
        <v>2756</v>
      </c>
      <c r="C1113" t="s">
        <v>190</v>
      </c>
      <c r="D1113" t="s">
        <v>191</v>
      </c>
    </row>
    <row r="1114" spans="1:4" x14ac:dyDescent="0.2">
      <c r="A1114" t="s">
        <v>2757</v>
      </c>
      <c r="B1114" t="s">
        <v>2758</v>
      </c>
      <c r="C1114" t="s">
        <v>2759</v>
      </c>
      <c r="D1114" t="s">
        <v>187</v>
      </c>
    </row>
    <row r="1115" spans="1:4" x14ac:dyDescent="0.2">
      <c r="A1115" t="s">
        <v>2760</v>
      </c>
      <c r="B1115" t="s">
        <v>2761</v>
      </c>
      <c r="C1115" t="s">
        <v>190</v>
      </c>
      <c r="D1115" t="s">
        <v>191</v>
      </c>
    </row>
    <row r="1116" spans="1:4" x14ac:dyDescent="0.2">
      <c r="A1116" t="s">
        <v>2762</v>
      </c>
      <c r="B1116" t="s">
        <v>2763</v>
      </c>
      <c r="C1116" t="s">
        <v>2764</v>
      </c>
      <c r="D1116" t="s">
        <v>195</v>
      </c>
    </row>
    <row r="1117" spans="1:4" x14ac:dyDescent="0.2">
      <c r="A1117" t="s">
        <v>2765</v>
      </c>
      <c r="B1117" t="s">
        <v>2766</v>
      </c>
      <c r="C1117" t="s">
        <v>190</v>
      </c>
      <c r="D1117" t="s">
        <v>191</v>
      </c>
    </row>
    <row r="1118" spans="1:4" x14ac:dyDescent="0.2">
      <c r="A1118" t="s">
        <v>2767</v>
      </c>
      <c r="B1118" t="s">
        <v>2768</v>
      </c>
      <c r="C1118" t="s">
        <v>2769</v>
      </c>
      <c r="D1118" t="s">
        <v>187</v>
      </c>
    </row>
    <row r="1119" spans="1:4" x14ac:dyDescent="0.2">
      <c r="A1119" t="s">
        <v>2770</v>
      </c>
      <c r="B1119" t="s">
        <v>2771</v>
      </c>
      <c r="C1119" t="s">
        <v>190</v>
      </c>
      <c r="D1119" t="s">
        <v>191</v>
      </c>
    </row>
    <row r="1120" spans="1:4" x14ac:dyDescent="0.2">
      <c r="A1120" t="s">
        <v>2772</v>
      </c>
      <c r="B1120" t="s">
        <v>2773</v>
      </c>
      <c r="C1120" t="s">
        <v>2774</v>
      </c>
      <c r="D1120" t="s">
        <v>195</v>
      </c>
    </row>
    <row r="1121" spans="1:4" x14ac:dyDescent="0.2">
      <c r="A1121" t="s">
        <v>2775</v>
      </c>
      <c r="B1121" t="s">
        <v>2776</v>
      </c>
      <c r="C1121" t="s">
        <v>190</v>
      </c>
      <c r="D1121" t="s">
        <v>191</v>
      </c>
    </row>
    <row r="1122" spans="1:4" x14ac:dyDescent="0.2">
      <c r="A1122" t="s">
        <v>2777</v>
      </c>
      <c r="B1122" t="s">
        <v>2778</v>
      </c>
      <c r="C1122" t="s">
        <v>190</v>
      </c>
      <c r="D1122" t="s">
        <v>191</v>
      </c>
    </row>
    <row r="1123" spans="1:4" x14ac:dyDescent="0.2">
      <c r="A1123" t="s">
        <v>2779</v>
      </c>
      <c r="B1123" t="s">
        <v>2780</v>
      </c>
      <c r="C1123" t="s">
        <v>190</v>
      </c>
      <c r="D1123" t="s">
        <v>191</v>
      </c>
    </row>
    <row r="1124" spans="1:4" x14ac:dyDescent="0.2">
      <c r="A1124" t="s">
        <v>2781</v>
      </c>
      <c r="B1124" t="s">
        <v>2782</v>
      </c>
      <c r="C1124" t="s">
        <v>190</v>
      </c>
      <c r="D1124" t="s">
        <v>191</v>
      </c>
    </row>
    <row r="1125" spans="1:4" x14ac:dyDescent="0.2">
      <c r="A1125" t="s">
        <v>2783</v>
      </c>
      <c r="B1125" t="s">
        <v>2784</v>
      </c>
      <c r="C1125" t="s">
        <v>190</v>
      </c>
      <c r="D1125" t="s">
        <v>191</v>
      </c>
    </row>
    <row r="1126" spans="1:4" x14ac:dyDescent="0.2">
      <c r="A1126" t="s">
        <v>2785</v>
      </c>
      <c r="B1126" t="s">
        <v>2786</v>
      </c>
      <c r="C1126" t="s">
        <v>2787</v>
      </c>
      <c r="D1126" t="s">
        <v>195</v>
      </c>
    </row>
    <row r="1127" spans="1:4" x14ac:dyDescent="0.2">
      <c r="A1127" t="s">
        <v>2788</v>
      </c>
      <c r="B1127" t="s">
        <v>2789</v>
      </c>
      <c r="C1127" t="s">
        <v>190</v>
      </c>
      <c r="D1127" t="s">
        <v>2790</v>
      </c>
    </row>
    <row r="1128" spans="1:4" x14ac:dyDescent="0.2">
      <c r="A1128" t="s">
        <v>2788</v>
      </c>
      <c r="B1128" t="s">
        <v>2791</v>
      </c>
      <c r="C1128" t="s">
        <v>2792</v>
      </c>
      <c r="D1128" t="s">
        <v>195</v>
      </c>
    </row>
    <row r="1129" spans="1:4" x14ac:dyDescent="0.2">
      <c r="A1129" t="s">
        <v>2793</v>
      </c>
      <c r="B1129" t="s">
        <v>2794</v>
      </c>
      <c r="C1129" t="s">
        <v>190</v>
      </c>
      <c r="D1129" t="s">
        <v>191</v>
      </c>
    </row>
    <row r="1130" spans="1:4" x14ac:dyDescent="0.2">
      <c r="A1130" t="s">
        <v>2793</v>
      </c>
      <c r="B1130" t="s">
        <v>2795</v>
      </c>
      <c r="C1130" t="s">
        <v>190</v>
      </c>
      <c r="D1130" t="s">
        <v>191</v>
      </c>
    </row>
    <row r="1131" spans="1:4" x14ac:dyDescent="0.2">
      <c r="A1131" t="s">
        <v>2796</v>
      </c>
      <c r="B1131" t="s">
        <v>2797</v>
      </c>
      <c r="C1131" t="s">
        <v>190</v>
      </c>
      <c r="D1131" t="s">
        <v>191</v>
      </c>
    </row>
    <row r="1132" spans="1:4" x14ac:dyDescent="0.2">
      <c r="A1132" t="s">
        <v>2796</v>
      </c>
      <c r="B1132" t="s">
        <v>2798</v>
      </c>
      <c r="C1132" t="s">
        <v>190</v>
      </c>
      <c r="D1132" t="s">
        <v>2799</v>
      </c>
    </row>
    <row r="1133" spans="1:4" x14ac:dyDescent="0.2">
      <c r="A1133" t="s">
        <v>2796</v>
      </c>
      <c r="B1133" t="s">
        <v>2800</v>
      </c>
      <c r="C1133" t="s">
        <v>190</v>
      </c>
      <c r="D1133" t="s">
        <v>2801</v>
      </c>
    </row>
    <row r="1134" spans="1:4" x14ac:dyDescent="0.2">
      <c r="A1134" t="s">
        <v>2796</v>
      </c>
      <c r="B1134" t="s">
        <v>2802</v>
      </c>
      <c r="C1134" t="s">
        <v>190</v>
      </c>
      <c r="D1134" t="s">
        <v>280</v>
      </c>
    </row>
    <row r="1135" spans="1:4" x14ac:dyDescent="0.2">
      <c r="A1135" t="s">
        <v>2796</v>
      </c>
      <c r="B1135" t="s">
        <v>2803</v>
      </c>
      <c r="C1135" t="s">
        <v>190</v>
      </c>
      <c r="D1135" t="s">
        <v>2799</v>
      </c>
    </row>
    <row r="1136" spans="1:4" x14ac:dyDescent="0.2">
      <c r="A1136" t="s">
        <v>2796</v>
      </c>
      <c r="B1136" t="s">
        <v>2804</v>
      </c>
      <c r="C1136" t="s">
        <v>190</v>
      </c>
      <c r="D1136" t="s">
        <v>280</v>
      </c>
    </row>
    <row r="1137" spans="1:4" x14ac:dyDescent="0.2">
      <c r="A1137" t="s">
        <v>2805</v>
      </c>
      <c r="B1137" t="s">
        <v>2798</v>
      </c>
      <c r="C1137" t="s">
        <v>190</v>
      </c>
      <c r="D1137" t="s">
        <v>191</v>
      </c>
    </row>
    <row r="1138" spans="1:4" x14ac:dyDescent="0.2">
      <c r="A1138" t="s">
        <v>2805</v>
      </c>
      <c r="B1138" t="s">
        <v>2803</v>
      </c>
      <c r="C1138" t="s">
        <v>190</v>
      </c>
      <c r="D1138" t="s">
        <v>191</v>
      </c>
    </row>
    <row r="1139" spans="1:4" x14ac:dyDescent="0.2">
      <c r="A1139" t="s">
        <v>2806</v>
      </c>
      <c r="B1139" t="s">
        <v>2807</v>
      </c>
      <c r="C1139" t="s">
        <v>2808</v>
      </c>
      <c r="D1139" t="s">
        <v>187</v>
      </c>
    </row>
    <row r="1140" spans="1:4" x14ac:dyDescent="0.2">
      <c r="A1140" t="s">
        <v>2806</v>
      </c>
      <c r="B1140" t="s">
        <v>2809</v>
      </c>
      <c r="C1140" t="s">
        <v>190</v>
      </c>
      <c r="D1140" t="s">
        <v>2810</v>
      </c>
    </row>
    <row r="1141" spans="1:4" x14ac:dyDescent="0.2">
      <c r="A1141" t="s">
        <v>2811</v>
      </c>
      <c r="B1141" t="s">
        <v>2812</v>
      </c>
      <c r="C1141" t="s">
        <v>190</v>
      </c>
      <c r="D1141" t="s">
        <v>191</v>
      </c>
    </row>
    <row r="1142" spans="1:4" x14ac:dyDescent="0.2">
      <c r="A1142" t="s">
        <v>2813</v>
      </c>
      <c r="B1142" t="s">
        <v>2814</v>
      </c>
      <c r="C1142" t="s">
        <v>190</v>
      </c>
      <c r="D1142" t="s">
        <v>191</v>
      </c>
    </row>
    <row r="1143" spans="1:4" x14ac:dyDescent="0.2">
      <c r="A1143" t="s">
        <v>2815</v>
      </c>
      <c r="B1143" t="s">
        <v>2816</v>
      </c>
      <c r="C1143" t="s">
        <v>190</v>
      </c>
      <c r="D1143" t="s">
        <v>191</v>
      </c>
    </row>
    <row r="1144" spans="1:4" x14ac:dyDescent="0.2">
      <c r="A1144" t="s">
        <v>2817</v>
      </c>
      <c r="B1144" t="s">
        <v>2818</v>
      </c>
      <c r="C1144" t="s">
        <v>2819</v>
      </c>
      <c r="D1144" t="s">
        <v>187</v>
      </c>
    </row>
    <row r="1145" spans="1:4" x14ac:dyDescent="0.2">
      <c r="A1145" t="s">
        <v>2820</v>
      </c>
      <c r="B1145" t="s">
        <v>2821</v>
      </c>
      <c r="C1145" t="s">
        <v>2822</v>
      </c>
      <c r="D1145" t="s">
        <v>187</v>
      </c>
    </row>
    <row r="1146" spans="1:4" x14ac:dyDescent="0.2">
      <c r="A1146" t="s">
        <v>2823</v>
      </c>
      <c r="B1146" t="s">
        <v>2824</v>
      </c>
      <c r="C1146" t="s">
        <v>190</v>
      </c>
      <c r="D1146" t="s">
        <v>191</v>
      </c>
    </row>
    <row r="1147" spans="1:4" x14ac:dyDescent="0.2">
      <c r="A1147" t="s">
        <v>2825</v>
      </c>
      <c r="B1147" t="s">
        <v>2826</v>
      </c>
      <c r="C1147" t="s">
        <v>190</v>
      </c>
      <c r="D1147" t="s">
        <v>191</v>
      </c>
    </row>
    <row r="1148" spans="1:4" x14ac:dyDescent="0.2">
      <c r="A1148" t="s">
        <v>2827</v>
      </c>
      <c r="B1148" t="s">
        <v>2828</v>
      </c>
      <c r="C1148" t="s">
        <v>190</v>
      </c>
      <c r="D1148" t="s">
        <v>191</v>
      </c>
    </row>
    <row r="1149" spans="1:4" x14ac:dyDescent="0.2">
      <c r="A1149" t="s">
        <v>2829</v>
      </c>
      <c r="B1149" t="s">
        <v>2830</v>
      </c>
      <c r="C1149" t="s">
        <v>190</v>
      </c>
      <c r="D1149" t="s">
        <v>191</v>
      </c>
    </row>
    <row r="1150" spans="1:4" x14ac:dyDescent="0.2">
      <c r="A1150" t="s">
        <v>2831</v>
      </c>
      <c r="B1150" t="s">
        <v>2832</v>
      </c>
      <c r="C1150" t="s">
        <v>190</v>
      </c>
      <c r="D1150" t="s">
        <v>191</v>
      </c>
    </row>
    <row r="1151" spans="1:4" x14ac:dyDescent="0.2">
      <c r="A1151" t="s">
        <v>2833</v>
      </c>
      <c r="B1151" t="s">
        <v>2834</v>
      </c>
      <c r="C1151" t="s">
        <v>2835</v>
      </c>
      <c r="D1151" t="s">
        <v>195</v>
      </c>
    </row>
    <row r="1152" spans="1:4" x14ac:dyDescent="0.2">
      <c r="A1152" t="s">
        <v>2836</v>
      </c>
      <c r="B1152" t="s">
        <v>2837</v>
      </c>
      <c r="C1152" t="s">
        <v>190</v>
      </c>
      <c r="D1152" t="s">
        <v>191</v>
      </c>
    </row>
    <row r="1153" spans="1:4" x14ac:dyDescent="0.2">
      <c r="A1153" t="s">
        <v>2838</v>
      </c>
      <c r="B1153" t="s">
        <v>2839</v>
      </c>
      <c r="C1153" t="s">
        <v>2840</v>
      </c>
      <c r="D1153" t="s">
        <v>195</v>
      </c>
    </row>
    <row r="1154" spans="1:4" x14ac:dyDescent="0.2">
      <c r="A1154" t="s">
        <v>2838</v>
      </c>
      <c r="B1154" t="s">
        <v>2841</v>
      </c>
      <c r="C1154" t="s">
        <v>190</v>
      </c>
      <c r="D1154" t="s">
        <v>2842</v>
      </c>
    </row>
    <row r="1155" spans="1:4" x14ac:dyDescent="0.2">
      <c r="A1155" t="s">
        <v>2838</v>
      </c>
      <c r="B1155" t="s">
        <v>2828</v>
      </c>
      <c r="C1155" t="s">
        <v>190</v>
      </c>
      <c r="D1155" t="s">
        <v>2843</v>
      </c>
    </row>
    <row r="1156" spans="1:4" x14ac:dyDescent="0.2">
      <c r="A1156" t="s">
        <v>2844</v>
      </c>
      <c r="B1156" t="s">
        <v>2845</v>
      </c>
      <c r="C1156" t="s">
        <v>190</v>
      </c>
      <c r="D1156" t="s">
        <v>191</v>
      </c>
    </row>
    <row r="1157" spans="1:4" x14ac:dyDescent="0.2">
      <c r="A1157" t="s">
        <v>2846</v>
      </c>
      <c r="B1157" t="s">
        <v>2847</v>
      </c>
      <c r="C1157" t="s">
        <v>190</v>
      </c>
      <c r="D1157" t="s">
        <v>191</v>
      </c>
    </row>
    <row r="1158" spans="1:4" x14ac:dyDescent="0.2">
      <c r="A1158" t="s">
        <v>2848</v>
      </c>
      <c r="B1158" t="s">
        <v>2849</v>
      </c>
      <c r="C1158" t="s">
        <v>190</v>
      </c>
      <c r="D1158" t="s">
        <v>191</v>
      </c>
    </row>
    <row r="1159" spans="1:4" x14ac:dyDescent="0.2">
      <c r="A1159" t="s">
        <v>2850</v>
      </c>
      <c r="B1159" t="s">
        <v>2851</v>
      </c>
      <c r="C1159" t="s">
        <v>190</v>
      </c>
      <c r="D1159" t="s">
        <v>191</v>
      </c>
    </row>
    <row r="1160" spans="1:4" x14ac:dyDescent="0.2">
      <c r="A1160" t="s">
        <v>2852</v>
      </c>
      <c r="B1160" t="s">
        <v>2853</v>
      </c>
      <c r="C1160" t="s">
        <v>190</v>
      </c>
      <c r="D1160" t="s">
        <v>191</v>
      </c>
    </row>
    <row r="1161" spans="1:4" x14ac:dyDescent="0.2">
      <c r="A1161" t="s">
        <v>2854</v>
      </c>
      <c r="B1161" t="s">
        <v>2855</v>
      </c>
      <c r="C1161" t="s">
        <v>190</v>
      </c>
      <c r="D1161" t="s">
        <v>191</v>
      </c>
    </row>
    <row r="1162" spans="1:4" x14ac:dyDescent="0.2">
      <c r="A1162" t="s">
        <v>2856</v>
      </c>
      <c r="B1162" t="s">
        <v>2857</v>
      </c>
      <c r="C1162" t="s">
        <v>190</v>
      </c>
      <c r="D1162" t="s">
        <v>191</v>
      </c>
    </row>
    <row r="1163" spans="1:4" x14ac:dyDescent="0.2">
      <c r="A1163" t="s">
        <v>2858</v>
      </c>
      <c r="B1163" t="s">
        <v>2859</v>
      </c>
      <c r="C1163" t="s">
        <v>190</v>
      </c>
      <c r="D1163" t="s">
        <v>191</v>
      </c>
    </row>
    <row r="1164" spans="1:4" x14ac:dyDescent="0.2">
      <c r="A1164" t="s">
        <v>2860</v>
      </c>
      <c r="B1164" t="s">
        <v>2861</v>
      </c>
      <c r="C1164" t="s">
        <v>190</v>
      </c>
      <c r="D1164" t="s">
        <v>191</v>
      </c>
    </row>
    <row r="1165" spans="1:4" x14ac:dyDescent="0.2">
      <c r="A1165" t="s">
        <v>2862</v>
      </c>
      <c r="B1165" t="s">
        <v>2863</v>
      </c>
      <c r="C1165" t="s">
        <v>190</v>
      </c>
      <c r="D1165" t="s">
        <v>191</v>
      </c>
    </row>
    <row r="1166" spans="1:4" x14ac:dyDescent="0.2">
      <c r="A1166" t="s">
        <v>2864</v>
      </c>
      <c r="B1166" t="s">
        <v>2865</v>
      </c>
      <c r="C1166" t="s">
        <v>2866</v>
      </c>
      <c r="D1166" t="s">
        <v>195</v>
      </c>
    </row>
    <row r="1167" spans="1:4" x14ac:dyDescent="0.2">
      <c r="A1167" t="s">
        <v>2867</v>
      </c>
      <c r="B1167" t="s">
        <v>2868</v>
      </c>
      <c r="C1167" t="s">
        <v>190</v>
      </c>
      <c r="D1167" t="s">
        <v>191</v>
      </c>
    </row>
    <row r="1168" spans="1:4" x14ac:dyDescent="0.2">
      <c r="A1168" t="s">
        <v>2869</v>
      </c>
      <c r="B1168" t="s">
        <v>2870</v>
      </c>
      <c r="C1168" t="s">
        <v>190</v>
      </c>
      <c r="D1168" t="s">
        <v>191</v>
      </c>
    </row>
    <row r="1169" spans="1:4" x14ac:dyDescent="0.2">
      <c r="A1169" t="s">
        <v>2871</v>
      </c>
      <c r="B1169" t="s">
        <v>2872</v>
      </c>
      <c r="C1169" t="s">
        <v>190</v>
      </c>
      <c r="D1169" t="s">
        <v>191</v>
      </c>
    </row>
    <row r="1170" spans="1:4" x14ac:dyDescent="0.2">
      <c r="A1170" t="s">
        <v>2873</v>
      </c>
      <c r="B1170" t="s">
        <v>2874</v>
      </c>
      <c r="C1170" t="s">
        <v>2875</v>
      </c>
      <c r="D1170" t="s">
        <v>195</v>
      </c>
    </row>
    <row r="1171" spans="1:4" x14ac:dyDescent="0.2">
      <c r="A1171" t="s">
        <v>2876</v>
      </c>
      <c r="B1171" t="s">
        <v>2877</v>
      </c>
      <c r="C1171" t="s">
        <v>190</v>
      </c>
      <c r="D1171" t="s">
        <v>191</v>
      </c>
    </row>
    <row r="1172" spans="1:4" x14ac:dyDescent="0.2">
      <c r="A1172" t="s">
        <v>2878</v>
      </c>
      <c r="B1172" t="s">
        <v>2879</v>
      </c>
      <c r="C1172" t="s">
        <v>190</v>
      </c>
      <c r="D1172" t="s">
        <v>191</v>
      </c>
    </row>
    <row r="1173" spans="1:4" x14ac:dyDescent="0.2">
      <c r="A1173" t="s">
        <v>2880</v>
      </c>
      <c r="B1173" t="s">
        <v>2881</v>
      </c>
      <c r="C1173" t="s">
        <v>190</v>
      </c>
      <c r="D1173" t="s">
        <v>191</v>
      </c>
    </row>
    <row r="1174" spans="1:4" x14ac:dyDescent="0.2">
      <c r="A1174" t="s">
        <v>2882</v>
      </c>
      <c r="B1174" t="s">
        <v>2883</v>
      </c>
      <c r="C1174" t="s">
        <v>190</v>
      </c>
      <c r="D1174" t="s">
        <v>191</v>
      </c>
    </row>
    <row r="1175" spans="1:4" x14ac:dyDescent="0.2">
      <c r="A1175" t="s">
        <v>2884</v>
      </c>
      <c r="B1175" t="s">
        <v>2885</v>
      </c>
      <c r="C1175" t="s">
        <v>190</v>
      </c>
      <c r="D1175" t="s">
        <v>191</v>
      </c>
    </row>
    <row r="1176" spans="1:4" x14ac:dyDescent="0.2">
      <c r="A1176" t="s">
        <v>2886</v>
      </c>
      <c r="B1176" t="s">
        <v>2887</v>
      </c>
      <c r="C1176" t="s">
        <v>190</v>
      </c>
      <c r="D1176" t="s">
        <v>191</v>
      </c>
    </row>
    <row r="1177" spans="1:4" x14ac:dyDescent="0.2">
      <c r="A1177" t="s">
        <v>2888</v>
      </c>
      <c r="B1177" t="s">
        <v>2889</v>
      </c>
      <c r="C1177" t="s">
        <v>190</v>
      </c>
      <c r="D1177" t="s">
        <v>191</v>
      </c>
    </row>
    <row r="1178" spans="1:4" x14ac:dyDescent="0.2">
      <c r="A1178" t="s">
        <v>2890</v>
      </c>
      <c r="B1178" t="s">
        <v>2891</v>
      </c>
      <c r="C1178" t="s">
        <v>190</v>
      </c>
      <c r="D1178" t="s">
        <v>191</v>
      </c>
    </row>
    <row r="1179" spans="1:4" x14ac:dyDescent="0.2">
      <c r="A1179" t="s">
        <v>2892</v>
      </c>
      <c r="B1179" t="s">
        <v>2893</v>
      </c>
      <c r="C1179" t="s">
        <v>190</v>
      </c>
      <c r="D1179" t="s">
        <v>191</v>
      </c>
    </row>
    <row r="1180" spans="1:4" x14ac:dyDescent="0.2">
      <c r="A1180" t="s">
        <v>2894</v>
      </c>
      <c r="B1180" t="s">
        <v>2895</v>
      </c>
      <c r="C1180" t="s">
        <v>190</v>
      </c>
      <c r="D1180" t="s">
        <v>191</v>
      </c>
    </row>
    <row r="1181" spans="1:4" x14ac:dyDescent="0.2">
      <c r="A1181" t="s">
        <v>2896</v>
      </c>
      <c r="B1181" t="s">
        <v>2897</v>
      </c>
      <c r="C1181" t="s">
        <v>2898</v>
      </c>
      <c r="D1181" t="s">
        <v>195</v>
      </c>
    </row>
    <row r="1182" spans="1:4" x14ac:dyDescent="0.2">
      <c r="A1182" t="s">
        <v>2896</v>
      </c>
      <c r="B1182" t="s">
        <v>2899</v>
      </c>
      <c r="C1182" t="s">
        <v>2900</v>
      </c>
      <c r="D1182" t="s">
        <v>195</v>
      </c>
    </row>
    <row r="1183" spans="1:4" x14ac:dyDescent="0.2">
      <c r="A1183" t="s">
        <v>2896</v>
      </c>
      <c r="B1183" t="s">
        <v>2901</v>
      </c>
      <c r="C1183" t="s">
        <v>2902</v>
      </c>
      <c r="D1183" t="s">
        <v>195</v>
      </c>
    </row>
    <row r="1184" spans="1:4" x14ac:dyDescent="0.2">
      <c r="A1184" t="s">
        <v>2903</v>
      </c>
      <c r="B1184" t="s">
        <v>2904</v>
      </c>
      <c r="C1184" t="s">
        <v>190</v>
      </c>
      <c r="D1184" t="s">
        <v>191</v>
      </c>
    </row>
    <row r="1185" spans="1:4" x14ac:dyDescent="0.2">
      <c r="A1185" t="s">
        <v>2905</v>
      </c>
      <c r="B1185" t="s">
        <v>2906</v>
      </c>
      <c r="C1185" t="s">
        <v>190</v>
      </c>
      <c r="D1185" t="s">
        <v>2907</v>
      </c>
    </row>
    <row r="1186" spans="1:4" x14ac:dyDescent="0.2">
      <c r="A1186" t="s">
        <v>2905</v>
      </c>
      <c r="B1186" t="s">
        <v>2908</v>
      </c>
      <c r="C1186" t="s">
        <v>2909</v>
      </c>
      <c r="D1186" t="s">
        <v>195</v>
      </c>
    </row>
    <row r="1187" spans="1:4" x14ac:dyDescent="0.2">
      <c r="A1187" t="s">
        <v>2905</v>
      </c>
      <c r="B1187" t="s">
        <v>2910</v>
      </c>
      <c r="C1187" t="s">
        <v>190</v>
      </c>
      <c r="D1187" t="s">
        <v>2907</v>
      </c>
    </row>
    <row r="1188" spans="1:4" x14ac:dyDescent="0.2">
      <c r="A1188" t="s">
        <v>2911</v>
      </c>
      <c r="B1188" t="s">
        <v>2912</v>
      </c>
      <c r="C1188" t="s">
        <v>190</v>
      </c>
      <c r="D1188" t="s">
        <v>191</v>
      </c>
    </row>
    <row r="1189" spans="1:4" x14ac:dyDescent="0.2">
      <c r="A1189" t="s">
        <v>2913</v>
      </c>
      <c r="B1189" t="s">
        <v>2914</v>
      </c>
      <c r="C1189" t="s">
        <v>190</v>
      </c>
      <c r="D1189" t="s">
        <v>191</v>
      </c>
    </row>
    <row r="1190" spans="1:4" x14ac:dyDescent="0.2">
      <c r="A1190" t="s">
        <v>2915</v>
      </c>
      <c r="B1190" t="s">
        <v>2916</v>
      </c>
      <c r="C1190" t="s">
        <v>190</v>
      </c>
      <c r="D1190" t="s">
        <v>191</v>
      </c>
    </row>
    <row r="1191" spans="1:4" x14ac:dyDescent="0.2">
      <c r="A1191" t="s">
        <v>2917</v>
      </c>
      <c r="B1191" t="s">
        <v>2918</v>
      </c>
      <c r="C1191" t="s">
        <v>190</v>
      </c>
      <c r="D1191" t="s">
        <v>191</v>
      </c>
    </row>
    <row r="1192" spans="1:4" x14ac:dyDescent="0.2">
      <c r="A1192" t="s">
        <v>2919</v>
      </c>
      <c r="B1192" t="s">
        <v>2920</v>
      </c>
      <c r="C1192" t="s">
        <v>190</v>
      </c>
      <c r="D1192" t="s">
        <v>191</v>
      </c>
    </row>
    <row r="1193" spans="1:4" x14ac:dyDescent="0.2">
      <c r="A1193" t="s">
        <v>2921</v>
      </c>
      <c r="B1193" t="s">
        <v>2922</v>
      </c>
      <c r="C1193" t="s">
        <v>2923</v>
      </c>
      <c r="D1193" t="s">
        <v>195</v>
      </c>
    </row>
    <row r="1194" spans="1:4" x14ac:dyDescent="0.2">
      <c r="A1194" t="s">
        <v>2921</v>
      </c>
      <c r="B1194" t="s">
        <v>2924</v>
      </c>
      <c r="C1194" t="s">
        <v>2925</v>
      </c>
      <c r="D1194" t="s">
        <v>187</v>
      </c>
    </row>
    <row r="1195" spans="1:4" x14ac:dyDescent="0.2">
      <c r="A1195" t="s">
        <v>2926</v>
      </c>
      <c r="B1195" t="s">
        <v>2927</v>
      </c>
      <c r="C1195" t="s">
        <v>190</v>
      </c>
      <c r="D1195" t="s">
        <v>191</v>
      </c>
    </row>
    <row r="1196" spans="1:4" x14ac:dyDescent="0.2">
      <c r="A1196" t="s">
        <v>2928</v>
      </c>
      <c r="B1196" t="s">
        <v>2929</v>
      </c>
      <c r="C1196" t="s">
        <v>190</v>
      </c>
      <c r="D1196" t="s">
        <v>191</v>
      </c>
    </row>
    <row r="1197" spans="1:4" x14ac:dyDescent="0.2">
      <c r="A1197" t="s">
        <v>2930</v>
      </c>
      <c r="B1197" t="s">
        <v>2931</v>
      </c>
      <c r="C1197" t="s">
        <v>190</v>
      </c>
      <c r="D1197" t="s">
        <v>191</v>
      </c>
    </row>
    <row r="1198" spans="1:4" x14ac:dyDescent="0.2">
      <c r="A1198" t="s">
        <v>2932</v>
      </c>
      <c r="B1198" t="s">
        <v>2933</v>
      </c>
      <c r="C1198" t="s">
        <v>190</v>
      </c>
      <c r="D1198" t="s">
        <v>191</v>
      </c>
    </row>
    <row r="1199" spans="1:4" x14ac:dyDescent="0.2">
      <c r="A1199" t="s">
        <v>2934</v>
      </c>
      <c r="B1199" t="s">
        <v>2935</v>
      </c>
      <c r="C1199" t="s">
        <v>2936</v>
      </c>
      <c r="D1199" t="s">
        <v>195</v>
      </c>
    </row>
    <row r="1200" spans="1:4" x14ac:dyDescent="0.2">
      <c r="A1200" t="s">
        <v>2937</v>
      </c>
      <c r="B1200" t="s">
        <v>2938</v>
      </c>
      <c r="C1200" t="s">
        <v>190</v>
      </c>
      <c r="D1200" t="s">
        <v>191</v>
      </c>
    </row>
    <row r="1201" spans="1:4" x14ac:dyDescent="0.2">
      <c r="A1201" t="s">
        <v>2937</v>
      </c>
      <c r="B1201" t="s">
        <v>2939</v>
      </c>
      <c r="C1201" t="s">
        <v>2940</v>
      </c>
      <c r="D1201" t="s">
        <v>195</v>
      </c>
    </row>
    <row r="1202" spans="1:4" x14ac:dyDescent="0.2">
      <c r="A1202" t="s">
        <v>2941</v>
      </c>
      <c r="B1202" t="s">
        <v>2942</v>
      </c>
      <c r="C1202" t="s">
        <v>190</v>
      </c>
      <c r="D1202" t="s">
        <v>280</v>
      </c>
    </row>
    <row r="1203" spans="1:4" x14ac:dyDescent="0.2">
      <c r="A1203" t="s">
        <v>2943</v>
      </c>
      <c r="B1203" t="s">
        <v>2944</v>
      </c>
      <c r="C1203" t="s">
        <v>190</v>
      </c>
      <c r="D1203" t="s">
        <v>191</v>
      </c>
    </row>
    <row r="1204" spans="1:4" x14ac:dyDescent="0.2">
      <c r="A1204" t="s">
        <v>2945</v>
      </c>
      <c r="B1204" t="s">
        <v>2946</v>
      </c>
      <c r="C1204" t="s">
        <v>190</v>
      </c>
      <c r="D1204" t="s">
        <v>191</v>
      </c>
    </row>
    <row r="1205" spans="1:4" x14ac:dyDescent="0.2">
      <c r="A1205" t="s">
        <v>2947</v>
      </c>
      <c r="B1205" t="s">
        <v>2948</v>
      </c>
      <c r="C1205" t="s">
        <v>190</v>
      </c>
      <c r="D1205" t="s">
        <v>191</v>
      </c>
    </row>
    <row r="1206" spans="1:4" x14ac:dyDescent="0.2">
      <c r="A1206" t="s">
        <v>2949</v>
      </c>
      <c r="B1206" t="s">
        <v>2950</v>
      </c>
      <c r="C1206" t="s">
        <v>190</v>
      </c>
      <c r="D1206" t="s">
        <v>191</v>
      </c>
    </row>
    <row r="1207" spans="1:4" x14ac:dyDescent="0.2">
      <c r="A1207" t="s">
        <v>2949</v>
      </c>
      <c r="B1207" t="s">
        <v>2951</v>
      </c>
      <c r="C1207" t="s">
        <v>190</v>
      </c>
      <c r="D1207" t="s">
        <v>191</v>
      </c>
    </row>
    <row r="1208" spans="1:4" x14ac:dyDescent="0.2">
      <c r="A1208" t="s">
        <v>2952</v>
      </c>
      <c r="B1208" t="s">
        <v>2953</v>
      </c>
      <c r="C1208" t="s">
        <v>190</v>
      </c>
      <c r="D1208" t="s">
        <v>191</v>
      </c>
    </row>
    <row r="1209" spans="1:4" x14ac:dyDescent="0.2">
      <c r="A1209" t="s">
        <v>2952</v>
      </c>
      <c r="B1209" t="s">
        <v>2954</v>
      </c>
      <c r="C1209" t="s">
        <v>190</v>
      </c>
      <c r="D1209" t="s">
        <v>2955</v>
      </c>
    </row>
    <row r="1210" spans="1:4" x14ac:dyDescent="0.2">
      <c r="A1210" t="s">
        <v>2952</v>
      </c>
      <c r="B1210" t="s">
        <v>2956</v>
      </c>
      <c r="C1210" t="s">
        <v>190</v>
      </c>
      <c r="D1210" t="s">
        <v>2957</v>
      </c>
    </row>
    <row r="1211" spans="1:4" x14ac:dyDescent="0.2">
      <c r="A1211" t="s">
        <v>2952</v>
      </c>
      <c r="B1211" t="s">
        <v>2958</v>
      </c>
      <c r="C1211" t="s">
        <v>190</v>
      </c>
      <c r="D1211" t="s">
        <v>2957</v>
      </c>
    </row>
    <row r="1212" spans="1:4" x14ac:dyDescent="0.2">
      <c r="A1212" t="s">
        <v>2952</v>
      </c>
      <c r="B1212" t="s">
        <v>2959</v>
      </c>
      <c r="C1212" t="s">
        <v>190</v>
      </c>
      <c r="D1212" t="s">
        <v>2957</v>
      </c>
    </row>
    <row r="1213" spans="1:4" x14ac:dyDescent="0.2">
      <c r="A1213" t="s">
        <v>2952</v>
      </c>
      <c r="B1213" t="s">
        <v>2960</v>
      </c>
      <c r="C1213" t="s">
        <v>190</v>
      </c>
      <c r="D1213" t="s">
        <v>2955</v>
      </c>
    </row>
    <row r="1214" spans="1:4" x14ac:dyDescent="0.2">
      <c r="A1214" t="s">
        <v>2952</v>
      </c>
      <c r="B1214" t="s">
        <v>2961</v>
      </c>
      <c r="C1214" t="s">
        <v>190</v>
      </c>
      <c r="D1214" t="s">
        <v>2955</v>
      </c>
    </row>
    <row r="1215" spans="1:4" x14ac:dyDescent="0.2">
      <c r="A1215" t="s">
        <v>2952</v>
      </c>
      <c r="B1215" t="s">
        <v>2962</v>
      </c>
      <c r="C1215" t="s">
        <v>190</v>
      </c>
      <c r="D1215" t="s">
        <v>2955</v>
      </c>
    </row>
    <row r="1216" spans="1:4" x14ac:dyDescent="0.2">
      <c r="A1216" t="s">
        <v>2952</v>
      </c>
      <c r="B1216" t="s">
        <v>2963</v>
      </c>
      <c r="C1216" t="s">
        <v>190</v>
      </c>
      <c r="D1216" t="s">
        <v>2955</v>
      </c>
    </row>
    <row r="1217" spans="1:4" x14ac:dyDescent="0.2">
      <c r="A1217" t="s">
        <v>2952</v>
      </c>
      <c r="B1217" t="s">
        <v>2964</v>
      </c>
      <c r="C1217" t="s">
        <v>190</v>
      </c>
      <c r="D1217" t="s">
        <v>2955</v>
      </c>
    </row>
    <row r="1218" spans="1:4" x14ac:dyDescent="0.2">
      <c r="A1218" t="s">
        <v>2952</v>
      </c>
      <c r="B1218" t="s">
        <v>2965</v>
      </c>
      <c r="C1218" t="s">
        <v>190</v>
      </c>
      <c r="D1218" t="s">
        <v>2957</v>
      </c>
    </row>
    <row r="1219" spans="1:4" x14ac:dyDescent="0.2">
      <c r="A1219" t="s">
        <v>2952</v>
      </c>
      <c r="B1219" t="s">
        <v>2966</v>
      </c>
      <c r="C1219" t="s">
        <v>190</v>
      </c>
      <c r="D1219" t="s">
        <v>2955</v>
      </c>
    </row>
    <row r="1220" spans="1:4" x14ac:dyDescent="0.2">
      <c r="A1220" t="s">
        <v>2952</v>
      </c>
      <c r="B1220" t="s">
        <v>2967</v>
      </c>
      <c r="C1220" t="s">
        <v>190</v>
      </c>
      <c r="D1220" t="s">
        <v>2957</v>
      </c>
    </row>
    <row r="1221" spans="1:4" x14ac:dyDescent="0.2">
      <c r="A1221" t="s">
        <v>2952</v>
      </c>
      <c r="B1221" t="s">
        <v>2968</v>
      </c>
      <c r="C1221" t="s">
        <v>190</v>
      </c>
      <c r="D1221" t="s">
        <v>2957</v>
      </c>
    </row>
    <row r="1222" spans="1:4" x14ac:dyDescent="0.2">
      <c r="A1222" t="s">
        <v>2952</v>
      </c>
      <c r="B1222" t="s">
        <v>2969</v>
      </c>
      <c r="C1222" t="s">
        <v>190</v>
      </c>
      <c r="D1222" t="s">
        <v>2955</v>
      </c>
    </row>
    <row r="1223" spans="1:4" x14ac:dyDescent="0.2">
      <c r="A1223" t="s">
        <v>2970</v>
      </c>
      <c r="B1223" t="s">
        <v>2971</v>
      </c>
      <c r="C1223" t="s">
        <v>2972</v>
      </c>
      <c r="D1223" t="s">
        <v>195</v>
      </c>
    </row>
    <row r="1224" spans="1:4" x14ac:dyDescent="0.2">
      <c r="A1224" t="s">
        <v>2970</v>
      </c>
      <c r="B1224" t="s">
        <v>2973</v>
      </c>
      <c r="C1224" t="s">
        <v>190</v>
      </c>
      <c r="D1224" t="s">
        <v>191</v>
      </c>
    </row>
    <row r="1225" spans="1:4" x14ac:dyDescent="0.2">
      <c r="A1225" t="s">
        <v>2970</v>
      </c>
      <c r="B1225" t="s">
        <v>2974</v>
      </c>
      <c r="C1225" t="s">
        <v>190</v>
      </c>
      <c r="D1225" t="s">
        <v>191</v>
      </c>
    </row>
    <row r="1226" spans="1:4" x14ac:dyDescent="0.2">
      <c r="A1226" t="s">
        <v>2970</v>
      </c>
      <c r="B1226" t="s">
        <v>2975</v>
      </c>
      <c r="C1226" t="s">
        <v>190</v>
      </c>
      <c r="D1226" t="s">
        <v>191</v>
      </c>
    </row>
    <row r="1227" spans="1:4" x14ac:dyDescent="0.2">
      <c r="A1227" t="s">
        <v>2970</v>
      </c>
      <c r="B1227" t="s">
        <v>2956</v>
      </c>
      <c r="C1227" t="s">
        <v>190</v>
      </c>
      <c r="D1227" t="s">
        <v>191</v>
      </c>
    </row>
    <row r="1228" spans="1:4" x14ac:dyDescent="0.2">
      <c r="A1228" t="s">
        <v>2970</v>
      </c>
      <c r="B1228" t="s">
        <v>2976</v>
      </c>
      <c r="C1228" t="s">
        <v>190</v>
      </c>
      <c r="D1228" t="s">
        <v>191</v>
      </c>
    </row>
    <row r="1229" spans="1:4" x14ac:dyDescent="0.2">
      <c r="A1229" t="s">
        <v>2970</v>
      </c>
      <c r="B1229" t="s">
        <v>2958</v>
      </c>
      <c r="C1229" t="s">
        <v>190</v>
      </c>
      <c r="D1229" t="s">
        <v>191</v>
      </c>
    </row>
    <row r="1230" spans="1:4" x14ac:dyDescent="0.2">
      <c r="A1230" t="s">
        <v>2970</v>
      </c>
      <c r="B1230" t="s">
        <v>2977</v>
      </c>
      <c r="C1230" t="s">
        <v>2978</v>
      </c>
      <c r="D1230" t="s">
        <v>195</v>
      </c>
    </row>
    <row r="1231" spans="1:4" x14ac:dyDescent="0.2">
      <c r="A1231" t="s">
        <v>2970</v>
      </c>
      <c r="B1231" t="s">
        <v>2979</v>
      </c>
      <c r="C1231" t="s">
        <v>190</v>
      </c>
      <c r="D1231" t="s">
        <v>191</v>
      </c>
    </row>
    <row r="1232" spans="1:4" x14ac:dyDescent="0.2">
      <c r="A1232" t="s">
        <v>2970</v>
      </c>
      <c r="B1232" t="s">
        <v>2959</v>
      </c>
      <c r="C1232" t="s">
        <v>190</v>
      </c>
      <c r="D1232" t="s">
        <v>191</v>
      </c>
    </row>
    <row r="1233" spans="1:4" x14ac:dyDescent="0.2">
      <c r="A1233" t="s">
        <v>2970</v>
      </c>
      <c r="B1233" t="s">
        <v>2980</v>
      </c>
      <c r="C1233" t="s">
        <v>190</v>
      </c>
      <c r="D1233" t="s">
        <v>191</v>
      </c>
    </row>
    <row r="1234" spans="1:4" x14ac:dyDescent="0.2">
      <c r="A1234" t="s">
        <v>2970</v>
      </c>
      <c r="B1234" t="s">
        <v>2965</v>
      </c>
      <c r="C1234" t="s">
        <v>190</v>
      </c>
      <c r="D1234" t="s">
        <v>191</v>
      </c>
    </row>
    <row r="1235" spans="1:4" x14ac:dyDescent="0.2">
      <c r="A1235" t="s">
        <v>2970</v>
      </c>
      <c r="B1235" t="s">
        <v>2967</v>
      </c>
      <c r="C1235" t="s">
        <v>190</v>
      </c>
      <c r="D1235" t="s">
        <v>191</v>
      </c>
    </row>
    <row r="1236" spans="1:4" x14ac:dyDescent="0.2">
      <c r="A1236" t="s">
        <v>2970</v>
      </c>
      <c r="B1236" t="s">
        <v>2968</v>
      </c>
      <c r="C1236" t="s">
        <v>190</v>
      </c>
      <c r="D1236" t="s">
        <v>191</v>
      </c>
    </row>
    <row r="1237" spans="1:4" x14ac:dyDescent="0.2">
      <c r="A1237" t="s">
        <v>2981</v>
      </c>
      <c r="B1237" t="s">
        <v>2954</v>
      </c>
      <c r="C1237" t="s">
        <v>190</v>
      </c>
      <c r="D1237" t="s">
        <v>191</v>
      </c>
    </row>
    <row r="1238" spans="1:4" x14ac:dyDescent="0.2">
      <c r="A1238" t="s">
        <v>2981</v>
      </c>
      <c r="B1238" t="s">
        <v>2960</v>
      </c>
      <c r="C1238" t="s">
        <v>190</v>
      </c>
      <c r="D1238" t="s">
        <v>191</v>
      </c>
    </row>
    <row r="1239" spans="1:4" x14ac:dyDescent="0.2">
      <c r="A1239" t="s">
        <v>2981</v>
      </c>
      <c r="B1239" t="s">
        <v>2961</v>
      </c>
      <c r="C1239" t="s">
        <v>190</v>
      </c>
      <c r="D1239" t="s">
        <v>191</v>
      </c>
    </row>
    <row r="1240" spans="1:4" x14ac:dyDescent="0.2">
      <c r="A1240" t="s">
        <v>2981</v>
      </c>
      <c r="B1240" t="s">
        <v>2982</v>
      </c>
      <c r="C1240" t="s">
        <v>190</v>
      </c>
      <c r="D1240" t="s">
        <v>191</v>
      </c>
    </row>
    <row r="1241" spans="1:4" x14ac:dyDescent="0.2">
      <c r="A1241" t="s">
        <v>2981</v>
      </c>
      <c r="B1241" t="s">
        <v>2983</v>
      </c>
      <c r="C1241" t="s">
        <v>190</v>
      </c>
      <c r="D1241" t="s">
        <v>191</v>
      </c>
    </row>
    <row r="1242" spans="1:4" x14ac:dyDescent="0.2">
      <c r="A1242" t="s">
        <v>2981</v>
      </c>
      <c r="B1242" t="s">
        <v>2984</v>
      </c>
      <c r="C1242" t="s">
        <v>190</v>
      </c>
      <c r="D1242" t="s">
        <v>191</v>
      </c>
    </row>
    <row r="1243" spans="1:4" x14ac:dyDescent="0.2">
      <c r="A1243" t="s">
        <v>2981</v>
      </c>
      <c r="B1243" t="s">
        <v>2962</v>
      </c>
      <c r="C1243" t="s">
        <v>190</v>
      </c>
      <c r="D1243" t="s">
        <v>191</v>
      </c>
    </row>
    <row r="1244" spans="1:4" x14ac:dyDescent="0.2">
      <c r="A1244" t="s">
        <v>2981</v>
      </c>
      <c r="B1244" t="s">
        <v>2963</v>
      </c>
      <c r="C1244" t="s">
        <v>190</v>
      </c>
      <c r="D1244" t="s">
        <v>191</v>
      </c>
    </row>
    <row r="1245" spans="1:4" x14ac:dyDescent="0.2">
      <c r="A1245" t="s">
        <v>2981</v>
      </c>
      <c r="B1245" t="s">
        <v>2985</v>
      </c>
      <c r="C1245" t="s">
        <v>190</v>
      </c>
      <c r="D1245" t="s">
        <v>191</v>
      </c>
    </row>
    <row r="1246" spans="1:4" x14ac:dyDescent="0.2">
      <c r="A1246" t="s">
        <v>2981</v>
      </c>
      <c r="B1246" t="s">
        <v>2964</v>
      </c>
      <c r="C1246" t="s">
        <v>190</v>
      </c>
      <c r="D1246" t="s">
        <v>191</v>
      </c>
    </row>
    <row r="1247" spans="1:4" x14ac:dyDescent="0.2">
      <c r="A1247" t="s">
        <v>2981</v>
      </c>
      <c r="B1247" t="s">
        <v>2966</v>
      </c>
      <c r="C1247" t="s">
        <v>190</v>
      </c>
      <c r="D1247" t="s">
        <v>191</v>
      </c>
    </row>
    <row r="1248" spans="1:4" x14ac:dyDescent="0.2">
      <c r="A1248" t="s">
        <v>2981</v>
      </c>
      <c r="B1248" t="s">
        <v>2969</v>
      </c>
      <c r="C1248" t="s">
        <v>190</v>
      </c>
      <c r="D1248" t="s">
        <v>191</v>
      </c>
    </row>
    <row r="1249" spans="1:4" x14ac:dyDescent="0.2">
      <c r="A1249" t="s">
        <v>2986</v>
      </c>
      <c r="B1249" t="s">
        <v>2987</v>
      </c>
      <c r="C1249" t="s">
        <v>2988</v>
      </c>
      <c r="D1249" t="s">
        <v>187</v>
      </c>
    </row>
    <row r="1250" spans="1:4" x14ac:dyDescent="0.2">
      <c r="A1250" t="s">
        <v>2986</v>
      </c>
      <c r="B1250" t="s">
        <v>2989</v>
      </c>
      <c r="C1250" t="s">
        <v>2990</v>
      </c>
      <c r="D1250" t="s">
        <v>187</v>
      </c>
    </row>
    <row r="1251" spans="1:4" x14ac:dyDescent="0.2">
      <c r="A1251" t="s">
        <v>2986</v>
      </c>
      <c r="B1251" t="s">
        <v>2991</v>
      </c>
      <c r="C1251" t="s">
        <v>2992</v>
      </c>
      <c r="D1251" t="s">
        <v>187</v>
      </c>
    </row>
    <row r="1252" spans="1:4" x14ac:dyDescent="0.2">
      <c r="A1252" t="s">
        <v>2993</v>
      </c>
      <c r="B1252" t="s">
        <v>2994</v>
      </c>
      <c r="C1252" t="s">
        <v>190</v>
      </c>
      <c r="D1252" t="s">
        <v>191</v>
      </c>
    </row>
    <row r="1253" spans="1:4" x14ac:dyDescent="0.2">
      <c r="A1253" t="s">
        <v>2995</v>
      </c>
      <c r="B1253" t="s">
        <v>2996</v>
      </c>
      <c r="C1253" t="s">
        <v>190</v>
      </c>
      <c r="D1253" t="s">
        <v>191</v>
      </c>
    </row>
    <row r="1254" spans="1:4" x14ac:dyDescent="0.2">
      <c r="A1254" t="s">
        <v>2997</v>
      </c>
      <c r="B1254" t="s">
        <v>2998</v>
      </c>
      <c r="C1254" t="s">
        <v>2999</v>
      </c>
      <c r="D1254" t="s">
        <v>187</v>
      </c>
    </row>
    <row r="1255" spans="1:4" x14ac:dyDescent="0.2">
      <c r="A1255" t="s">
        <v>3000</v>
      </c>
      <c r="B1255" t="s">
        <v>3001</v>
      </c>
      <c r="C1255" t="s">
        <v>190</v>
      </c>
      <c r="D1255" t="s">
        <v>3002</v>
      </c>
    </row>
    <row r="1256" spans="1:4" x14ac:dyDescent="0.2">
      <c r="A1256" t="s">
        <v>3000</v>
      </c>
      <c r="B1256" t="s">
        <v>3003</v>
      </c>
      <c r="C1256" t="s">
        <v>190</v>
      </c>
      <c r="D1256" t="s">
        <v>3004</v>
      </c>
    </row>
    <row r="1257" spans="1:4" x14ac:dyDescent="0.2">
      <c r="A1257" t="s">
        <v>3005</v>
      </c>
      <c r="B1257" t="s">
        <v>3006</v>
      </c>
      <c r="C1257" t="s">
        <v>3007</v>
      </c>
      <c r="D1257" t="s">
        <v>195</v>
      </c>
    </row>
    <row r="1258" spans="1:4" x14ac:dyDescent="0.2">
      <c r="A1258" t="s">
        <v>3008</v>
      </c>
      <c r="B1258" t="s">
        <v>3009</v>
      </c>
      <c r="C1258" t="s">
        <v>3010</v>
      </c>
      <c r="D1258" t="s">
        <v>195</v>
      </c>
    </row>
    <row r="1259" spans="1:4" x14ac:dyDescent="0.2">
      <c r="A1259" t="s">
        <v>3011</v>
      </c>
      <c r="B1259" t="s">
        <v>3012</v>
      </c>
      <c r="C1259" t="s">
        <v>190</v>
      </c>
      <c r="D1259" t="s">
        <v>3013</v>
      </c>
    </row>
    <row r="1260" spans="1:4" x14ac:dyDescent="0.2">
      <c r="A1260" t="s">
        <v>3014</v>
      </c>
      <c r="B1260" t="s">
        <v>3015</v>
      </c>
      <c r="C1260" t="s">
        <v>190</v>
      </c>
      <c r="D1260" t="s">
        <v>191</v>
      </c>
    </row>
    <row r="1261" spans="1:4" x14ac:dyDescent="0.2">
      <c r="A1261" t="s">
        <v>3016</v>
      </c>
      <c r="B1261" t="s">
        <v>3017</v>
      </c>
      <c r="C1261" t="s">
        <v>3018</v>
      </c>
      <c r="D1261" t="s">
        <v>195</v>
      </c>
    </row>
    <row r="1262" spans="1:4" x14ac:dyDescent="0.2">
      <c r="A1262" t="s">
        <v>3016</v>
      </c>
      <c r="B1262" t="s">
        <v>3019</v>
      </c>
      <c r="C1262" t="s">
        <v>3020</v>
      </c>
      <c r="D1262" t="s">
        <v>195</v>
      </c>
    </row>
    <row r="1263" spans="1:4" x14ac:dyDescent="0.2">
      <c r="A1263" t="s">
        <v>3016</v>
      </c>
      <c r="B1263" t="s">
        <v>3021</v>
      </c>
      <c r="C1263" t="s">
        <v>3022</v>
      </c>
      <c r="D1263" t="s">
        <v>195</v>
      </c>
    </row>
    <row r="1264" spans="1:4" x14ac:dyDescent="0.2">
      <c r="A1264" t="s">
        <v>3023</v>
      </c>
      <c r="B1264" t="s">
        <v>3024</v>
      </c>
      <c r="C1264" t="s">
        <v>190</v>
      </c>
      <c r="D1264" t="s">
        <v>191</v>
      </c>
    </row>
    <row r="1265" spans="1:4" x14ac:dyDescent="0.2">
      <c r="A1265" t="s">
        <v>3025</v>
      </c>
      <c r="B1265" t="s">
        <v>3026</v>
      </c>
      <c r="C1265" t="s">
        <v>190</v>
      </c>
      <c r="D1265" t="s">
        <v>191</v>
      </c>
    </row>
    <row r="1266" spans="1:4" x14ac:dyDescent="0.2">
      <c r="A1266" t="s">
        <v>3027</v>
      </c>
      <c r="B1266" t="s">
        <v>3028</v>
      </c>
      <c r="C1266" t="s">
        <v>190</v>
      </c>
      <c r="D1266" t="s">
        <v>191</v>
      </c>
    </row>
    <row r="1267" spans="1:4" x14ac:dyDescent="0.2">
      <c r="A1267" t="s">
        <v>3029</v>
      </c>
      <c r="B1267" t="s">
        <v>3030</v>
      </c>
      <c r="C1267" t="s">
        <v>3031</v>
      </c>
      <c r="D1267" t="s">
        <v>195</v>
      </c>
    </row>
    <row r="1268" spans="1:4" x14ac:dyDescent="0.2">
      <c r="A1268" t="s">
        <v>3032</v>
      </c>
      <c r="B1268" t="s">
        <v>3033</v>
      </c>
      <c r="C1268" t="s">
        <v>190</v>
      </c>
      <c r="D1268" t="s">
        <v>191</v>
      </c>
    </row>
    <row r="1269" spans="1:4" x14ac:dyDescent="0.2">
      <c r="A1269" t="s">
        <v>3034</v>
      </c>
      <c r="B1269" t="s">
        <v>3035</v>
      </c>
      <c r="C1269" t="s">
        <v>190</v>
      </c>
      <c r="D1269" t="s">
        <v>191</v>
      </c>
    </row>
    <row r="1270" spans="1:4" x14ac:dyDescent="0.2">
      <c r="A1270" t="s">
        <v>3036</v>
      </c>
      <c r="B1270" t="s">
        <v>3037</v>
      </c>
      <c r="C1270" t="s">
        <v>3038</v>
      </c>
      <c r="D1270" t="s">
        <v>187</v>
      </c>
    </row>
    <row r="1271" spans="1:4" x14ac:dyDescent="0.2">
      <c r="A1271" t="s">
        <v>3039</v>
      </c>
      <c r="B1271" t="s">
        <v>3040</v>
      </c>
      <c r="C1271" t="s">
        <v>190</v>
      </c>
      <c r="D1271" t="s">
        <v>191</v>
      </c>
    </row>
    <row r="1272" spans="1:4" x14ac:dyDescent="0.2">
      <c r="A1272" t="s">
        <v>3041</v>
      </c>
      <c r="B1272" t="s">
        <v>3042</v>
      </c>
      <c r="C1272" t="s">
        <v>3043</v>
      </c>
      <c r="D1272" t="s">
        <v>195</v>
      </c>
    </row>
    <row r="1273" spans="1:4" x14ac:dyDescent="0.2">
      <c r="A1273" t="s">
        <v>3041</v>
      </c>
      <c r="B1273" t="s">
        <v>3044</v>
      </c>
      <c r="C1273" t="s">
        <v>3045</v>
      </c>
      <c r="D1273" t="s">
        <v>195</v>
      </c>
    </row>
    <row r="1274" spans="1:4" x14ac:dyDescent="0.2">
      <c r="A1274" t="s">
        <v>3046</v>
      </c>
      <c r="B1274" t="s">
        <v>3047</v>
      </c>
      <c r="C1274" t="s">
        <v>3048</v>
      </c>
      <c r="D1274" t="s">
        <v>195</v>
      </c>
    </row>
    <row r="1275" spans="1:4" x14ac:dyDescent="0.2">
      <c r="A1275" t="s">
        <v>3049</v>
      </c>
      <c r="B1275" t="s">
        <v>3050</v>
      </c>
      <c r="C1275" t="s">
        <v>190</v>
      </c>
      <c r="D1275" t="s">
        <v>191</v>
      </c>
    </row>
    <row r="1276" spans="1:4" x14ac:dyDescent="0.2">
      <c r="A1276" t="s">
        <v>3051</v>
      </c>
      <c r="B1276" t="s">
        <v>3052</v>
      </c>
      <c r="C1276" t="s">
        <v>190</v>
      </c>
      <c r="D1276" t="s">
        <v>191</v>
      </c>
    </row>
    <row r="1277" spans="1:4" x14ac:dyDescent="0.2">
      <c r="A1277" t="s">
        <v>3053</v>
      </c>
      <c r="B1277" t="s">
        <v>3054</v>
      </c>
      <c r="C1277" t="s">
        <v>190</v>
      </c>
      <c r="D1277" t="s">
        <v>191</v>
      </c>
    </row>
    <row r="1278" spans="1:4" x14ac:dyDescent="0.2">
      <c r="A1278" t="s">
        <v>3055</v>
      </c>
      <c r="B1278" t="s">
        <v>3056</v>
      </c>
      <c r="C1278" t="s">
        <v>190</v>
      </c>
      <c r="D1278" t="s">
        <v>191</v>
      </c>
    </row>
    <row r="1279" spans="1:4" x14ac:dyDescent="0.2">
      <c r="A1279" t="s">
        <v>3057</v>
      </c>
      <c r="B1279" t="s">
        <v>3058</v>
      </c>
      <c r="C1279" t="s">
        <v>190</v>
      </c>
      <c r="D1279" t="s">
        <v>191</v>
      </c>
    </row>
    <row r="1280" spans="1:4" x14ac:dyDescent="0.2">
      <c r="A1280" t="s">
        <v>3059</v>
      </c>
      <c r="B1280" t="s">
        <v>3060</v>
      </c>
      <c r="C1280" t="s">
        <v>190</v>
      </c>
      <c r="D1280" t="s">
        <v>191</v>
      </c>
    </row>
    <row r="1281" spans="1:4" x14ac:dyDescent="0.2">
      <c r="A1281" t="s">
        <v>3061</v>
      </c>
      <c r="B1281" t="s">
        <v>3062</v>
      </c>
      <c r="C1281" t="s">
        <v>190</v>
      </c>
      <c r="D1281" t="s">
        <v>191</v>
      </c>
    </row>
    <row r="1282" spans="1:4" x14ac:dyDescent="0.2">
      <c r="A1282" t="s">
        <v>3063</v>
      </c>
      <c r="B1282" t="s">
        <v>3064</v>
      </c>
      <c r="C1282" t="s">
        <v>3065</v>
      </c>
      <c r="D1282" t="s">
        <v>195</v>
      </c>
    </row>
    <row r="1283" spans="1:4" x14ac:dyDescent="0.2">
      <c r="A1283" t="s">
        <v>3066</v>
      </c>
      <c r="B1283" t="s">
        <v>3067</v>
      </c>
      <c r="C1283" t="s">
        <v>190</v>
      </c>
      <c r="D1283" t="s">
        <v>191</v>
      </c>
    </row>
    <row r="1284" spans="1:4" x14ac:dyDescent="0.2">
      <c r="A1284" t="s">
        <v>3068</v>
      </c>
      <c r="B1284" t="s">
        <v>3069</v>
      </c>
      <c r="C1284" t="s">
        <v>3070</v>
      </c>
      <c r="D1284" t="s">
        <v>187</v>
      </c>
    </row>
    <row r="1285" spans="1:4" x14ac:dyDescent="0.2">
      <c r="A1285" t="s">
        <v>3071</v>
      </c>
      <c r="B1285" t="s">
        <v>3072</v>
      </c>
      <c r="C1285" t="s">
        <v>3073</v>
      </c>
      <c r="D1285" t="s">
        <v>195</v>
      </c>
    </row>
    <row r="1286" spans="1:4" x14ac:dyDescent="0.2">
      <c r="A1286" t="s">
        <v>3071</v>
      </c>
      <c r="B1286" t="s">
        <v>3074</v>
      </c>
      <c r="C1286" t="s">
        <v>190</v>
      </c>
      <c r="D1286" t="s">
        <v>191</v>
      </c>
    </row>
    <row r="1287" spans="1:4" x14ac:dyDescent="0.2">
      <c r="A1287" t="s">
        <v>3071</v>
      </c>
      <c r="B1287" t="s">
        <v>3075</v>
      </c>
      <c r="C1287" t="s">
        <v>3076</v>
      </c>
      <c r="D1287" t="s">
        <v>195</v>
      </c>
    </row>
    <row r="1288" spans="1:4" x14ac:dyDescent="0.2">
      <c r="A1288" t="s">
        <v>3077</v>
      </c>
      <c r="B1288" t="s">
        <v>3078</v>
      </c>
      <c r="C1288" t="s">
        <v>190</v>
      </c>
      <c r="D1288" t="s">
        <v>191</v>
      </c>
    </row>
    <row r="1289" spans="1:4" x14ac:dyDescent="0.2">
      <c r="A1289" t="s">
        <v>3079</v>
      </c>
      <c r="B1289" t="s">
        <v>3080</v>
      </c>
      <c r="C1289" t="s">
        <v>3081</v>
      </c>
      <c r="D1289" t="s">
        <v>195</v>
      </c>
    </row>
    <row r="1290" spans="1:4" x14ac:dyDescent="0.2">
      <c r="A1290" t="s">
        <v>3082</v>
      </c>
      <c r="B1290" t="s">
        <v>3083</v>
      </c>
      <c r="C1290" t="s">
        <v>190</v>
      </c>
      <c r="D1290" t="s">
        <v>191</v>
      </c>
    </row>
    <row r="1291" spans="1:4" x14ac:dyDescent="0.2">
      <c r="A1291" t="s">
        <v>3084</v>
      </c>
      <c r="B1291" t="s">
        <v>3085</v>
      </c>
      <c r="C1291" t="s">
        <v>3086</v>
      </c>
      <c r="D1291" t="s">
        <v>187</v>
      </c>
    </row>
    <row r="1292" spans="1:4" x14ac:dyDescent="0.2">
      <c r="A1292" t="s">
        <v>3087</v>
      </c>
      <c r="B1292" t="s">
        <v>3088</v>
      </c>
      <c r="C1292" t="s">
        <v>3089</v>
      </c>
      <c r="D1292" t="s">
        <v>187</v>
      </c>
    </row>
    <row r="1293" spans="1:4" x14ac:dyDescent="0.2">
      <c r="A1293" t="s">
        <v>3090</v>
      </c>
      <c r="B1293" t="s">
        <v>3091</v>
      </c>
      <c r="C1293" t="s">
        <v>3092</v>
      </c>
      <c r="D1293" t="s">
        <v>195</v>
      </c>
    </row>
    <row r="1294" spans="1:4" x14ac:dyDescent="0.2">
      <c r="A1294" t="s">
        <v>3093</v>
      </c>
      <c r="B1294" t="s">
        <v>3094</v>
      </c>
      <c r="C1294" t="s">
        <v>3095</v>
      </c>
      <c r="D1294" t="s">
        <v>187</v>
      </c>
    </row>
    <row r="1295" spans="1:4" x14ac:dyDescent="0.2">
      <c r="A1295" t="s">
        <v>3096</v>
      </c>
      <c r="B1295" t="s">
        <v>3097</v>
      </c>
      <c r="C1295" t="s">
        <v>190</v>
      </c>
      <c r="D1295" t="s">
        <v>191</v>
      </c>
    </row>
    <row r="1296" spans="1:4" x14ac:dyDescent="0.2">
      <c r="A1296" t="s">
        <v>3098</v>
      </c>
      <c r="B1296" t="s">
        <v>3099</v>
      </c>
      <c r="C1296" t="s">
        <v>190</v>
      </c>
      <c r="D1296" t="s">
        <v>191</v>
      </c>
    </row>
    <row r="1297" spans="1:4" x14ac:dyDescent="0.2">
      <c r="A1297" t="s">
        <v>3100</v>
      </c>
      <c r="B1297" t="s">
        <v>3101</v>
      </c>
      <c r="C1297" t="s">
        <v>3102</v>
      </c>
      <c r="D1297" t="s">
        <v>195</v>
      </c>
    </row>
    <row r="1298" spans="1:4" x14ac:dyDescent="0.2">
      <c r="A1298" t="s">
        <v>3103</v>
      </c>
      <c r="B1298" t="s">
        <v>3104</v>
      </c>
      <c r="C1298" t="s">
        <v>190</v>
      </c>
      <c r="D1298" t="s">
        <v>191</v>
      </c>
    </row>
    <row r="1299" spans="1:4" x14ac:dyDescent="0.2">
      <c r="A1299" t="s">
        <v>3105</v>
      </c>
      <c r="B1299" t="s">
        <v>3106</v>
      </c>
      <c r="C1299" t="s">
        <v>3107</v>
      </c>
      <c r="D1299" t="s">
        <v>195</v>
      </c>
    </row>
    <row r="1300" spans="1:4" x14ac:dyDescent="0.2">
      <c r="A1300" t="s">
        <v>3108</v>
      </c>
      <c r="B1300" t="s">
        <v>3109</v>
      </c>
      <c r="C1300" t="s">
        <v>3110</v>
      </c>
      <c r="D1300" t="s">
        <v>187</v>
      </c>
    </row>
    <row r="1301" spans="1:4" x14ac:dyDescent="0.2">
      <c r="A1301" t="s">
        <v>3111</v>
      </c>
      <c r="B1301" t="s">
        <v>3112</v>
      </c>
      <c r="C1301" t="s">
        <v>190</v>
      </c>
      <c r="D1301" t="s">
        <v>191</v>
      </c>
    </row>
    <row r="1302" spans="1:4" x14ac:dyDescent="0.2">
      <c r="A1302" t="s">
        <v>3113</v>
      </c>
      <c r="B1302" t="s">
        <v>3114</v>
      </c>
      <c r="C1302" t="s">
        <v>3115</v>
      </c>
      <c r="D1302" t="s">
        <v>187</v>
      </c>
    </row>
    <row r="1303" spans="1:4" x14ac:dyDescent="0.2">
      <c r="A1303" t="s">
        <v>3116</v>
      </c>
      <c r="B1303" t="s">
        <v>3117</v>
      </c>
      <c r="C1303" t="s">
        <v>190</v>
      </c>
      <c r="D1303" t="s">
        <v>191</v>
      </c>
    </row>
    <row r="1304" spans="1:4" x14ac:dyDescent="0.2">
      <c r="A1304" t="s">
        <v>3118</v>
      </c>
      <c r="B1304" t="s">
        <v>3119</v>
      </c>
      <c r="C1304" t="s">
        <v>3120</v>
      </c>
      <c r="D1304" t="s">
        <v>195</v>
      </c>
    </row>
    <row r="1305" spans="1:4" x14ac:dyDescent="0.2">
      <c r="A1305" t="s">
        <v>3121</v>
      </c>
      <c r="B1305" t="s">
        <v>3122</v>
      </c>
      <c r="C1305" t="s">
        <v>190</v>
      </c>
      <c r="D1305" t="s">
        <v>191</v>
      </c>
    </row>
    <row r="1306" spans="1:4" x14ac:dyDescent="0.2">
      <c r="A1306" t="s">
        <v>3123</v>
      </c>
      <c r="B1306" t="s">
        <v>3124</v>
      </c>
      <c r="C1306" t="s">
        <v>190</v>
      </c>
      <c r="D1306" t="s">
        <v>191</v>
      </c>
    </row>
    <row r="1307" spans="1:4" x14ac:dyDescent="0.2">
      <c r="A1307" t="s">
        <v>3125</v>
      </c>
      <c r="B1307" t="s">
        <v>3126</v>
      </c>
      <c r="C1307" t="s">
        <v>190</v>
      </c>
      <c r="D1307" t="s">
        <v>191</v>
      </c>
    </row>
    <row r="1308" spans="1:4" x14ac:dyDescent="0.2">
      <c r="A1308" t="s">
        <v>3127</v>
      </c>
      <c r="B1308" t="s">
        <v>3128</v>
      </c>
      <c r="C1308" t="s">
        <v>190</v>
      </c>
      <c r="D1308" t="s">
        <v>3129</v>
      </c>
    </row>
    <row r="1309" spans="1:4" x14ac:dyDescent="0.2">
      <c r="A1309" t="s">
        <v>3127</v>
      </c>
      <c r="B1309" t="s">
        <v>3130</v>
      </c>
      <c r="C1309" t="s">
        <v>3131</v>
      </c>
      <c r="D1309" t="s">
        <v>187</v>
      </c>
    </row>
    <row r="1310" spans="1:4" x14ac:dyDescent="0.2">
      <c r="A1310" t="s">
        <v>3132</v>
      </c>
      <c r="B1310" t="s">
        <v>3133</v>
      </c>
      <c r="C1310" t="s">
        <v>3134</v>
      </c>
      <c r="D1310" t="s">
        <v>195</v>
      </c>
    </row>
    <row r="1311" spans="1:4" x14ac:dyDescent="0.2">
      <c r="A1311" t="s">
        <v>3135</v>
      </c>
      <c r="B1311" t="s">
        <v>3136</v>
      </c>
      <c r="C1311" t="s">
        <v>190</v>
      </c>
      <c r="D1311" t="s">
        <v>3137</v>
      </c>
    </row>
    <row r="1312" spans="1:4" x14ac:dyDescent="0.2">
      <c r="A1312" t="s">
        <v>3135</v>
      </c>
      <c r="B1312" t="s">
        <v>3138</v>
      </c>
      <c r="C1312" t="s">
        <v>190</v>
      </c>
      <c r="D1312" t="s">
        <v>3137</v>
      </c>
    </row>
    <row r="1313" spans="1:4" x14ac:dyDescent="0.2">
      <c r="A1313" t="s">
        <v>3139</v>
      </c>
      <c r="B1313" t="s">
        <v>3140</v>
      </c>
      <c r="C1313" t="s">
        <v>190</v>
      </c>
      <c r="D1313" t="s">
        <v>191</v>
      </c>
    </row>
    <row r="1314" spans="1:4" x14ac:dyDescent="0.2">
      <c r="A1314" t="s">
        <v>3141</v>
      </c>
      <c r="B1314" t="s">
        <v>3142</v>
      </c>
      <c r="C1314" t="s">
        <v>3143</v>
      </c>
      <c r="D1314" t="s">
        <v>187</v>
      </c>
    </row>
    <row r="1315" spans="1:4" x14ac:dyDescent="0.2">
      <c r="A1315" t="s">
        <v>3144</v>
      </c>
      <c r="B1315" t="s">
        <v>3145</v>
      </c>
      <c r="C1315" t="s">
        <v>190</v>
      </c>
      <c r="D1315" t="s">
        <v>3146</v>
      </c>
    </row>
    <row r="1316" spans="1:4" x14ac:dyDescent="0.2">
      <c r="A1316" t="s">
        <v>3147</v>
      </c>
      <c r="B1316" t="s">
        <v>3148</v>
      </c>
      <c r="C1316" t="s">
        <v>190</v>
      </c>
      <c r="D1316" t="s">
        <v>191</v>
      </c>
    </row>
    <row r="1317" spans="1:4" x14ac:dyDescent="0.2">
      <c r="A1317" t="s">
        <v>3149</v>
      </c>
      <c r="B1317" t="s">
        <v>3150</v>
      </c>
      <c r="C1317" t="s">
        <v>190</v>
      </c>
      <c r="D1317" t="s">
        <v>191</v>
      </c>
    </row>
    <row r="1318" spans="1:4" x14ac:dyDescent="0.2">
      <c r="A1318" t="s">
        <v>3151</v>
      </c>
      <c r="B1318" t="s">
        <v>3152</v>
      </c>
      <c r="C1318" t="s">
        <v>3153</v>
      </c>
      <c r="D1318" t="s">
        <v>195</v>
      </c>
    </row>
    <row r="1319" spans="1:4" x14ac:dyDescent="0.2">
      <c r="A1319" t="s">
        <v>3154</v>
      </c>
      <c r="B1319" t="s">
        <v>3155</v>
      </c>
      <c r="C1319" t="s">
        <v>3156</v>
      </c>
      <c r="D1319" t="s">
        <v>187</v>
      </c>
    </row>
    <row r="1320" spans="1:4" x14ac:dyDescent="0.2">
      <c r="A1320" t="s">
        <v>3157</v>
      </c>
      <c r="B1320" t="s">
        <v>3158</v>
      </c>
      <c r="C1320" t="s">
        <v>190</v>
      </c>
      <c r="D1320" t="s">
        <v>191</v>
      </c>
    </row>
    <row r="1321" spans="1:4" x14ac:dyDescent="0.2">
      <c r="A1321" t="s">
        <v>3159</v>
      </c>
      <c r="B1321" t="s">
        <v>3160</v>
      </c>
      <c r="C1321" t="s">
        <v>3161</v>
      </c>
      <c r="D1321" t="s">
        <v>195</v>
      </c>
    </row>
    <row r="1322" spans="1:4" x14ac:dyDescent="0.2">
      <c r="A1322" t="s">
        <v>3162</v>
      </c>
      <c r="B1322" t="s">
        <v>3163</v>
      </c>
      <c r="C1322" t="s">
        <v>3164</v>
      </c>
      <c r="D1322" t="s">
        <v>187</v>
      </c>
    </row>
    <row r="1323" spans="1:4" x14ac:dyDescent="0.2">
      <c r="A1323" t="s">
        <v>3165</v>
      </c>
      <c r="B1323" t="s">
        <v>3166</v>
      </c>
      <c r="C1323" t="s">
        <v>190</v>
      </c>
      <c r="D1323" t="s">
        <v>191</v>
      </c>
    </row>
    <row r="1324" spans="1:4" x14ac:dyDescent="0.2">
      <c r="A1324" t="s">
        <v>3167</v>
      </c>
      <c r="B1324" t="s">
        <v>3168</v>
      </c>
      <c r="C1324" t="s">
        <v>190</v>
      </c>
      <c r="D1324" t="s">
        <v>191</v>
      </c>
    </row>
    <row r="1325" spans="1:4" x14ac:dyDescent="0.2">
      <c r="A1325" t="s">
        <v>3169</v>
      </c>
      <c r="B1325" t="s">
        <v>3170</v>
      </c>
      <c r="C1325" t="s">
        <v>3171</v>
      </c>
      <c r="D1325" t="s">
        <v>187</v>
      </c>
    </row>
    <row r="1326" spans="1:4" x14ac:dyDescent="0.2">
      <c r="A1326" t="s">
        <v>3172</v>
      </c>
      <c r="B1326" t="s">
        <v>3173</v>
      </c>
      <c r="C1326" t="s">
        <v>190</v>
      </c>
      <c r="D1326" t="s">
        <v>191</v>
      </c>
    </row>
    <row r="1327" spans="1:4" x14ac:dyDescent="0.2">
      <c r="A1327" t="s">
        <v>3174</v>
      </c>
      <c r="B1327" t="s">
        <v>3175</v>
      </c>
      <c r="C1327" t="s">
        <v>190</v>
      </c>
      <c r="D1327" t="s">
        <v>3176</v>
      </c>
    </row>
    <row r="1328" spans="1:4" x14ac:dyDescent="0.2">
      <c r="A1328" t="s">
        <v>3177</v>
      </c>
      <c r="B1328" t="s">
        <v>3178</v>
      </c>
      <c r="C1328" t="s">
        <v>190</v>
      </c>
      <c r="D1328" t="s">
        <v>3179</v>
      </c>
    </row>
    <row r="1329" spans="1:4" x14ac:dyDescent="0.2">
      <c r="A1329" t="s">
        <v>3180</v>
      </c>
      <c r="B1329" t="s">
        <v>3181</v>
      </c>
      <c r="C1329" t="s">
        <v>190</v>
      </c>
      <c r="D1329" t="s">
        <v>3182</v>
      </c>
    </row>
    <row r="1330" spans="1:4" x14ac:dyDescent="0.2">
      <c r="A1330" t="s">
        <v>3183</v>
      </c>
      <c r="B1330" t="s">
        <v>3181</v>
      </c>
      <c r="C1330" t="s">
        <v>190</v>
      </c>
      <c r="D1330" t="s">
        <v>191</v>
      </c>
    </row>
    <row r="1331" spans="1:4" x14ac:dyDescent="0.2">
      <c r="A1331" t="s">
        <v>3183</v>
      </c>
      <c r="B1331" t="s">
        <v>3184</v>
      </c>
      <c r="C1331" t="s">
        <v>3185</v>
      </c>
      <c r="D1331" t="s">
        <v>187</v>
      </c>
    </row>
    <row r="1332" spans="1:4" x14ac:dyDescent="0.2">
      <c r="A1332" t="s">
        <v>3186</v>
      </c>
      <c r="B1332" t="s">
        <v>3187</v>
      </c>
      <c r="C1332" t="s">
        <v>190</v>
      </c>
      <c r="D1332" t="s">
        <v>191</v>
      </c>
    </row>
    <row r="1333" spans="1:4" x14ac:dyDescent="0.2">
      <c r="A1333" t="s">
        <v>3188</v>
      </c>
      <c r="B1333" t="s">
        <v>3189</v>
      </c>
      <c r="C1333" t="s">
        <v>3190</v>
      </c>
      <c r="D1333" t="s">
        <v>187</v>
      </c>
    </row>
    <row r="1334" spans="1:4" x14ac:dyDescent="0.2">
      <c r="A1334" t="s">
        <v>3191</v>
      </c>
      <c r="B1334" t="s">
        <v>3192</v>
      </c>
      <c r="C1334" t="s">
        <v>190</v>
      </c>
      <c r="D1334" t="s">
        <v>3176</v>
      </c>
    </row>
    <row r="1335" spans="1:4" x14ac:dyDescent="0.2">
      <c r="A1335" t="s">
        <v>3193</v>
      </c>
      <c r="B1335" t="s">
        <v>3194</v>
      </c>
      <c r="C1335" t="s">
        <v>3195</v>
      </c>
      <c r="D1335" t="s">
        <v>195</v>
      </c>
    </row>
    <row r="1336" spans="1:4" x14ac:dyDescent="0.2">
      <c r="A1336" t="s">
        <v>3196</v>
      </c>
      <c r="B1336" t="s">
        <v>3197</v>
      </c>
      <c r="C1336" t="s">
        <v>3198</v>
      </c>
      <c r="D1336" t="s">
        <v>195</v>
      </c>
    </row>
    <row r="1337" spans="1:4" x14ac:dyDescent="0.2">
      <c r="A1337" t="s">
        <v>3199</v>
      </c>
      <c r="B1337" t="s">
        <v>3200</v>
      </c>
      <c r="C1337" t="s">
        <v>3201</v>
      </c>
      <c r="D1337" t="s">
        <v>187</v>
      </c>
    </row>
    <row r="1338" spans="1:4" x14ac:dyDescent="0.2">
      <c r="A1338" t="s">
        <v>3202</v>
      </c>
      <c r="B1338" t="s">
        <v>3203</v>
      </c>
      <c r="C1338" t="s">
        <v>3204</v>
      </c>
      <c r="D1338" t="s">
        <v>187</v>
      </c>
    </row>
    <row r="1339" spans="1:4" x14ac:dyDescent="0.2">
      <c r="A1339" t="s">
        <v>3205</v>
      </c>
      <c r="B1339" t="s">
        <v>3206</v>
      </c>
      <c r="C1339" t="s">
        <v>3207</v>
      </c>
      <c r="D1339" t="s">
        <v>195</v>
      </c>
    </row>
    <row r="1340" spans="1:4" x14ac:dyDescent="0.2">
      <c r="A1340" t="s">
        <v>3208</v>
      </c>
      <c r="B1340" t="s">
        <v>3209</v>
      </c>
      <c r="C1340" t="s">
        <v>190</v>
      </c>
      <c r="D1340" t="s">
        <v>191</v>
      </c>
    </row>
    <row r="1341" spans="1:4" x14ac:dyDescent="0.2">
      <c r="A1341" t="s">
        <v>3208</v>
      </c>
      <c r="B1341" t="s">
        <v>3210</v>
      </c>
      <c r="C1341" t="s">
        <v>190</v>
      </c>
      <c r="D1341" t="s">
        <v>191</v>
      </c>
    </row>
    <row r="1342" spans="1:4" x14ac:dyDescent="0.2">
      <c r="A1342" t="s">
        <v>3211</v>
      </c>
      <c r="B1342" t="s">
        <v>3212</v>
      </c>
      <c r="C1342" t="s">
        <v>190</v>
      </c>
      <c r="D1342" t="s">
        <v>191</v>
      </c>
    </row>
    <row r="1343" spans="1:4" x14ac:dyDescent="0.2">
      <c r="A1343" t="s">
        <v>3213</v>
      </c>
      <c r="B1343" t="s">
        <v>3214</v>
      </c>
      <c r="C1343" t="s">
        <v>190</v>
      </c>
      <c r="D1343" t="s">
        <v>191</v>
      </c>
    </row>
    <row r="1344" spans="1:4" x14ac:dyDescent="0.2">
      <c r="A1344" t="s">
        <v>3215</v>
      </c>
      <c r="B1344" t="s">
        <v>3216</v>
      </c>
      <c r="C1344" t="s">
        <v>190</v>
      </c>
      <c r="D1344" t="s">
        <v>3217</v>
      </c>
    </row>
    <row r="1345" spans="1:4" x14ac:dyDescent="0.2">
      <c r="A1345" t="s">
        <v>3218</v>
      </c>
      <c r="B1345" t="s">
        <v>3219</v>
      </c>
      <c r="C1345" t="s">
        <v>3220</v>
      </c>
      <c r="D1345" t="s">
        <v>187</v>
      </c>
    </row>
    <row r="1346" spans="1:4" x14ac:dyDescent="0.2">
      <c r="A1346" t="s">
        <v>3221</v>
      </c>
      <c r="B1346" t="s">
        <v>3222</v>
      </c>
      <c r="C1346" t="s">
        <v>190</v>
      </c>
      <c r="D1346" t="s">
        <v>191</v>
      </c>
    </row>
    <row r="1347" spans="1:4" x14ac:dyDescent="0.2">
      <c r="A1347" t="s">
        <v>3221</v>
      </c>
      <c r="B1347" t="s">
        <v>3223</v>
      </c>
      <c r="C1347" t="s">
        <v>190</v>
      </c>
      <c r="D1347" t="s">
        <v>280</v>
      </c>
    </row>
    <row r="1348" spans="1:4" x14ac:dyDescent="0.2">
      <c r="A1348" t="s">
        <v>3224</v>
      </c>
      <c r="B1348" t="s">
        <v>3225</v>
      </c>
      <c r="C1348" t="s">
        <v>190</v>
      </c>
      <c r="D1348" t="s">
        <v>191</v>
      </c>
    </row>
    <row r="1349" spans="1:4" x14ac:dyDescent="0.2">
      <c r="A1349" t="s">
        <v>3226</v>
      </c>
      <c r="B1349" t="s">
        <v>3227</v>
      </c>
      <c r="C1349" t="s">
        <v>190</v>
      </c>
      <c r="D1349" t="s">
        <v>3228</v>
      </c>
    </row>
    <row r="1350" spans="1:4" x14ac:dyDescent="0.2">
      <c r="A1350" t="s">
        <v>3226</v>
      </c>
      <c r="B1350" t="s">
        <v>3229</v>
      </c>
      <c r="C1350" t="s">
        <v>3230</v>
      </c>
      <c r="D1350" t="s">
        <v>195</v>
      </c>
    </row>
    <row r="1351" spans="1:4" x14ac:dyDescent="0.2">
      <c r="A1351" t="s">
        <v>3231</v>
      </c>
      <c r="B1351" t="s">
        <v>3232</v>
      </c>
      <c r="C1351" t="s">
        <v>3233</v>
      </c>
      <c r="D1351" t="s">
        <v>195</v>
      </c>
    </row>
    <row r="1352" spans="1:4" x14ac:dyDescent="0.2">
      <c r="A1352" t="s">
        <v>3234</v>
      </c>
      <c r="B1352" t="s">
        <v>3235</v>
      </c>
      <c r="C1352" t="s">
        <v>190</v>
      </c>
      <c r="D1352" t="s">
        <v>191</v>
      </c>
    </row>
    <row r="1353" spans="1:4" x14ac:dyDescent="0.2">
      <c r="A1353" t="s">
        <v>3236</v>
      </c>
      <c r="B1353" t="s">
        <v>3237</v>
      </c>
      <c r="C1353" t="s">
        <v>3238</v>
      </c>
      <c r="D1353" t="s">
        <v>187</v>
      </c>
    </row>
    <row r="1354" spans="1:4" x14ac:dyDescent="0.2">
      <c r="A1354" t="s">
        <v>3239</v>
      </c>
      <c r="B1354" t="s">
        <v>3240</v>
      </c>
      <c r="C1354" t="s">
        <v>190</v>
      </c>
      <c r="D1354" t="s">
        <v>191</v>
      </c>
    </row>
    <row r="1355" spans="1:4" x14ac:dyDescent="0.2">
      <c r="A1355" t="s">
        <v>3241</v>
      </c>
      <c r="B1355" t="s">
        <v>3242</v>
      </c>
      <c r="C1355" t="s">
        <v>3243</v>
      </c>
      <c r="D1355" t="s">
        <v>195</v>
      </c>
    </row>
    <row r="1356" spans="1:4" x14ac:dyDescent="0.2">
      <c r="A1356" t="s">
        <v>3244</v>
      </c>
      <c r="B1356" t="s">
        <v>3245</v>
      </c>
      <c r="C1356" t="s">
        <v>3246</v>
      </c>
      <c r="D1356" t="s">
        <v>187</v>
      </c>
    </row>
    <row r="1357" spans="1:4" x14ac:dyDescent="0.2">
      <c r="A1357" t="s">
        <v>3247</v>
      </c>
      <c r="B1357" t="s">
        <v>3248</v>
      </c>
      <c r="C1357" t="s">
        <v>190</v>
      </c>
      <c r="D1357" t="s">
        <v>191</v>
      </c>
    </row>
    <row r="1358" spans="1:4" x14ac:dyDescent="0.2">
      <c r="A1358" t="s">
        <v>3249</v>
      </c>
      <c r="B1358" t="s">
        <v>3250</v>
      </c>
      <c r="C1358" t="s">
        <v>190</v>
      </c>
      <c r="D1358" t="s">
        <v>191</v>
      </c>
    </row>
    <row r="1359" spans="1:4" x14ac:dyDescent="0.2">
      <c r="A1359" t="s">
        <v>3251</v>
      </c>
      <c r="B1359" t="s">
        <v>3252</v>
      </c>
      <c r="C1359" t="s">
        <v>190</v>
      </c>
      <c r="D1359" t="s">
        <v>191</v>
      </c>
    </row>
    <row r="1360" spans="1:4" x14ac:dyDescent="0.2">
      <c r="A1360" t="s">
        <v>3253</v>
      </c>
      <c r="B1360" t="s">
        <v>3254</v>
      </c>
      <c r="C1360" t="s">
        <v>3255</v>
      </c>
      <c r="D1360" t="s">
        <v>195</v>
      </c>
    </row>
    <row r="1361" spans="1:4" x14ac:dyDescent="0.2">
      <c r="A1361" t="s">
        <v>3256</v>
      </c>
      <c r="B1361" t="s">
        <v>3257</v>
      </c>
      <c r="C1361" t="s">
        <v>190</v>
      </c>
      <c r="D1361" t="s">
        <v>191</v>
      </c>
    </row>
    <row r="1362" spans="1:4" x14ac:dyDescent="0.2">
      <c r="A1362" t="s">
        <v>3258</v>
      </c>
      <c r="B1362" t="s">
        <v>3259</v>
      </c>
      <c r="C1362" t="s">
        <v>190</v>
      </c>
      <c r="D1362" t="s">
        <v>191</v>
      </c>
    </row>
    <row r="1363" spans="1:4" x14ac:dyDescent="0.2">
      <c r="A1363" t="s">
        <v>3260</v>
      </c>
      <c r="B1363" t="s">
        <v>3261</v>
      </c>
      <c r="C1363" t="s">
        <v>3262</v>
      </c>
      <c r="D1363" t="s">
        <v>187</v>
      </c>
    </row>
    <row r="1364" spans="1:4" x14ac:dyDescent="0.2">
      <c r="A1364" t="s">
        <v>3263</v>
      </c>
      <c r="B1364" t="s">
        <v>3264</v>
      </c>
      <c r="C1364" t="s">
        <v>190</v>
      </c>
      <c r="D1364" t="s">
        <v>191</v>
      </c>
    </row>
    <row r="1365" spans="1:4" x14ac:dyDescent="0.2">
      <c r="A1365" t="s">
        <v>3265</v>
      </c>
      <c r="B1365" t="s">
        <v>3266</v>
      </c>
      <c r="C1365" t="s">
        <v>3267</v>
      </c>
      <c r="D1365" t="s">
        <v>195</v>
      </c>
    </row>
    <row r="1366" spans="1:4" x14ac:dyDescent="0.2">
      <c r="A1366" t="s">
        <v>3268</v>
      </c>
      <c r="B1366" t="s">
        <v>3269</v>
      </c>
      <c r="C1366" t="s">
        <v>190</v>
      </c>
      <c r="D1366" t="s">
        <v>191</v>
      </c>
    </row>
    <row r="1367" spans="1:4" x14ac:dyDescent="0.2">
      <c r="A1367" t="s">
        <v>3270</v>
      </c>
      <c r="B1367" t="s">
        <v>3271</v>
      </c>
      <c r="C1367" t="s">
        <v>3272</v>
      </c>
      <c r="D1367" t="s">
        <v>195</v>
      </c>
    </row>
    <row r="1368" spans="1:4" x14ac:dyDescent="0.2">
      <c r="A1368" t="s">
        <v>3273</v>
      </c>
      <c r="B1368" t="s">
        <v>3274</v>
      </c>
      <c r="C1368" t="s">
        <v>3275</v>
      </c>
      <c r="D1368" t="s">
        <v>187</v>
      </c>
    </row>
    <row r="1369" spans="1:4" x14ac:dyDescent="0.2">
      <c r="A1369" t="s">
        <v>3276</v>
      </c>
      <c r="B1369" t="s">
        <v>3277</v>
      </c>
      <c r="C1369" t="s">
        <v>3278</v>
      </c>
      <c r="D1369" t="s">
        <v>187</v>
      </c>
    </row>
    <row r="1370" spans="1:4" x14ac:dyDescent="0.2">
      <c r="A1370" t="s">
        <v>3279</v>
      </c>
      <c r="B1370" t="s">
        <v>3280</v>
      </c>
      <c r="C1370" t="s">
        <v>190</v>
      </c>
      <c r="D1370" t="s">
        <v>191</v>
      </c>
    </row>
    <row r="1371" spans="1:4" x14ac:dyDescent="0.2">
      <c r="A1371" t="s">
        <v>3281</v>
      </c>
      <c r="B1371" t="s">
        <v>3282</v>
      </c>
      <c r="C1371" t="s">
        <v>190</v>
      </c>
      <c r="D1371" t="s">
        <v>191</v>
      </c>
    </row>
    <row r="1372" spans="1:4" x14ac:dyDescent="0.2">
      <c r="A1372" t="s">
        <v>3283</v>
      </c>
      <c r="B1372" t="s">
        <v>3284</v>
      </c>
      <c r="C1372" t="s">
        <v>3285</v>
      </c>
      <c r="D1372" t="s">
        <v>195</v>
      </c>
    </row>
    <row r="1373" spans="1:4" x14ac:dyDescent="0.2">
      <c r="A1373" t="s">
        <v>3283</v>
      </c>
      <c r="B1373" t="s">
        <v>3286</v>
      </c>
      <c r="C1373" t="s">
        <v>3287</v>
      </c>
      <c r="D1373" t="s">
        <v>195</v>
      </c>
    </row>
    <row r="1374" spans="1:4" x14ac:dyDescent="0.2">
      <c r="A1374" t="s">
        <v>3288</v>
      </c>
      <c r="B1374" t="s">
        <v>3289</v>
      </c>
      <c r="C1374" t="s">
        <v>3290</v>
      </c>
      <c r="D1374" t="s">
        <v>195</v>
      </c>
    </row>
    <row r="1375" spans="1:4" x14ac:dyDescent="0.2">
      <c r="A1375" t="s">
        <v>3288</v>
      </c>
      <c r="B1375" t="s">
        <v>3291</v>
      </c>
      <c r="C1375" t="s">
        <v>190</v>
      </c>
      <c r="D1375" t="s">
        <v>3292</v>
      </c>
    </row>
    <row r="1376" spans="1:4" x14ac:dyDescent="0.2">
      <c r="A1376" t="s">
        <v>3293</v>
      </c>
      <c r="B1376" t="s">
        <v>3294</v>
      </c>
      <c r="C1376" t="s">
        <v>3295</v>
      </c>
      <c r="D1376" t="s">
        <v>187</v>
      </c>
    </row>
    <row r="1377" spans="1:4" x14ac:dyDescent="0.2">
      <c r="A1377" t="s">
        <v>3296</v>
      </c>
      <c r="B1377" t="s">
        <v>3297</v>
      </c>
      <c r="C1377" t="s">
        <v>190</v>
      </c>
      <c r="D1377" t="s">
        <v>191</v>
      </c>
    </row>
    <row r="1378" spans="1:4" x14ac:dyDescent="0.2">
      <c r="A1378" t="s">
        <v>3298</v>
      </c>
      <c r="B1378" t="s">
        <v>3299</v>
      </c>
      <c r="C1378" t="s">
        <v>190</v>
      </c>
      <c r="D1378" t="s">
        <v>191</v>
      </c>
    </row>
    <row r="1379" spans="1:4" x14ac:dyDescent="0.2">
      <c r="A1379" t="s">
        <v>3300</v>
      </c>
      <c r="B1379" t="s">
        <v>3301</v>
      </c>
      <c r="C1379" t="s">
        <v>190</v>
      </c>
      <c r="D1379" t="s">
        <v>191</v>
      </c>
    </row>
    <row r="1380" spans="1:4" x14ac:dyDescent="0.2">
      <c r="A1380" t="s">
        <v>3302</v>
      </c>
      <c r="B1380" t="s">
        <v>3303</v>
      </c>
      <c r="C1380" t="s">
        <v>3304</v>
      </c>
      <c r="D1380" t="s">
        <v>195</v>
      </c>
    </row>
    <row r="1381" spans="1:4" x14ac:dyDescent="0.2">
      <c r="A1381" t="s">
        <v>3305</v>
      </c>
      <c r="B1381" t="s">
        <v>3306</v>
      </c>
      <c r="C1381" t="s">
        <v>190</v>
      </c>
      <c r="D1381" t="s">
        <v>191</v>
      </c>
    </row>
    <row r="1382" spans="1:4" x14ac:dyDescent="0.2">
      <c r="A1382" t="s">
        <v>3307</v>
      </c>
      <c r="B1382" t="s">
        <v>3308</v>
      </c>
      <c r="C1382" t="s">
        <v>190</v>
      </c>
      <c r="D1382" t="s">
        <v>191</v>
      </c>
    </row>
    <row r="1383" spans="1:4" x14ac:dyDescent="0.2">
      <c r="A1383" t="s">
        <v>3309</v>
      </c>
      <c r="B1383" t="s">
        <v>3310</v>
      </c>
      <c r="C1383" t="s">
        <v>190</v>
      </c>
      <c r="D1383" t="s">
        <v>3311</v>
      </c>
    </row>
    <row r="1384" spans="1:4" x14ac:dyDescent="0.2">
      <c r="A1384" t="s">
        <v>3312</v>
      </c>
      <c r="B1384" t="s">
        <v>3313</v>
      </c>
      <c r="C1384" t="s">
        <v>190</v>
      </c>
      <c r="D1384" t="s">
        <v>191</v>
      </c>
    </row>
    <row r="1385" spans="1:4" x14ac:dyDescent="0.2">
      <c r="A1385" t="s">
        <v>3314</v>
      </c>
      <c r="B1385" t="s">
        <v>3315</v>
      </c>
      <c r="C1385" t="s">
        <v>190</v>
      </c>
      <c r="D1385" t="s">
        <v>191</v>
      </c>
    </row>
    <row r="1386" spans="1:4" x14ac:dyDescent="0.2">
      <c r="A1386" t="s">
        <v>3316</v>
      </c>
      <c r="B1386" t="s">
        <v>3317</v>
      </c>
      <c r="C1386" t="s">
        <v>3318</v>
      </c>
      <c r="D1386" t="s">
        <v>187</v>
      </c>
    </row>
    <row r="1387" spans="1:4" x14ac:dyDescent="0.2">
      <c r="A1387" t="s">
        <v>3316</v>
      </c>
      <c r="B1387" t="s">
        <v>3319</v>
      </c>
      <c r="C1387" t="s">
        <v>190</v>
      </c>
      <c r="D1387" t="s">
        <v>191</v>
      </c>
    </row>
    <row r="1388" spans="1:4" x14ac:dyDescent="0.2">
      <c r="A1388" t="s">
        <v>3316</v>
      </c>
      <c r="B1388" t="s">
        <v>3320</v>
      </c>
      <c r="C1388" t="s">
        <v>190</v>
      </c>
      <c r="D1388" t="s">
        <v>3321</v>
      </c>
    </row>
    <row r="1389" spans="1:4" x14ac:dyDescent="0.2">
      <c r="A1389" t="s">
        <v>3322</v>
      </c>
      <c r="B1389" t="s">
        <v>3323</v>
      </c>
      <c r="C1389" t="s">
        <v>190</v>
      </c>
      <c r="D1389" t="s">
        <v>191</v>
      </c>
    </row>
    <row r="1390" spans="1:4" x14ac:dyDescent="0.2">
      <c r="A1390" t="s">
        <v>3324</v>
      </c>
      <c r="B1390" t="s">
        <v>3325</v>
      </c>
      <c r="C1390" t="s">
        <v>190</v>
      </c>
      <c r="D1390" t="s">
        <v>191</v>
      </c>
    </row>
    <row r="1391" spans="1:4" x14ac:dyDescent="0.2">
      <c r="A1391" t="s">
        <v>3326</v>
      </c>
      <c r="B1391" t="s">
        <v>3327</v>
      </c>
      <c r="C1391" t="s">
        <v>190</v>
      </c>
      <c r="D1391" t="s">
        <v>191</v>
      </c>
    </row>
    <row r="1392" spans="1:4" x14ac:dyDescent="0.2">
      <c r="A1392" t="s">
        <v>3328</v>
      </c>
      <c r="B1392" t="s">
        <v>3329</v>
      </c>
      <c r="C1392" t="s">
        <v>190</v>
      </c>
      <c r="D1392" t="s">
        <v>191</v>
      </c>
    </row>
    <row r="1393" spans="1:4" x14ac:dyDescent="0.2">
      <c r="A1393" t="s">
        <v>3330</v>
      </c>
      <c r="B1393" t="s">
        <v>3331</v>
      </c>
      <c r="C1393" t="s">
        <v>190</v>
      </c>
      <c r="D1393" t="s">
        <v>191</v>
      </c>
    </row>
    <row r="1394" spans="1:4" x14ac:dyDescent="0.2">
      <c r="A1394" t="s">
        <v>3332</v>
      </c>
      <c r="B1394" t="s">
        <v>3333</v>
      </c>
      <c r="C1394" t="s">
        <v>3334</v>
      </c>
      <c r="D1394" t="s">
        <v>187</v>
      </c>
    </row>
    <row r="1395" spans="1:4" x14ac:dyDescent="0.2">
      <c r="A1395" t="s">
        <v>3335</v>
      </c>
      <c r="B1395" t="s">
        <v>3336</v>
      </c>
      <c r="C1395" t="s">
        <v>190</v>
      </c>
      <c r="D1395" t="s">
        <v>191</v>
      </c>
    </row>
    <row r="1396" spans="1:4" x14ac:dyDescent="0.2">
      <c r="A1396" t="s">
        <v>3337</v>
      </c>
      <c r="B1396" t="s">
        <v>3338</v>
      </c>
      <c r="C1396" t="s">
        <v>3339</v>
      </c>
      <c r="D1396" t="s">
        <v>187</v>
      </c>
    </row>
    <row r="1397" spans="1:4" x14ac:dyDescent="0.2">
      <c r="A1397" t="s">
        <v>3340</v>
      </c>
      <c r="B1397" t="s">
        <v>3341</v>
      </c>
      <c r="C1397" t="s">
        <v>190</v>
      </c>
      <c r="D1397" t="s">
        <v>191</v>
      </c>
    </row>
    <row r="1398" spans="1:4" x14ac:dyDescent="0.2">
      <c r="A1398" t="s">
        <v>3342</v>
      </c>
      <c r="B1398" t="s">
        <v>3343</v>
      </c>
      <c r="C1398" t="s">
        <v>190</v>
      </c>
      <c r="D1398" t="s">
        <v>3344</v>
      </c>
    </row>
    <row r="1399" spans="1:4" x14ac:dyDescent="0.2">
      <c r="A1399" t="s">
        <v>3345</v>
      </c>
      <c r="B1399" t="s">
        <v>3346</v>
      </c>
      <c r="C1399" t="s">
        <v>190</v>
      </c>
      <c r="D1399" t="s">
        <v>3321</v>
      </c>
    </row>
    <row r="1400" spans="1:4" x14ac:dyDescent="0.2">
      <c r="A1400" t="s">
        <v>3347</v>
      </c>
      <c r="B1400" t="s">
        <v>3348</v>
      </c>
      <c r="C1400" t="s">
        <v>190</v>
      </c>
      <c r="D1400" t="s">
        <v>3344</v>
      </c>
    </row>
    <row r="1401" spans="1:4" x14ac:dyDescent="0.2">
      <c r="A1401" t="s">
        <v>3349</v>
      </c>
      <c r="B1401" t="s">
        <v>3350</v>
      </c>
      <c r="C1401" t="s">
        <v>190</v>
      </c>
      <c r="D1401" t="s">
        <v>191</v>
      </c>
    </row>
    <row r="1402" spans="1:4" x14ac:dyDescent="0.2">
      <c r="A1402" t="s">
        <v>3351</v>
      </c>
      <c r="B1402" t="s">
        <v>3352</v>
      </c>
      <c r="C1402" t="s">
        <v>3353</v>
      </c>
      <c r="D1402" t="s">
        <v>195</v>
      </c>
    </row>
    <row r="1403" spans="1:4" x14ac:dyDescent="0.2">
      <c r="A1403" t="s">
        <v>3354</v>
      </c>
      <c r="B1403" t="s">
        <v>3355</v>
      </c>
      <c r="C1403" t="s">
        <v>190</v>
      </c>
      <c r="D1403" t="s">
        <v>191</v>
      </c>
    </row>
    <row r="1404" spans="1:4" x14ac:dyDescent="0.2">
      <c r="A1404" t="s">
        <v>3356</v>
      </c>
      <c r="B1404" t="s">
        <v>3357</v>
      </c>
      <c r="C1404" t="s">
        <v>190</v>
      </c>
      <c r="D1404" t="s">
        <v>3358</v>
      </c>
    </row>
    <row r="1405" spans="1:4" x14ac:dyDescent="0.2">
      <c r="A1405" t="s">
        <v>3359</v>
      </c>
      <c r="B1405" t="s">
        <v>3360</v>
      </c>
      <c r="C1405" t="s">
        <v>190</v>
      </c>
      <c r="D1405" t="s">
        <v>191</v>
      </c>
    </row>
    <row r="1406" spans="1:4" x14ac:dyDescent="0.2">
      <c r="A1406" t="s">
        <v>3361</v>
      </c>
      <c r="B1406" t="s">
        <v>3362</v>
      </c>
      <c r="C1406" t="s">
        <v>3363</v>
      </c>
      <c r="D1406" t="s">
        <v>195</v>
      </c>
    </row>
    <row r="1407" spans="1:4" x14ac:dyDescent="0.2">
      <c r="A1407" t="s">
        <v>3364</v>
      </c>
      <c r="B1407" t="s">
        <v>3365</v>
      </c>
      <c r="C1407" t="s">
        <v>3366</v>
      </c>
      <c r="D1407" t="s">
        <v>195</v>
      </c>
    </row>
    <row r="1408" spans="1:4" x14ac:dyDescent="0.2">
      <c r="A1408" t="s">
        <v>3367</v>
      </c>
      <c r="B1408" t="s">
        <v>3368</v>
      </c>
      <c r="C1408" t="s">
        <v>3369</v>
      </c>
      <c r="D1408" t="s">
        <v>195</v>
      </c>
    </row>
    <row r="1409" spans="1:4" x14ac:dyDescent="0.2">
      <c r="A1409" t="s">
        <v>3370</v>
      </c>
      <c r="B1409" t="s">
        <v>3371</v>
      </c>
      <c r="C1409" t="s">
        <v>3372</v>
      </c>
      <c r="D1409" t="s">
        <v>187</v>
      </c>
    </row>
    <row r="1410" spans="1:4" x14ac:dyDescent="0.2">
      <c r="A1410" t="s">
        <v>3373</v>
      </c>
      <c r="B1410" t="s">
        <v>3374</v>
      </c>
      <c r="C1410" t="s">
        <v>3375</v>
      </c>
      <c r="D1410" t="s">
        <v>195</v>
      </c>
    </row>
    <row r="1411" spans="1:4" x14ac:dyDescent="0.2">
      <c r="A1411" t="s">
        <v>3376</v>
      </c>
      <c r="B1411" t="s">
        <v>3377</v>
      </c>
      <c r="C1411" t="s">
        <v>190</v>
      </c>
      <c r="D1411" t="s">
        <v>3378</v>
      </c>
    </row>
    <row r="1412" spans="1:4" x14ac:dyDescent="0.2">
      <c r="A1412" t="s">
        <v>3379</v>
      </c>
      <c r="B1412" t="s">
        <v>3380</v>
      </c>
      <c r="C1412" t="s">
        <v>3381</v>
      </c>
      <c r="D1412" t="s">
        <v>195</v>
      </c>
    </row>
    <row r="1413" spans="1:4" x14ac:dyDescent="0.2">
      <c r="A1413" t="s">
        <v>3382</v>
      </c>
      <c r="B1413" t="s">
        <v>3383</v>
      </c>
      <c r="C1413" t="s">
        <v>190</v>
      </c>
      <c r="D1413" t="s">
        <v>191</v>
      </c>
    </row>
    <row r="1414" spans="1:4" x14ac:dyDescent="0.2">
      <c r="A1414" t="s">
        <v>3384</v>
      </c>
      <c r="B1414" t="s">
        <v>3385</v>
      </c>
      <c r="C1414" t="s">
        <v>3386</v>
      </c>
      <c r="D1414" t="s">
        <v>195</v>
      </c>
    </row>
    <row r="1415" spans="1:4" x14ac:dyDescent="0.2">
      <c r="A1415" t="s">
        <v>3387</v>
      </c>
      <c r="B1415" t="s">
        <v>3388</v>
      </c>
      <c r="C1415" t="s">
        <v>190</v>
      </c>
      <c r="D1415" t="s">
        <v>3389</v>
      </c>
    </row>
    <row r="1416" spans="1:4" x14ac:dyDescent="0.2">
      <c r="A1416" t="s">
        <v>3387</v>
      </c>
      <c r="B1416" t="s">
        <v>3390</v>
      </c>
      <c r="C1416" t="s">
        <v>3391</v>
      </c>
      <c r="D1416" t="s">
        <v>187</v>
      </c>
    </row>
    <row r="1417" spans="1:4" x14ac:dyDescent="0.2">
      <c r="A1417" t="s">
        <v>3392</v>
      </c>
      <c r="B1417" t="s">
        <v>3393</v>
      </c>
      <c r="C1417" t="s">
        <v>190</v>
      </c>
      <c r="D1417" t="s">
        <v>191</v>
      </c>
    </row>
    <row r="1418" spans="1:4" x14ac:dyDescent="0.2">
      <c r="A1418" t="s">
        <v>3394</v>
      </c>
      <c r="B1418" t="s">
        <v>3395</v>
      </c>
      <c r="C1418" t="s">
        <v>190</v>
      </c>
      <c r="D1418" t="s">
        <v>191</v>
      </c>
    </row>
    <row r="1419" spans="1:4" x14ac:dyDescent="0.2">
      <c r="A1419" t="s">
        <v>3396</v>
      </c>
      <c r="B1419" t="s">
        <v>3397</v>
      </c>
      <c r="C1419" t="s">
        <v>190</v>
      </c>
      <c r="D1419" t="s">
        <v>191</v>
      </c>
    </row>
    <row r="1420" spans="1:4" x14ac:dyDescent="0.2">
      <c r="A1420" t="s">
        <v>3398</v>
      </c>
      <c r="B1420" t="s">
        <v>3399</v>
      </c>
      <c r="C1420" t="s">
        <v>190</v>
      </c>
      <c r="D1420" t="s">
        <v>191</v>
      </c>
    </row>
    <row r="1421" spans="1:4" x14ac:dyDescent="0.2">
      <c r="A1421" t="s">
        <v>3400</v>
      </c>
      <c r="B1421" t="s">
        <v>3401</v>
      </c>
      <c r="C1421" t="s">
        <v>3402</v>
      </c>
      <c r="D1421" t="s">
        <v>195</v>
      </c>
    </row>
    <row r="1422" spans="1:4" x14ac:dyDescent="0.2">
      <c r="A1422" t="s">
        <v>3403</v>
      </c>
      <c r="B1422" t="s">
        <v>3404</v>
      </c>
      <c r="C1422" t="s">
        <v>190</v>
      </c>
      <c r="D1422" t="s">
        <v>191</v>
      </c>
    </row>
    <row r="1423" spans="1:4" x14ac:dyDescent="0.2">
      <c r="A1423" t="s">
        <v>3405</v>
      </c>
      <c r="B1423" t="s">
        <v>3406</v>
      </c>
      <c r="C1423" t="s">
        <v>190</v>
      </c>
      <c r="D1423" t="s">
        <v>191</v>
      </c>
    </row>
    <row r="1424" spans="1:4" x14ac:dyDescent="0.2">
      <c r="A1424" t="s">
        <v>3407</v>
      </c>
      <c r="B1424" t="s">
        <v>3408</v>
      </c>
      <c r="C1424" t="s">
        <v>190</v>
      </c>
      <c r="D1424" t="s">
        <v>191</v>
      </c>
    </row>
    <row r="1425" spans="1:4" x14ac:dyDescent="0.2">
      <c r="A1425" t="s">
        <v>3409</v>
      </c>
      <c r="B1425" t="s">
        <v>3410</v>
      </c>
      <c r="C1425" t="s">
        <v>190</v>
      </c>
      <c r="D1425" t="s">
        <v>191</v>
      </c>
    </row>
    <row r="1426" spans="1:4" x14ac:dyDescent="0.2">
      <c r="A1426" t="s">
        <v>3411</v>
      </c>
      <c r="B1426" t="s">
        <v>3412</v>
      </c>
      <c r="C1426" t="s">
        <v>3413</v>
      </c>
      <c r="D1426" t="s">
        <v>195</v>
      </c>
    </row>
    <row r="1427" spans="1:4" x14ac:dyDescent="0.2">
      <c r="A1427" t="s">
        <v>3414</v>
      </c>
      <c r="B1427" t="s">
        <v>3415</v>
      </c>
      <c r="C1427" t="s">
        <v>3416</v>
      </c>
      <c r="D1427" t="s">
        <v>195</v>
      </c>
    </row>
    <row r="1428" spans="1:4" x14ac:dyDescent="0.2">
      <c r="A1428" t="s">
        <v>3417</v>
      </c>
      <c r="B1428" t="s">
        <v>3418</v>
      </c>
      <c r="C1428" t="s">
        <v>190</v>
      </c>
      <c r="D1428" t="s">
        <v>191</v>
      </c>
    </row>
    <row r="1429" spans="1:4" x14ac:dyDescent="0.2">
      <c r="A1429" t="s">
        <v>3419</v>
      </c>
      <c r="B1429" t="s">
        <v>3420</v>
      </c>
      <c r="C1429" t="s">
        <v>190</v>
      </c>
      <c r="D1429" t="s">
        <v>191</v>
      </c>
    </row>
    <row r="1430" spans="1:4" x14ac:dyDescent="0.2">
      <c r="A1430" t="s">
        <v>3421</v>
      </c>
      <c r="B1430" t="s">
        <v>3422</v>
      </c>
      <c r="C1430" t="s">
        <v>190</v>
      </c>
      <c r="D1430" t="s">
        <v>191</v>
      </c>
    </row>
    <row r="1431" spans="1:4" x14ac:dyDescent="0.2">
      <c r="A1431" t="s">
        <v>3423</v>
      </c>
      <c r="B1431" t="s">
        <v>3424</v>
      </c>
      <c r="C1431" t="s">
        <v>190</v>
      </c>
      <c r="D1431" t="s">
        <v>191</v>
      </c>
    </row>
    <row r="1432" spans="1:4" x14ac:dyDescent="0.2">
      <c r="A1432" t="s">
        <v>3425</v>
      </c>
      <c r="B1432" t="s">
        <v>3426</v>
      </c>
      <c r="C1432" t="s">
        <v>190</v>
      </c>
      <c r="D1432" t="s">
        <v>191</v>
      </c>
    </row>
    <row r="1433" spans="1:4" x14ac:dyDescent="0.2">
      <c r="A1433" t="s">
        <v>3427</v>
      </c>
      <c r="B1433" t="s">
        <v>3428</v>
      </c>
      <c r="C1433" t="s">
        <v>3429</v>
      </c>
      <c r="D1433" t="s">
        <v>187</v>
      </c>
    </row>
    <row r="1434" spans="1:4" x14ac:dyDescent="0.2">
      <c r="A1434" t="s">
        <v>3430</v>
      </c>
      <c r="B1434" t="s">
        <v>3431</v>
      </c>
      <c r="C1434" t="s">
        <v>3432</v>
      </c>
      <c r="D1434" t="s">
        <v>187</v>
      </c>
    </row>
    <row r="1435" spans="1:4" x14ac:dyDescent="0.2">
      <c r="A1435" t="s">
        <v>3433</v>
      </c>
      <c r="B1435" t="s">
        <v>3434</v>
      </c>
      <c r="C1435" t="s">
        <v>3435</v>
      </c>
      <c r="D1435" t="s">
        <v>187</v>
      </c>
    </row>
    <row r="1436" spans="1:4" x14ac:dyDescent="0.2">
      <c r="A1436" t="s">
        <v>3436</v>
      </c>
      <c r="B1436" t="s">
        <v>3437</v>
      </c>
      <c r="C1436" t="s">
        <v>3438</v>
      </c>
      <c r="D1436" t="s">
        <v>187</v>
      </c>
    </row>
    <row r="1437" spans="1:4" x14ac:dyDescent="0.2">
      <c r="A1437" t="s">
        <v>3439</v>
      </c>
      <c r="B1437" t="s">
        <v>3440</v>
      </c>
      <c r="C1437" t="s">
        <v>190</v>
      </c>
      <c r="D1437" t="s">
        <v>3441</v>
      </c>
    </row>
    <row r="1438" spans="1:4" x14ac:dyDescent="0.2">
      <c r="A1438" t="s">
        <v>3442</v>
      </c>
      <c r="B1438" t="s">
        <v>3443</v>
      </c>
      <c r="C1438" t="s">
        <v>3444</v>
      </c>
      <c r="D1438" t="s">
        <v>195</v>
      </c>
    </row>
    <row r="1439" spans="1:4" x14ac:dyDescent="0.2">
      <c r="A1439" t="s">
        <v>3445</v>
      </c>
      <c r="B1439" t="s">
        <v>3446</v>
      </c>
      <c r="C1439" t="s">
        <v>3447</v>
      </c>
      <c r="D1439" t="s">
        <v>187</v>
      </c>
    </row>
    <row r="1440" spans="1:4" x14ac:dyDescent="0.2">
      <c r="A1440" t="s">
        <v>3448</v>
      </c>
      <c r="B1440" t="s">
        <v>3449</v>
      </c>
      <c r="C1440" t="s">
        <v>190</v>
      </c>
      <c r="D1440" t="s">
        <v>191</v>
      </c>
    </row>
    <row r="1441" spans="1:4" x14ac:dyDescent="0.2">
      <c r="A1441" t="s">
        <v>3450</v>
      </c>
      <c r="B1441" t="s">
        <v>3451</v>
      </c>
      <c r="C1441" t="s">
        <v>190</v>
      </c>
      <c r="D1441" t="s">
        <v>191</v>
      </c>
    </row>
    <row r="1442" spans="1:4" x14ac:dyDescent="0.2">
      <c r="A1442" t="s">
        <v>3452</v>
      </c>
      <c r="B1442" t="s">
        <v>3453</v>
      </c>
      <c r="C1442" t="s">
        <v>3454</v>
      </c>
      <c r="D1442" t="s">
        <v>195</v>
      </c>
    </row>
    <row r="1443" spans="1:4" x14ac:dyDescent="0.2">
      <c r="A1443" t="s">
        <v>3455</v>
      </c>
      <c r="B1443" t="s">
        <v>3456</v>
      </c>
      <c r="C1443" t="s">
        <v>3457</v>
      </c>
      <c r="D1443" t="s">
        <v>187</v>
      </c>
    </row>
    <row r="1444" spans="1:4" x14ac:dyDescent="0.2">
      <c r="A1444" t="s">
        <v>3458</v>
      </c>
      <c r="B1444" t="s">
        <v>3459</v>
      </c>
      <c r="C1444" t="s">
        <v>190</v>
      </c>
      <c r="D1444" t="s">
        <v>191</v>
      </c>
    </row>
    <row r="1445" spans="1:4" x14ac:dyDescent="0.2">
      <c r="A1445" t="s">
        <v>3460</v>
      </c>
      <c r="B1445" t="s">
        <v>3461</v>
      </c>
      <c r="C1445" t="s">
        <v>190</v>
      </c>
      <c r="D1445" t="s">
        <v>191</v>
      </c>
    </row>
    <row r="1446" spans="1:4" x14ac:dyDescent="0.2">
      <c r="A1446" t="s">
        <v>3462</v>
      </c>
      <c r="B1446" t="s">
        <v>3463</v>
      </c>
      <c r="C1446" t="s">
        <v>190</v>
      </c>
      <c r="D1446" t="s">
        <v>191</v>
      </c>
    </row>
    <row r="1447" spans="1:4" x14ac:dyDescent="0.2">
      <c r="A1447" t="s">
        <v>3464</v>
      </c>
      <c r="B1447" t="s">
        <v>3465</v>
      </c>
      <c r="C1447" t="s">
        <v>190</v>
      </c>
      <c r="D1447" t="s">
        <v>191</v>
      </c>
    </row>
    <row r="1448" spans="1:4" x14ac:dyDescent="0.2">
      <c r="A1448" t="s">
        <v>3464</v>
      </c>
      <c r="B1448" t="s">
        <v>3466</v>
      </c>
      <c r="C1448" t="s">
        <v>190</v>
      </c>
      <c r="D1448" t="s">
        <v>3467</v>
      </c>
    </row>
    <row r="1449" spans="1:4" x14ac:dyDescent="0.2">
      <c r="A1449" t="s">
        <v>3468</v>
      </c>
      <c r="B1449" t="s">
        <v>3469</v>
      </c>
      <c r="C1449" t="s">
        <v>190</v>
      </c>
      <c r="D1449" t="s">
        <v>191</v>
      </c>
    </row>
    <row r="1450" spans="1:4" x14ac:dyDescent="0.2">
      <c r="A1450" t="s">
        <v>3470</v>
      </c>
      <c r="B1450" t="s">
        <v>3466</v>
      </c>
      <c r="C1450" t="s">
        <v>190</v>
      </c>
      <c r="D1450" t="s">
        <v>191</v>
      </c>
    </row>
    <row r="1451" spans="1:4" x14ac:dyDescent="0.2">
      <c r="A1451" t="s">
        <v>3471</v>
      </c>
      <c r="B1451" t="s">
        <v>3472</v>
      </c>
      <c r="C1451" t="s">
        <v>3473</v>
      </c>
      <c r="D1451" t="s">
        <v>195</v>
      </c>
    </row>
    <row r="1452" spans="1:4" x14ac:dyDescent="0.2">
      <c r="A1452" t="s">
        <v>3474</v>
      </c>
      <c r="B1452" t="s">
        <v>3475</v>
      </c>
      <c r="C1452" t="s">
        <v>3476</v>
      </c>
      <c r="D1452" t="s">
        <v>195</v>
      </c>
    </row>
    <row r="1453" spans="1:4" x14ac:dyDescent="0.2">
      <c r="A1453" t="s">
        <v>3477</v>
      </c>
      <c r="B1453" t="s">
        <v>3478</v>
      </c>
      <c r="C1453" t="s">
        <v>190</v>
      </c>
      <c r="D1453" t="s">
        <v>191</v>
      </c>
    </row>
    <row r="1454" spans="1:4" x14ac:dyDescent="0.2">
      <c r="A1454" t="s">
        <v>3479</v>
      </c>
      <c r="B1454" t="s">
        <v>3480</v>
      </c>
      <c r="C1454" t="s">
        <v>3481</v>
      </c>
      <c r="D1454" t="s">
        <v>187</v>
      </c>
    </row>
    <row r="1455" spans="1:4" x14ac:dyDescent="0.2">
      <c r="A1455" t="s">
        <v>3482</v>
      </c>
      <c r="B1455" t="s">
        <v>3483</v>
      </c>
      <c r="C1455" t="s">
        <v>3484</v>
      </c>
      <c r="D1455" t="s">
        <v>187</v>
      </c>
    </row>
    <row r="1456" spans="1:4" x14ac:dyDescent="0.2">
      <c r="A1456" t="s">
        <v>3485</v>
      </c>
      <c r="B1456" t="s">
        <v>3486</v>
      </c>
      <c r="C1456" t="s">
        <v>190</v>
      </c>
      <c r="D1456" t="s">
        <v>191</v>
      </c>
    </row>
    <row r="1457" spans="1:4" x14ac:dyDescent="0.2">
      <c r="A1457" t="s">
        <v>3487</v>
      </c>
      <c r="B1457" t="s">
        <v>3488</v>
      </c>
      <c r="C1457" t="s">
        <v>3489</v>
      </c>
      <c r="D1457" t="s">
        <v>187</v>
      </c>
    </row>
    <row r="1458" spans="1:4" x14ac:dyDescent="0.2">
      <c r="A1458" t="s">
        <v>3490</v>
      </c>
      <c r="B1458" t="s">
        <v>3491</v>
      </c>
      <c r="C1458" t="s">
        <v>3492</v>
      </c>
      <c r="D1458" t="s">
        <v>195</v>
      </c>
    </row>
    <row r="1459" spans="1:4" x14ac:dyDescent="0.2">
      <c r="A1459" t="s">
        <v>3493</v>
      </c>
      <c r="B1459" t="s">
        <v>3494</v>
      </c>
      <c r="C1459" t="s">
        <v>3495</v>
      </c>
      <c r="D1459" t="s">
        <v>195</v>
      </c>
    </row>
    <row r="1460" spans="1:4" x14ac:dyDescent="0.2">
      <c r="A1460" t="s">
        <v>3496</v>
      </c>
      <c r="B1460" t="s">
        <v>3497</v>
      </c>
      <c r="C1460" t="s">
        <v>190</v>
      </c>
      <c r="D1460" t="s">
        <v>191</v>
      </c>
    </row>
    <row r="1461" spans="1:4" x14ac:dyDescent="0.2">
      <c r="A1461" t="s">
        <v>3498</v>
      </c>
      <c r="B1461" t="s">
        <v>3499</v>
      </c>
      <c r="C1461" t="s">
        <v>3500</v>
      </c>
      <c r="D1461" t="s">
        <v>187</v>
      </c>
    </row>
    <row r="1462" spans="1:4" x14ac:dyDescent="0.2">
      <c r="A1462" t="s">
        <v>3501</v>
      </c>
      <c r="B1462" t="s">
        <v>3502</v>
      </c>
      <c r="C1462" t="s">
        <v>3503</v>
      </c>
      <c r="D1462" t="s">
        <v>187</v>
      </c>
    </row>
    <row r="1463" spans="1:4" x14ac:dyDescent="0.2">
      <c r="A1463" t="s">
        <v>3501</v>
      </c>
      <c r="B1463" t="s">
        <v>3504</v>
      </c>
      <c r="C1463" t="s">
        <v>3505</v>
      </c>
      <c r="D1463" t="s">
        <v>187</v>
      </c>
    </row>
    <row r="1464" spans="1:4" x14ac:dyDescent="0.2">
      <c r="A1464" t="s">
        <v>3506</v>
      </c>
      <c r="B1464" t="s">
        <v>3507</v>
      </c>
      <c r="C1464" t="s">
        <v>3508</v>
      </c>
      <c r="D1464" t="s">
        <v>195</v>
      </c>
    </row>
    <row r="1465" spans="1:4" x14ac:dyDescent="0.2">
      <c r="A1465" t="s">
        <v>3509</v>
      </c>
      <c r="B1465" t="s">
        <v>3510</v>
      </c>
      <c r="C1465" t="s">
        <v>3511</v>
      </c>
      <c r="D1465" t="s">
        <v>195</v>
      </c>
    </row>
    <row r="1466" spans="1:4" x14ac:dyDescent="0.2">
      <c r="A1466" t="s">
        <v>3512</v>
      </c>
      <c r="B1466" t="s">
        <v>3513</v>
      </c>
      <c r="C1466" t="s">
        <v>190</v>
      </c>
      <c r="D1466" t="s">
        <v>191</v>
      </c>
    </row>
    <row r="1467" spans="1:4" x14ac:dyDescent="0.2">
      <c r="A1467" t="s">
        <v>3514</v>
      </c>
      <c r="B1467" t="s">
        <v>3515</v>
      </c>
      <c r="C1467" t="s">
        <v>190</v>
      </c>
      <c r="D1467" t="s">
        <v>191</v>
      </c>
    </row>
    <row r="1468" spans="1:4" x14ac:dyDescent="0.2">
      <c r="A1468" t="s">
        <v>3516</v>
      </c>
      <c r="B1468" t="s">
        <v>3517</v>
      </c>
      <c r="C1468" t="s">
        <v>190</v>
      </c>
      <c r="D1468" t="s">
        <v>191</v>
      </c>
    </row>
    <row r="1469" spans="1:4" x14ac:dyDescent="0.2">
      <c r="A1469" t="s">
        <v>3518</v>
      </c>
      <c r="B1469" t="s">
        <v>3519</v>
      </c>
      <c r="C1469" t="s">
        <v>190</v>
      </c>
      <c r="D1469" t="s">
        <v>191</v>
      </c>
    </row>
    <row r="1470" spans="1:4" x14ac:dyDescent="0.2">
      <c r="A1470" t="s">
        <v>3520</v>
      </c>
      <c r="B1470" t="s">
        <v>3521</v>
      </c>
      <c r="C1470" t="s">
        <v>190</v>
      </c>
      <c r="D1470" t="s">
        <v>191</v>
      </c>
    </row>
    <row r="1471" spans="1:4" x14ac:dyDescent="0.2">
      <c r="A1471" t="s">
        <v>3522</v>
      </c>
      <c r="B1471" t="s">
        <v>3523</v>
      </c>
      <c r="C1471" t="s">
        <v>190</v>
      </c>
      <c r="D1471" t="s">
        <v>191</v>
      </c>
    </row>
    <row r="1472" spans="1:4" x14ac:dyDescent="0.2">
      <c r="A1472" t="s">
        <v>3524</v>
      </c>
      <c r="B1472" t="s">
        <v>3525</v>
      </c>
      <c r="C1472" t="s">
        <v>3526</v>
      </c>
      <c r="D1472" t="s">
        <v>195</v>
      </c>
    </row>
    <row r="1473" spans="1:4" x14ac:dyDescent="0.2">
      <c r="A1473" t="s">
        <v>3527</v>
      </c>
      <c r="B1473" t="s">
        <v>3528</v>
      </c>
      <c r="C1473" t="s">
        <v>190</v>
      </c>
      <c r="D1473" t="s">
        <v>3529</v>
      </c>
    </row>
    <row r="1474" spans="1:4" x14ac:dyDescent="0.2">
      <c r="A1474" t="s">
        <v>3530</v>
      </c>
      <c r="B1474" t="s">
        <v>3531</v>
      </c>
      <c r="C1474" t="s">
        <v>3532</v>
      </c>
      <c r="D1474" t="s">
        <v>195</v>
      </c>
    </row>
    <row r="1475" spans="1:4" x14ac:dyDescent="0.2">
      <c r="A1475" t="s">
        <v>3533</v>
      </c>
      <c r="B1475" t="s">
        <v>3534</v>
      </c>
      <c r="C1475" t="s">
        <v>3535</v>
      </c>
      <c r="D1475" t="s">
        <v>187</v>
      </c>
    </row>
    <row r="1476" spans="1:4" x14ac:dyDescent="0.2">
      <c r="A1476" t="s">
        <v>3536</v>
      </c>
      <c r="B1476" t="s">
        <v>3537</v>
      </c>
      <c r="C1476" t="s">
        <v>190</v>
      </c>
      <c r="D1476" t="s">
        <v>191</v>
      </c>
    </row>
    <row r="1477" spans="1:4" x14ac:dyDescent="0.2">
      <c r="A1477" t="s">
        <v>3538</v>
      </c>
      <c r="B1477" t="s">
        <v>3539</v>
      </c>
      <c r="C1477" t="s">
        <v>190</v>
      </c>
      <c r="D1477" t="s">
        <v>191</v>
      </c>
    </row>
    <row r="1478" spans="1:4" x14ac:dyDescent="0.2">
      <c r="A1478" t="s">
        <v>3540</v>
      </c>
      <c r="B1478" t="s">
        <v>3541</v>
      </c>
      <c r="C1478" t="s">
        <v>190</v>
      </c>
      <c r="D1478" t="s">
        <v>191</v>
      </c>
    </row>
    <row r="1479" spans="1:4" x14ac:dyDescent="0.2">
      <c r="A1479" t="s">
        <v>3542</v>
      </c>
      <c r="B1479" t="s">
        <v>3543</v>
      </c>
      <c r="C1479" t="s">
        <v>190</v>
      </c>
      <c r="D1479" t="s">
        <v>191</v>
      </c>
    </row>
    <row r="1480" spans="1:4" x14ac:dyDescent="0.2">
      <c r="A1480" t="s">
        <v>3544</v>
      </c>
      <c r="B1480" t="s">
        <v>3545</v>
      </c>
      <c r="C1480" t="s">
        <v>190</v>
      </c>
      <c r="D1480" t="s">
        <v>191</v>
      </c>
    </row>
    <row r="1481" spans="1:4" x14ac:dyDescent="0.2">
      <c r="A1481" t="s">
        <v>3546</v>
      </c>
      <c r="B1481" t="s">
        <v>3547</v>
      </c>
      <c r="C1481" t="s">
        <v>190</v>
      </c>
      <c r="D1481" t="s">
        <v>191</v>
      </c>
    </row>
    <row r="1482" spans="1:4" x14ac:dyDescent="0.2">
      <c r="A1482" t="s">
        <v>3548</v>
      </c>
      <c r="B1482" t="s">
        <v>3549</v>
      </c>
      <c r="C1482" t="s">
        <v>190</v>
      </c>
      <c r="D1482" t="s">
        <v>191</v>
      </c>
    </row>
    <row r="1483" spans="1:4" x14ac:dyDescent="0.2">
      <c r="A1483" t="s">
        <v>3550</v>
      </c>
      <c r="B1483" t="s">
        <v>3551</v>
      </c>
      <c r="C1483" t="s">
        <v>190</v>
      </c>
      <c r="D1483" t="s">
        <v>191</v>
      </c>
    </row>
    <row r="1484" spans="1:4" x14ac:dyDescent="0.2">
      <c r="A1484" t="s">
        <v>3552</v>
      </c>
      <c r="B1484" t="s">
        <v>3553</v>
      </c>
      <c r="C1484" t="s">
        <v>3554</v>
      </c>
      <c r="D1484" t="s">
        <v>195</v>
      </c>
    </row>
    <row r="1485" spans="1:4" x14ac:dyDescent="0.2">
      <c r="A1485" t="s">
        <v>3555</v>
      </c>
      <c r="B1485" t="s">
        <v>3556</v>
      </c>
      <c r="C1485" t="s">
        <v>190</v>
      </c>
      <c r="D1485" t="s">
        <v>191</v>
      </c>
    </row>
    <row r="1486" spans="1:4" x14ac:dyDescent="0.2">
      <c r="A1486" t="s">
        <v>3557</v>
      </c>
      <c r="B1486" t="s">
        <v>3558</v>
      </c>
      <c r="C1486" t="s">
        <v>3559</v>
      </c>
      <c r="D1486" t="s">
        <v>187</v>
      </c>
    </row>
    <row r="1487" spans="1:4" x14ac:dyDescent="0.2">
      <c r="A1487" t="s">
        <v>3560</v>
      </c>
      <c r="B1487" t="s">
        <v>3561</v>
      </c>
      <c r="C1487" t="s">
        <v>190</v>
      </c>
      <c r="D1487" t="s">
        <v>191</v>
      </c>
    </row>
    <row r="1488" spans="1:4" x14ac:dyDescent="0.2">
      <c r="A1488" t="s">
        <v>3562</v>
      </c>
      <c r="B1488" t="s">
        <v>3563</v>
      </c>
      <c r="C1488" t="s">
        <v>190</v>
      </c>
      <c r="D1488" t="s">
        <v>191</v>
      </c>
    </row>
    <row r="1489" spans="1:4" x14ac:dyDescent="0.2">
      <c r="A1489" t="s">
        <v>3564</v>
      </c>
      <c r="B1489" t="s">
        <v>3565</v>
      </c>
      <c r="C1489" t="s">
        <v>3566</v>
      </c>
      <c r="D1489" t="s">
        <v>195</v>
      </c>
    </row>
    <row r="1490" spans="1:4" x14ac:dyDescent="0.2">
      <c r="A1490" t="s">
        <v>3567</v>
      </c>
      <c r="B1490" t="s">
        <v>3568</v>
      </c>
      <c r="C1490" t="s">
        <v>190</v>
      </c>
      <c r="D1490" t="s">
        <v>191</v>
      </c>
    </row>
    <row r="1491" spans="1:4" x14ac:dyDescent="0.2">
      <c r="A1491" t="s">
        <v>3569</v>
      </c>
      <c r="B1491" t="s">
        <v>3570</v>
      </c>
      <c r="C1491" t="s">
        <v>190</v>
      </c>
      <c r="D1491" t="s">
        <v>191</v>
      </c>
    </row>
    <row r="1492" spans="1:4" x14ac:dyDescent="0.2">
      <c r="A1492" t="s">
        <v>3571</v>
      </c>
      <c r="B1492" t="s">
        <v>3572</v>
      </c>
      <c r="C1492" t="s">
        <v>190</v>
      </c>
      <c r="D1492" t="s">
        <v>191</v>
      </c>
    </row>
    <row r="1493" spans="1:4" x14ac:dyDescent="0.2">
      <c r="A1493" t="s">
        <v>3573</v>
      </c>
      <c r="B1493" t="s">
        <v>3574</v>
      </c>
      <c r="C1493" t="s">
        <v>190</v>
      </c>
      <c r="D1493" t="s">
        <v>191</v>
      </c>
    </row>
    <row r="1494" spans="1:4" x14ac:dyDescent="0.2">
      <c r="A1494" t="s">
        <v>3575</v>
      </c>
      <c r="B1494" t="s">
        <v>3576</v>
      </c>
      <c r="C1494" t="s">
        <v>190</v>
      </c>
      <c r="D1494" t="s">
        <v>191</v>
      </c>
    </row>
    <row r="1495" spans="1:4" x14ac:dyDescent="0.2">
      <c r="A1495" t="s">
        <v>3577</v>
      </c>
      <c r="B1495" t="s">
        <v>3578</v>
      </c>
      <c r="C1495" t="s">
        <v>3579</v>
      </c>
      <c r="D1495" t="s">
        <v>195</v>
      </c>
    </row>
    <row r="1496" spans="1:4" x14ac:dyDescent="0.2">
      <c r="A1496" t="s">
        <v>3580</v>
      </c>
      <c r="B1496" t="s">
        <v>3581</v>
      </c>
      <c r="C1496" t="s">
        <v>190</v>
      </c>
      <c r="D1496" t="s">
        <v>191</v>
      </c>
    </row>
    <row r="1497" spans="1:4" x14ac:dyDescent="0.2">
      <c r="A1497" t="s">
        <v>3582</v>
      </c>
      <c r="B1497" t="s">
        <v>3583</v>
      </c>
      <c r="C1497" t="s">
        <v>3584</v>
      </c>
      <c r="D1497" t="s">
        <v>195</v>
      </c>
    </row>
    <row r="1498" spans="1:4" x14ac:dyDescent="0.2">
      <c r="A1498" t="s">
        <v>3585</v>
      </c>
      <c r="B1498" t="s">
        <v>3586</v>
      </c>
      <c r="C1498" t="s">
        <v>3587</v>
      </c>
      <c r="D1498" t="s">
        <v>187</v>
      </c>
    </row>
    <row r="1499" spans="1:4" x14ac:dyDescent="0.2">
      <c r="A1499" t="s">
        <v>3588</v>
      </c>
      <c r="B1499" t="s">
        <v>3589</v>
      </c>
      <c r="C1499" t="s">
        <v>190</v>
      </c>
      <c r="D1499" t="s">
        <v>280</v>
      </c>
    </row>
    <row r="1500" spans="1:4" x14ac:dyDescent="0.2">
      <c r="A1500" t="s">
        <v>3590</v>
      </c>
      <c r="B1500" t="s">
        <v>3591</v>
      </c>
      <c r="C1500" t="s">
        <v>3592</v>
      </c>
      <c r="D1500" t="s">
        <v>195</v>
      </c>
    </row>
    <row r="1501" spans="1:4" x14ac:dyDescent="0.2">
      <c r="A1501" t="s">
        <v>3593</v>
      </c>
      <c r="B1501" t="s">
        <v>3594</v>
      </c>
      <c r="C1501" t="s">
        <v>190</v>
      </c>
      <c r="D1501" t="s">
        <v>191</v>
      </c>
    </row>
    <row r="1502" spans="1:4" x14ac:dyDescent="0.2">
      <c r="A1502" t="s">
        <v>3595</v>
      </c>
      <c r="B1502" t="s">
        <v>3596</v>
      </c>
      <c r="C1502" t="s">
        <v>190</v>
      </c>
      <c r="D1502" t="s">
        <v>191</v>
      </c>
    </row>
    <row r="1503" spans="1:4" x14ac:dyDescent="0.2">
      <c r="A1503" t="s">
        <v>3597</v>
      </c>
      <c r="B1503" t="s">
        <v>3598</v>
      </c>
      <c r="C1503" t="s">
        <v>190</v>
      </c>
      <c r="D1503" t="s">
        <v>191</v>
      </c>
    </row>
    <row r="1504" spans="1:4" x14ac:dyDescent="0.2">
      <c r="A1504" t="s">
        <v>3597</v>
      </c>
      <c r="B1504" t="s">
        <v>3599</v>
      </c>
      <c r="C1504" t="s">
        <v>190</v>
      </c>
      <c r="D1504" t="s">
        <v>3600</v>
      </c>
    </row>
    <row r="1505" spans="1:4" x14ac:dyDescent="0.2">
      <c r="A1505" t="s">
        <v>3601</v>
      </c>
      <c r="B1505" t="s">
        <v>3602</v>
      </c>
      <c r="C1505" t="s">
        <v>190</v>
      </c>
      <c r="D1505" t="s">
        <v>191</v>
      </c>
    </row>
    <row r="1506" spans="1:4" x14ac:dyDescent="0.2">
      <c r="A1506" t="s">
        <v>3603</v>
      </c>
      <c r="B1506" t="s">
        <v>3604</v>
      </c>
      <c r="C1506" t="s">
        <v>190</v>
      </c>
      <c r="D1506" t="s">
        <v>191</v>
      </c>
    </row>
    <row r="1507" spans="1:4" x14ac:dyDescent="0.2">
      <c r="A1507" t="s">
        <v>3605</v>
      </c>
      <c r="B1507" t="s">
        <v>3606</v>
      </c>
      <c r="C1507" t="s">
        <v>190</v>
      </c>
      <c r="D1507" t="s">
        <v>191</v>
      </c>
    </row>
    <row r="1508" spans="1:4" x14ac:dyDescent="0.2">
      <c r="A1508" t="s">
        <v>3607</v>
      </c>
      <c r="B1508" t="s">
        <v>3608</v>
      </c>
      <c r="C1508" t="s">
        <v>190</v>
      </c>
      <c r="D1508" t="s">
        <v>191</v>
      </c>
    </row>
    <row r="1509" spans="1:4" x14ac:dyDescent="0.2">
      <c r="A1509" t="s">
        <v>3607</v>
      </c>
      <c r="B1509" t="s">
        <v>3609</v>
      </c>
      <c r="C1509" t="s">
        <v>190</v>
      </c>
      <c r="D1509" t="s">
        <v>191</v>
      </c>
    </row>
    <row r="1510" spans="1:4" x14ac:dyDescent="0.2">
      <c r="A1510" t="s">
        <v>3610</v>
      </c>
      <c r="B1510" t="s">
        <v>3611</v>
      </c>
      <c r="C1510" t="s">
        <v>190</v>
      </c>
      <c r="D1510" t="s">
        <v>191</v>
      </c>
    </row>
    <row r="1511" spans="1:4" x14ac:dyDescent="0.2">
      <c r="A1511" t="s">
        <v>3612</v>
      </c>
      <c r="B1511" t="s">
        <v>3613</v>
      </c>
      <c r="C1511" t="s">
        <v>190</v>
      </c>
      <c r="D1511" t="s">
        <v>191</v>
      </c>
    </row>
    <row r="1512" spans="1:4" x14ac:dyDescent="0.2">
      <c r="A1512" t="s">
        <v>3614</v>
      </c>
      <c r="B1512" t="s">
        <v>3615</v>
      </c>
      <c r="C1512" t="s">
        <v>190</v>
      </c>
      <c r="D1512" t="s">
        <v>191</v>
      </c>
    </row>
    <row r="1513" spans="1:4" x14ac:dyDescent="0.2">
      <c r="A1513" t="s">
        <v>3616</v>
      </c>
      <c r="B1513" t="s">
        <v>3617</v>
      </c>
      <c r="C1513" t="s">
        <v>3618</v>
      </c>
      <c r="D1513" t="s">
        <v>195</v>
      </c>
    </row>
    <row r="1514" spans="1:4" x14ac:dyDescent="0.2">
      <c r="A1514" t="s">
        <v>3619</v>
      </c>
      <c r="B1514" t="s">
        <v>3620</v>
      </c>
      <c r="C1514" t="s">
        <v>3621</v>
      </c>
      <c r="D1514" t="s">
        <v>195</v>
      </c>
    </row>
    <row r="1515" spans="1:4" x14ac:dyDescent="0.2">
      <c r="A1515" t="s">
        <v>3622</v>
      </c>
      <c r="B1515" t="s">
        <v>3623</v>
      </c>
      <c r="C1515" t="s">
        <v>190</v>
      </c>
      <c r="D1515" t="s">
        <v>191</v>
      </c>
    </row>
    <row r="1516" spans="1:4" x14ac:dyDescent="0.2">
      <c r="A1516" t="s">
        <v>3622</v>
      </c>
      <c r="B1516" t="s">
        <v>3620</v>
      </c>
      <c r="C1516" t="s">
        <v>3621</v>
      </c>
      <c r="D1516" t="s">
        <v>195</v>
      </c>
    </row>
    <row r="1517" spans="1:4" x14ac:dyDescent="0.2">
      <c r="A1517" t="s">
        <v>3624</v>
      </c>
      <c r="B1517" t="s">
        <v>3625</v>
      </c>
      <c r="C1517" t="s">
        <v>190</v>
      </c>
      <c r="D1517" t="s">
        <v>191</v>
      </c>
    </row>
    <row r="1518" spans="1:4" x14ac:dyDescent="0.2">
      <c r="A1518" t="s">
        <v>3624</v>
      </c>
      <c r="B1518" t="s">
        <v>3620</v>
      </c>
      <c r="C1518" t="s">
        <v>3621</v>
      </c>
      <c r="D1518" t="s">
        <v>195</v>
      </c>
    </row>
    <row r="1519" spans="1:4" x14ac:dyDescent="0.2">
      <c r="A1519" t="s">
        <v>3626</v>
      </c>
      <c r="B1519" t="s">
        <v>3627</v>
      </c>
      <c r="C1519" t="s">
        <v>190</v>
      </c>
      <c r="D1519" t="s">
        <v>191</v>
      </c>
    </row>
    <row r="1520" spans="1:4" x14ac:dyDescent="0.2">
      <c r="A1520" t="s">
        <v>3628</v>
      </c>
      <c r="B1520" t="s">
        <v>3629</v>
      </c>
      <c r="C1520" t="s">
        <v>3630</v>
      </c>
      <c r="D1520" t="s">
        <v>195</v>
      </c>
    </row>
    <row r="1521" spans="1:4" x14ac:dyDescent="0.2">
      <c r="A1521" t="s">
        <v>3631</v>
      </c>
      <c r="B1521" t="s">
        <v>3632</v>
      </c>
      <c r="C1521" t="s">
        <v>3633</v>
      </c>
      <c r="D1521" t="s">
        <v>195</v>
      </c>
    </row>
    <row r="1522" spans="1:4" x14ac:dyDescent="0.2">
      <c r="A1522" t="s">
        <v>3634</v>
      </c>
      <c r="B1522" t="s">
        <v>3635</v>
      </c>
      <c r="C1522" t="s">
        <v>190</v>
      </c>
      <c r="D1522" t="s">
        <v>191</v>
      </c>
    </row>
    <row r="1523" spans="1:4" x14ac:dyDescent="0.2">
      <c r="A1523" t="s">
        <v>3636</v>
      </c>
      <c r="B1523" t="s">
        <v>3637</v>
      </c>
      <c r="C1523" t="s">
        <v>190</v>
      </c>
      <c r="D1523" t="s">
        <v>191</v>
      </c>
    </row>
    <row r="1524" spans="1:4" x14ac:dyDescent="0.2">
      <c r="A1524" t="s">
        <v>3638</v>
      </c>
      <c r="B1524" t="s">
        <v>3639</v>
      </c>
      <c r="C1524" t="s">
        <v>190</v>
      </c>
      <c r="D1524" t="s">
        <v>191</v>
      </c>
    </row>
    <row r="1525" spans="1:4" x14ac:dyDescent="0.2">
      <c r="A1525" t="s">
        <v>3640</v>
      </c>
      <c r="B1525" t="s">
        <v>3641</v>
      </c>
      <c r="C1525" t="s">
        <v>3642</v>
      </c>
      <c r="D1525" t="s">
        <v>195</v>
      </c>
    </row>
    <row r="1526" spans="1:4" x14ac:dyDescent="0.2">
      <c r="A1526" t="s">
        <v>3640</v>
      </c>
      <c r="B1526" t="s">
        <v>3643</v>
      </c>
      <c r="C1526" t="s">
        <v>190</v>
      </c>
      <c r="D1526" t="s">
        <v>191</v>
      </c>
    </row>
    <row r="1527" spans="1:4" x14ac:dyDescent="0.2">
      <c r="A1527" t="s">
        <v>3640</v>
      </c>
      <c r="B1527" t="s">
        <v>3644</v>
      </c>
      <c r="C1527" t="s">
        <v>190</v>
      </c>
      <c r="D1527" t="s">
        <v>191</v>
      </c>
    </row>
    <row r="1528" spans="1:4" x14ac:dyDescent="0.2">
      <c r="A1528" t="s">
        <v>3645</v>
      </c>
      <c r="B1528" t="s">
        <v>3646</v>
      </c>
      <c r="C1528" t="s">
        <v>190</v>
      </c>
      <c r="D1528" t="s">
        <v>3647</v>
      </c>
    </row>
    <row r="1529" spans="1:4" x14ac:dyDescent="0.2">
      <c r="A1529" t="s">
        <v>3648</v>
      </c>
      <c r="B1529" t="s">
        <v>3649</v>
      </c>
      <c r="C1529" t="s">
        <v>190</v>
      </c>
      <c r="D1529" t="s">
        <v>191</v>
      </c>
    </row>
    <row r="1530" spans="1:4" x14ac:dyDescent="0.2">
      <c r="A1530" t="s">
        <v>3650</v>
      </c>
      <c r="B1530" t="s">
        <v>3651</v>
      </c>
      <c r="C1530" t="s">
        <v>3652</v>
      </c>
      <c r="D1530" t="s">
        <v>187</v>
      </c>
    </row>
    <row r="1531" spans="1:4" x14ac:dyDescent="0.2">
      <c r="A1531" t="s">
        <v>3653</v>
      </c>
      <c r="B1531" t="s">
        <v>3654</v>
      </c>
      <c r="C1531" t="s">
        <v>190</v>
      </c>
      <c r="D1531" t="s">
        <v>191</v>
      </c>
    </row>
    <row r="1532" spans="1:4" x14ac:dyDescent="0.2">
      <c r="A1532" t="s">
        <v>3655</v>
      </c>
      <c r="B1532" t="s">
        <v>3656</v>
      </c>
      <c r="C1532" t="s">
        <v>190</v>
      </c>
      <c r="D1532" t="s">
        <v>3657</v>
      </c>
    </row>
    <row r="1533" spans="1:4" x14ac:dyDescent="0.2">
      <c r="A1533" t="s">
        <v>3658</v>
      </c>
      <c r="B1533" t="s">
        <v>3659</v>
      </c>
      <c r="C1533" t="s">
        <v>3660</v>
      </c>
      <c r="D1533" t="s">
        <v>195</v>
      </c>
    </row>
    <row r="1534" spans="1:4" x14ac:dyDescent="0.2">
      <c r="A1534" t="s">
        <v>3658</v>
      </c>
      <c r="B1534" t="s">
        <v>3646</v>
      </c>
      <c r="C1534" t="s">
        <v>190</v>
      </c>
      <c r="D1534" t="s">
        <v>3647</v>
      </c>
    </row>
    <row r="1535" spans="1:4" x14ac:dyDescent="0.2">
      <c r="A1535" t="s">
        <v>3661</v>
      </c>
      <c r="B1535" t="s">
        <v>3662</v>
      </c>
      <c r="C1535" t="s">
        <v>3663</v>
      </c>
      <c r="D1535" t="s">
        <v>195</v>
      </c>
    </row>
    <row r="1536" spans="1:4" x14ac:dyDescent="0.2">
      <c r="A1536" t="s">
        <v>3661</v>
      </c>
      <c r="B1536" t="s">
        <v>3664</v>
      </c>
      <c r="C1536" t="s">
        <v>3665</v>
      </c>
      <c r="D1536" t="s">
        <v>195</v>
      </c>
    </row>
    <row r="1537" spans="1:4" x14ac:dyDescent="0.2">
      <c r="A1537" t="s">
        <v>3661</v>
      </c>
      <c r="B1537" t="s">
        <v>3666</v>
      </c>
      <c r="C1537" t="s">
        <v>3667</v>
      </c>
      <c r="D1537" t="s">
        <v>195</v>
      </c>
    </row>
    <row r="1538" spans="1:4" x14ac:dyDescent="0.2">
      <c r="A1538" t="s">
        <v>3661</v>
      </c>
      <c r="B1538" t="s">
        <v>3668</v>
      </c>
      <c r="C1538" t="s">
        <v>3669</v>
      </c>
      <c r="D1538" t="s">
        <v>195</v>
      </c>
    </row>
    <row r="1539" spans="1:4" x14ac:dyDescent="0.2">
      <c r="A1539" t="s">
        <v>3661</v>
      </c>
      <c r="B1539" t="s">
        <v>3670</v>
      </c>
      <c r="C1539" t="s">
        <v>190</v>
      </c>
      <c r="D1539" t="s">
        <v>191</v>
      </c>
    </row>
    <row r="1540" spans="1:4" x14ac:dyDescent="0.2">
      <c r="A1540" t="s">
        <v>3661</v>
      </c>
      <c r="B1540" t="s">
        <v>3671</v>
      </c>
      <c r="C1540" t="s">
        <v>3672</v>
      </c>
      <c r="D1540" t="s">
        <v>195</v>
      </c>
    </row>
    <row r="1541" spans="1:4" x14ac:dyDescent="0.2">
      <c r="A1541" t="s">
        <v>3661</v>
      </c>
      <c r="B1541" t="s">
        <v>3673</v>
      </c>
      <c r="C1541" t="s">
        <v>190</v>
      </c>
      <c r="D1541" t="s">
        <v>3674</v>
      </c>
    </row>
    <row r="1542" spans="1:4" x14ac:dyDescent="0.2">
      <c r="A1542" t="s">
        <v>3661</v>
      </c>
      <c r="B1542" t="s">
        <v>3675</v>
      </c>
      <c r="C1542" t="s">
        <v>190</v>
      </c>
      <c r="D1542" t="s">
        <v>3674</v>
      </c>
    </row>
    <row r="1543" spans="1:4" x14ac:dyDescent="0.2">
      <c r="A1543" t="s">
        <v>3676</v>
      </c>
      <c r="B1543" t="s">
        <v>3662</v>
      </c>
      <c r="C1543" t="s">
        <v>3663</v>
      </c>
      <c r="D1543" t="s">
        <v>195</v>
      </c>
    </row>
    <row r="1544" spans="1:4" x14ac:dyDescent="0.2">
      <c r="A1544" t="s">
        <v>3676</v>
      </c>
      <c r="B1544" t="s">
        <v>3677</v>
      </c>
      <c r="C1544" t="s">
        <v>3678</v>
      </c>
      <c r="D1544" t="s">
        <v>195</v>
      </c>
    </row>
    <row r="1545" spans="1:4" x14ac:dyDescent="0.2">
      <c r="A1545" t="s">
        <v>3676</v>
      </c>
      <c r="B1545" t="s">
        <v>3679</v>
      </c>
      <c r="C1545" t="s">
        <v>3680</v>
      </c>
      <c r="D1545" t="s">
        <v>195</v>
      </c>
    </row>
    <row r="1546" spans="1:4" x14ac:dyDescent="0.2">
      <c r="A1546" t="s">
        <v>3676</v>
      </c>
      <c r="B1546" t="s">
        <v>3681</v>
      </c>
      <c r="C1546" t="s">
        <v>190</v>
      </c>
      <c r="D1546" t="s">
        <v>191</v>
      </c>
    </row>
    <row r="1547" spans="1:4" x14ac:dyDescent="0.2">
      <c r="A1547" t="s">
        <v>3676</v>
      </c>
      <c r="B1547" t="s">
        <v>3664</v>
      </c>
      <c r="C1547" t="s">
        <v>3665</v>
      </c>
      <c r="D1547" t="s">
        <v>195</v>
      </c>
    </row>
    <row r="1548" spans="1:4" x14ac:dyDescent="0.2">
      <c r="A1548" t="s">
        <v>3676</v>
      </c>
      <c r="B1548" t="s">
        <v>3666</v>
      </c>
      <c r="C1548" t="s">
        <v>3667</v>
      </c>
      <c r="D1548" t="s">
        <v>195</v>
      </c>
    </row>
    <row r="1549" spans="1:4" x14ac:dyDescent="0.2">
      <c r="A1549" t="s">
        <v>3676</v>
      </c>
      <c r="B1549" t="s">
        <v>3668</v>
      </c>
      <c r="C1549" t="s">
        <v>3669</v>
      </c>
      <c r="D1549" t="s">
        <v>195</v>
      </c>
    </row>
    <row r="1550" spans="1:4" x14ac:dyDescent="0.2">
      <c r="A1550" t="s">
        <v>3676</v>
      </c>
      <c r="B1550" t="s">
        <v>3671</v>
      </c>
      <c r="C1550" t="s">
        <v>3672</v>
      </c>
      <c r="D1550" t="s">
        <v>195</v>
      </c>
    </row>
    <row r="1551" spans="1:4" x14ac:dyDescent="0.2">
      <c r="A1551" t="s">
        <v>3676</v>
      </c>
      <c r="B1551" t="s">
        <v>3673</v>
      </c>
      <c r="C1551" t="s">
        <v>190</v>
      </c>
      <c r="D1551" t="s">
        <v>191</v>
      </c>
    </row>
    <row r="1552" spans="1:4" x14ac:dyDescent="0.2">
      <c r="A1552" t="s">
        <v>3676</v>
      </c>
      <c r="B1552" t="s">
        <v>3675</v>
      </c>
      <c r="C1552" t="s">
        <v>190</v>
      </c>
      <c r="D1552" t="s">
        <v>191</v>
      </c>
    </row>
    <row r="1553" spans="1:4" x14ac:dyDescent="0.2">
      <c r="A1553" t="s">
        <v>3682</v>
      </c>
      <c r="B1553" t="s">
        <v>3683</v>
      </c>
      <c r="C1553" t="s">
        <v>190</v>
      </c>
      <c r="D1553" t="s">
        <v>191</v>
      </c>
    </row>
    <row r="1554" spans="1:4" x14ac:dyDescent="0.2">
      <c r="A1554" t="s">
        <v>3682</v>
      </c>
      <c r="B1554" t="s">
        <v>3684</v>
      </c>
      <c r="C1554" t="s">
        <v>190</v>
      </c>
      <c r="D1554" t="s">
        <v>191</v>
      </c>
    </row>
    <row r="1555" spans="1:4" x14ac:dyDescent="0.2">
      <c r="A1555" t="s">
        <v>3685</v>
      </c>
      <c r="B1555" t="s">
        <v>3686</v>
      </c>
      <c r="C1555" t="s">
        <v>190</v>
      </c>
      <c r="D1555" t="s">
        <v>280</v>
      </c>
    </row>
    <row r="1556" spans="1:4" x14ac:dyDescent="0.2">
      <c r="A1556" t="s">
        <v>3685</v>
      </c>
      <c r="B1556" t="s">
        <v>3687</v>
      </c>
      <c r="C1556" t="s">
        <v>3688</v>
      </c>
      <c r="D1556" t="s">
        <v>187</v>
      </c>
    </row>
    <row r="1557" spans="1:4" x14ac:dyDescent="0.2">
      <c r="A1557" t="s">
        <v>3685</v>
      </c>
      <c r="B1557" t="s">
        <v>3689</v>
      </c>
      <c r="C1557" t="s">
        <v>190</v>
      </c>
      <c r="D1557" t="s">
        <v>280</v>
      </c>
    </row>
    <row r="1558" spans="1:4" x14ac:dyDescent="0.2">
      <c r="A1558" t="s">
        <v>3690</v>
      </c>
      <c r="B1558" t="s">
        <v>3691</v>
      </c>
      <c r="C1558" t="s">
        <v>190</v>
      </c>
      <c r="D1558" t="s">
        <v>191</v>
      </c>
    </row>
    <row r="1559" spans="1:4" x14ac:dyDescent="0.2">
      <c r="A1559" t="s">
        <v>3692</v>
      </c>
      <c r="B1559" t="s">
        <v>3693</v>
      </c>
      <c r="C1559" t="s">
        <v>3694</v>
      </c>
      <c r="D1559" t="s">
        <v>187</v>
      </c>
    </row>
    <row r="1560" spans="1:4" x14ac:dyDescent="0.2">
      <c r="A1560" t="s">
        <v>3695</v>
      </c>
      <c r="B1560" t="s">
        <v>3696</v>
      </c>
      <c r="C1560" t="s">
        <v>190</v>
      </c>
      <c r="D1560" t="s">
        <v>191</v>
      </c>
    </row>
    <row r="1561" spans="1:4" x14ac:dyDescent="0.2">
      <c r="A1561" t="s">
        <v>3697</v>
      </c>
      <c r="B1561" t="s">
        <v>3698</v>
      </c>
      <c r="C1561" t="s">
        <v>190</v>
      </c>
      <c r="D1561" t="s">
        <v>191</v>
      </c>
    </row>
    <row r="1562" spans="1:4" x14ac:dyDescent="0.2">
      <c r="A1562" t="s">
        <v>3697</v>
      </c>
      <c r="B1562" t="s">
        <v>3699</v>
      </c>
      <c r="C1562" t="s">
        <v>190</v>
      </c>
      <c r="D1562" t="s">
        <v>191</v>
      </c>
    </row>
    <row r="1563" spans="1:4" x14ac:dyDescent="0.2">
      <c r="A1563" t="s">
        <v>3697</v>
      </c>
      <c r="B1563" t="s">
        <v>3700</v>
      </c>
      <c r="C1563" t="s">
        <v>190</v>
      </c>
      <c r="D1563" t="s">
        <v>191</v>
      </c>
    </row>
    <row r="1564" spans="1:4" x14ac:dyDescent="0.2">
      <c r="A1564" t="s">
        <v>3701</v>
      </c>
      <c r="B1564" t="s">
        <v>3698</v>
      </c>
      <c r="C1564" t="s">
        <v>190</v>
      </c>
      <c r="D1564" t="s">
        <v>3702</v>
      </c>
    </row>
    <row r="1565" spans="1:4" x14ac:dyDescent="0.2">
      <c r="A1565" t="s">
        <v>3703</v>
      </c>
      <c r="B1565" t="s">
        <v>3704</v>
      </c>
      <c r="C1565" t="s">
        <v>3705</v>
      </c>
      <c r="D1565" t="s">
        <v>195</v>
      </c>
    </row>
    <row r="1566" spans="1:4" x14ac:dyDescent="0.2">
      <c r="A1566" t="s">
        <v>3706</v>
      </c>
      <c r="B1566" t="s">
        <v>3707</v>
      </c>
      <c r="C1566" t="s">
        <v>190</v>
      </c>
      <c r="D1566" t="s">
        <v>191</v>
      </c>
    </row>
    <row r="1567" spans="1:4" x14ac:dyDescent="0.2">
      <c r="A1567" t="s">
        <v>3708</v>
      </c>
      <c r="B1567" t="s">
        <v>3709</v>
      </c>
      <c r="C1567" t="s">
        <v>3710</v>
      </c>
      <c r="D1567" t="s">
        <v>195</v>
      </c>
    </row>
    <row r="1568" spans="1:4" x14ac:dyDescent="0.2">
      <c r="A1568" t="s">
        <v>3711</v>
      </c>
      <c r="B1568" t="s">
        <v>3712</v>
      </c>
      <c r="C1568" t="s">
        <v>190</v>
      </c>
      <c r="D1568" t="s">
        <v>3713</v>
      </c>
    </row>
    <row r="1569" spans="1:4" x14ac:dyDescent="0.2">
      <c r="A1569" t="s">
        <v>3711</v>
      </c>
      <c r="B1569" t="s">
        <v>3714</v>
      </c>
      <c r="C1569" t="s">
        <v>190</v>
      </c>
      <c r="D1569" t="s">
        <v>191</v>
      </c>
    </row>
    <row r="1570" spans="1:4" x14ac:dyDescent="0.2">
      <c r="A1570" t="s">
        <v>3711</v>
      </c>
      <c r="B1570" t="s">
        <v>3715</v>
      </c>
      <c r="C1570" t="s">
        <v>190</v>
      </c>
      <c r="D1570" t="s">
        <v>191</v>
      </c>
    </row>
    <row r="1571" spans="1:4" x14ac:dyDescent="0.2">
      <c r="A1571" t="s">
        <v>3711</v>
      </c>
      <c r="B1571" t="s">
        <v>3716</v>
      </c>
      <c r="C1571" t="s">
        <v>190</v>
      </c>
      <c r="D1571" t="s">
        <v>191</v>
      </c>
    </row>
    <row r="1572" spans="1:4" x14ac:dyDescent="0.2">
      <c r="A1572" t="s">
        <v>3711</v>
      </c>
      <c r="B1572" t="s">
        <v>3717</v>
      </c>
      <c r="C1572" t="s">
        <v>190</v>
      </c>
      <c r="D1572" t="s">
        <v>191</v>
      </c>
    </row>
    <row r="1573" spans="1:4" x14ac:dyDescent="0.2">
      <c r="A1573" t="s">
        <v>3711</v>
      </c>
      <c r="B1573" t="s">
        <v>3718</v>
      </c>
      <c r="C1573" t="s">
        <v>190</v>
      </c>
      <c r="D1573" t="s">
        <v>191</v>
      </c>
    </row>
    <row r="1574" spans="1:4" x14ac:dyDescent="0.2">
      <c r="A1574" t="s">
        <v>3711</v>
      </c>
      <c r="B1574" t="s">
        <v>3719</v>
      </c>
      <c r="C1574" t="s">
        <v>190</v>
      </c>
      <c r="D1574" t="s">
        <v>191</v>
      </c>
    </row>
    <row r="1575" spans="1:4" x14ac:dyDescent="0.2">
      <c r="A1575" t="s">
        <v>3711</v>
      </c>
      <c r="B1575" t="s">
        <v>3720</v>
      </c>
      <c r="C1575" t="s">
        <v>190</v>
      </c>
      <c r="D1575" t="s">
        <v>191</v>
      </c>
    </row>
    <row r="1576" spans="1:4" x14ac:dyDescent="0.2">
      <c r="A1576" t="s">
        <v>3711</v>
      </c>
      <c r="B1576" t="s">
        <v>3721</v>
      </c>
      <c r="C1576" t="s">
        <v>190</v>
      </c>
      <c r="D1576" t="s">
        <v>191</v>
      </c>
    </row>
    <row r="1577" spans="1:4" x14ac:dyDescent="0.2">
      <c r="A1577" t="s">
        <v>3711</v>
      </c>
      <c r="B1577" t="s">
        <v>3722</v>
      </c>
      <c r="C1577" t="s">
        <v>190</v>
      </c>
      <c r="D1577" t="s">
        <v>191</v>
      </c>
    </row>
    <row r="1578" spans="1:4" x14ac:dyDescent="0.2">
      <c r="A1578" t="s">
        <v>3723</v>
      </c>
      <c r="B1578" t="s">
        <v>3724</v>
      </c>
      <c r="C1578" t="s">
        <v>190</v>
      </c>
      <c r="D1578" t="s">
        <v>191</v>
      </c>
    </row>
    <row r="1579" spans="1:4" x14ac:dyDescent="0.2">
      <c r="A1579" t="s">
        <v>3725</v>
      </c>
      <c r="B1579" t="s">
        <v>3726</v>
      </c>
      <c r="C1579" t="s">
        <v>190</v>
      </c>
      <c r="D1579" t="s">
        <v>3727</v>
      </c>
    </row>
    <row r="1580" spans="1:4" x14ac:dyDescent="0.2">
      <c r="A1580" t="s">
        <v>3728</v>
      </c>
      <c r="B1580" t="s">
        <v>3729</v>
      </c>
      <c r="C1580" t="s">
        <v>3730</v>
      </c>
      <c r="D1580" t="s">
        <v>187</v>
      </c>
    </row>
    <row r="1581" spans="1:4" x14ac:dyDescent="0.2">
      <c r="A1581" t="s">
        <v>3731</v>
      </c>
      <c r="B1581" t="s">
        <v>3732</v>
      </c>
      <c r="C1581" t="s">
        <v>190</v>
      </c>
      <c r="D1581" t="s">
        <v>191</v>
      </c>
    </row>
    <row r="1582" spans="1:4" x14ac:dyDescent="0.2">
      <c r="A1582" t="s">
        <v>3733</v>
      </c>
      <c r="B1582" t="s">
        <v>3734</v>
      </c>
      <c r="C1582" t="s">
        <v>190</v>
      </c>
      <c r="D1582" t="s">
        <v>191</v>
      </c>
    </row>
    <row r="1583" spans="1:4" x14ac:dyDescent="0.2">
      <c r="A1583" t="s">
        <v>3735</v>
      </c>
      <c r="B1583" t="s">
        <v>3736</v>
      </c>
      <c r="C1583" t="s">
        <v>190</v>
      </c>
      <c r="D1583" t="s">
        <v>191</v>
      </c>
    </row>
    <row r="1584" spans="1:4" x14ac:dyDescent="0.2">
      <c r="A1584" t="s">
        <v>3737</v>
      </c>
      <c r="B1584" t="s">
        <v>3738</v>
      </c>
      <c r="C1584" t="s">
        <v>190</v>
      </c>
      <c r="D1584" t="s">
        <v>191</v>
      </c>
    </row>
    <row r="1585" spans="1:4" x14ac:dyDescent="0.2">
      <c r="A1585" t="s">
        <v>3739</v>
      </c>
      <c r="B1585" t="s">
        <v>3740</v>
      </c>
      <c r="C1585" t="s">
        <v>3741</v>
      </c>
      <c r="D1585" t="s">
        <v>195</v>
      </c>
    </row>
    <row r="1586" spans="1:4" x14ac:dyDescent="0.2">
      <c r="A1586" t="s">
        <v>3742</v>
      </c>
      <c r="B1586" t="s">
        <v>3743</v>
      </c>
      <c r="C1586" t="s">
        <v>190</v>
      </c>
      <c r="D1586" t="s">
        <v>191</v>
      </c>
    </row>
    <row r="1587" spans="1:4" x14ac:dyDescent="0.2">
      <c r="A1587" t="s">
        <v>3744</v>
      </c>
      <c r="B1587" t="s">
        <v>3745</v>
      </c>
      <c r="C1587" t="s">
        <v>190</v>
      </c>
      <c r="D1587" t="s">
        <v>191</v>
      </c>
    </row>
    <row r="1588" spans="1:4" x14ac:dyDescent="0.2">
      <c r="A1588" t="s">
        <v>3746</v>
      </c>
      <c r="B1588" t="s">
        <v>3747</v>
      </c>
      <c r="C1588" t="s">
        <v>190</v>
      </c>
      <c r="D1588" t="s">
        <v>191</v>
      </c>
    </row>
    <row r="1589" spans="1:4" x14ac:dyDescent="0.2">
      <c r="A1589" t="s">
        <v>3748</v>
      </c>
      <c r="B1589" t="s">
        <v>3749</v>
      </c>
      <c r="C1589" t="s">
        <v>3750</v>
      </c>
      <c r="D1589" t="s">
        <v>187</v>
      </c>
    </row>
    <row r="1590" spans="1:4" x14ac:dyDescent="0.2">
      <c r="A1590" t="s">
        <v>3751</v>
      </c>
      <c r="B1590" t="s">
        <v>3752</v>
      </c>
      <c r="C1590" t="s">
        <v>190</v>
      </c>
      <c r="D1590" t="s">
        <v>191</v>
      </c>
    </row>
    <row r="1591" spans="1:4" x14ac:dyDescent="0.2">
      <c r="A1591" t="s">
        <v>3753</v>
      </c>
      <c r="B1591" t="s">
        <v>3754</v>
      </c>
      <c r="C1591" t="s">
        <v>190</v>
      </c>
      <c r="D1591" t="s">
        <v>191</v>
      </c>
    </row>
    <row r="1592" spans="1:4" x14ac:dyDescent="0.2">
      <c r="A1592" t="s">
        <v>3755</v>
      </c>
      <c r="B1592" t="s">
        <v>3756</v>
      </c>
      <c r="C1592" t="s">
        <v>190</v>
      </c>
      <c r="D1592" t="s">
        <v>3757</v>
      </c>
    </row>
    <row r="1593" spans="1:4" x14ac:dyDescent="0.2">
      <c r="A1593" t="s">
        <v>3755</v>
      </c>
      <c r="B1593" t="s">
        <v>3758</v>
      </c>
      <c r="C1593" t="s">
        <v>190</v>
      </c>
      <c r="D1593" t="s">
        <v>191</v>
      </c>
    </row>
    <row r="1594" spans="1:4" x14ac:dyDescent="0.2">
      <c r="A1594" t="s">
        <v>3759</v>
      </c>
      <c r="B1594" t="s">
        <v>3760</v>
      </c>
      <c r="C1594" t="s">
        <v>190</v>
      </c>
      <c r="D1594" t="s">
        <v>191</v>
      </c>
    </row>
    <row r="1595" spans="1:4" x14ac:dyDescent="0.2">
      <c r="A1595" t="s">
        <v>3759</v>
      </c>
      <c r="B1595" t="s">
        <v>3761</v>
      </c>
      <c r="C1595" t="s">
        <v>3762</v>
      </c>
      <c r="D1595" t="s">
        <v>195</v>
      </c>
    </row>
    <row r="1596" spans="1:4" x14ac:dyDescent="0.2">
      <c r="A1596" t="s">
        <v>3759</v>
      </c>
      <c r="B1596" t="s">
        <v>3763</v>
      </c>
      <c r="C1596" t="s">
        <v>190</v>
      </c>
      <c r="D1596" t="s">
        <v>3764</v>
      </c>
    </row>
    <row r="1597" spans="1:4" x14ac:dyDescent="0.2">
      <c r="A1597" t="s">
        <v>3765</v>
      </c>
      <c r="B1597" t="s">
        <v>3766</v>
      </c>
      <c r="C1597" t="s">
        <v>190</v>
      </c>
      <c r="D1597" t="s">
        <v>3767</v>
      </c>
    </row>
    <row r="1598" spans="1:4" x14ac:dyDescent="0.2">
      <c r="A1598" t="s">
        <v>3765</v>
      </c>
      <c r="B1598" t="s">
        <v>3768</v>
      </c>
      <c r="C1598" t="s">
        <v>190</v>
      </c>
      <c r="D1598" t="s">
        <v>3769</v>
      </c>
    </row>
    <row r="1599" spans="1:4" x14ac:dyDescent="0.2">
      <c r="A1599" t="s">
        <v>3765</v>
      </c>
      <c r="B1599" t="s">
        <v>3770</v>
      </c>
      <c r="C1599" t="s">
        <v>3771</v>
      </c>
      <c r="D1599" t="s">
        <v>187</v>
      </c>
    </row>
    <row r="1600" spans="1:4" x14ac:dyDescent="0.2">
      <c r="A1600" t="s">
        <v>3772</v>
      </c>
      <c r="B1600" t="s">
        <v>3773</v>
      </c>
      <c r="C1600" t="s">
        <v>3774</v>
      </c>
      <c r="D1600" t="s">
        <v>187</v>
      </c>
    </row>
    <row r="1601" spans="1:4" x14ac:dyDescent="0.2">
      <c r="A1601" t="s">
        <v>3775</v>
      </c>
      <c r="B1601" t="s">
        <v>3776</v>
      </c>
      <c r="C1601" t="s">
        <v>3777</v>
      </c>
      <c r="D1601" t="s">
        <v>195</v>
      </c>
    </row>
    <row r="1602" spans="1:4" x14ac:dyDescent="0.2">
      <c r="A1602" t="s">
        <v>3775</v>
      </c>
      <c r="B1602" t="s">
        <v>3778</v>
      </c>
      <c r="C1602" t="s">
        <v>190</v>
      </c>
      <c r="D1602" t="s">
        <v>191</v>
      </c>
    </row>
    <row r="1603" spans="1:4" x14ac:dyDescent="0.2">
      <c r="A1603" t="s">
        <v>3779</v>
      </c>
      <c r="B1603" t="s">
        <v>3780</v>
      </c>
      <c r="C1603" t="s">
        <v>3781</v>
      </c>
      <c r="D1603" t="s">
        <v>195</v>
      </c>
    </row>
    <row r="1604" spans="1:4" x14ac:dyDescent="0.2">
      <c r="A1604" t="s">
        <v>3782</v>
      </c>
      <c r="B1604" t="s">
        <v>3780</v>
      </c>
      <c r="C1604" t="s">
        <v>3781</v>
      </c>
      <c r="D1604" t="s">
        <v>195</v>
      </c>
    </row>
    <row r="1605" spans="1:4" x14ac:dyDescent="0.2">
      <c r="A1605" t="s">
        <v>3782</v>
      </c>
      <c r="B1605" t="s">
        <v>3783</v>
      </c>
      <c r="C1605" t="s">
        <v>3784</v>
      </c>
      <c r="D1605" t="s">
        <v>195</v>
      </c>
    </row>
    <row r="1606" spans="1:4" x14ac:dyDescent="0.2">
      <c r="A1606" t="s">
        <v>3782</v>
      </c>
      <c r="B1606" t="s">
        <v>3785</v>
      </c>
      <c r="C1606" t="s">
        <v>3786</v>
      </c>
      <c r="D1606" t="s">
        <v>195</v>
      </c>
    </row>
    <row r="1607" spans="1:4" x14ac:dyDescent="0.2">
      <c r="A1607" t="s">
        <v>3782</v>
      </c>
      <c r="B1607" t="s">
        <v>3787</v>
      </c>
      <c r="C1607" t="s">
        <v>190</v>
      </c>
      <c r="D1607" t="s">
        <v>191</v>
      </c>
    </row>
    <row r="1608" spans="1:4" x14ac:dyDescent="0.2">
      <c r="A1608" t="s">
        <v>3788</v>
      </c>
      <c r="B1608" t="s">
        <v>3789</v>
      </c>
      <c r="C1608" t="s">
        <v>3790</v>
      </c>
      <c r="D1608" t="s">
        <v>195</v>
      </c>
    </row>
    <row r="1609" spans="1:4" x14ac:dyDescent="0.2">
      <c r="A1609" t="s">
        <v>3788</v>
      </c>
      <c r="B1609" t="s">
        <v>3791</v>
      </c>
      <c r="C1609" t="s">
        <v>3792</v>
      </c>
      <c r="D1609" t="s">
        <v>195</v>
      </c>
    </row>
    <row r="1610" spans="1:4" x14ac:dyDescent="0.2">
      <c r="A1610" t="s">
        <v>3788</v>
      </c>
      <c r="B1610" t="s">
        <v>3793</v>
      </c>
      <c r="C1610" t="s">
        <v>190</v>
      </c>
      <c r="D1610" t="s">
        <v>3794</v>
      </c>
    </row>
    <row r="1611" spans="1:4" x14ac:dyDescent="0.2">
      <c r="A1611" t="s">
        <v>3788</v>
      </c>
      <c r="B1611" t="s">
        <v>3783</v>
      </c>
      <c r="C1611" t="s">
        <v>3784</v>
      </c>
      <c r="D1611" t="s">
        <v>195</v>
      </c>
    </row>
    <row r="1612" spans="1:4" x14ac:dyDescent="0.2">
      <c r="A1612" t="s">
        <v>3795</v>
      </c>
      <c r="B1612" t="s">
        <v>3796</v>
      </c>
      <c r="C1612" t="s">
        <v>190</v>
      </c>
      <c r="D1612" t="s">
        <v>3797</v>
      </c>
    </row>
    <row r="1613" spans="1:4" x14ac:dyDescent="0.2">
      <c r="A1613" t="s">
        <v>3795</v>
      </c>
      <c r="B1613" t="s">
        <v>3798</v>
      </c>
      <c r="C1613" t="s">
        <v>190</v>
      </c>
      <c r="D1613" t="s">
        <v>3797</v>
      </c>
    </row>
    <row r="1614" spans="1:4" x14ac:dyDescent="0.2">
      <c r="A1614" t="s">
        <v>3795</v>
      </c>
      <c r="B1614" t="s">
        <v>3799</v>
      </c>
      <c r="C1614" t="s">
        <v>190</v>
      </c>
      <c r="D1614" t="s">
        <v>191</v>
      </c>
    </row>
    <row r="1615" spans="1:4" x14ac:dyDescent="0.2">
      <c r="A1615" t="s">
        <v>3795</v>
      </c>
      <c r="B1615" t="s">
        <v>3800</v>
      </c>
      <c r="C1615" t="s">
        <v>190</v>
      </c>
      <c r="D1615" t="s">
        <v>3801</v>
      </c>
    </row>
    <row r="1616" spans="1:4" x14ac:dyDescent="0.2">
      <c r="A1616" t="s">
        <v>3795</v>
      </c>
      <c r="B1616" t="s">
        <v>3802</v>
      </c>
      <c r="C1616" t="s">
        <v>190</v>
      </c>
      <c r="D1616" t="s">
        <v>3803</v>
      </c>
    </row>
    <row r="1617" spans="1:4" x14ac:dyDescent="0.2">
      <c r="A1617" t="s">
        <v>3795</v>
      </c>
      <c r="B1617" t="s">
        <v>3804</v>
      </c>
      <c r="C1617" t="s">
        <v>190</v>
      </c>
      <c r="D1617" t="s">
        <v>3805</v>
      </c>
    </row>
    <row r="1618" spans="1:4" x14ac:dyDescent="0.2">
      <c r="A1618" t="s">
        <v>3806</v>
      </c>
      <c r="B1618" t="s">
        <v>3796</v>
      </c>
      <c r="C1618" t="s">
        <v>190</v>
      </c>
      <c r="D1618" t="s">
        <v>191</v>
      </c>
    </row>
    <row r="1619" spans="1:4" x14ac:dyDescent="0.2">
      <c r="A1619" t="s">
        <v>3806</v>
      </c>
      <c r="B1619" t="s">
        <v>3798</v>
      </c>
      <c r="C1619" t="s">
        <v>190</v>
      </c>
      <c r="D1619" t="s">
        <v>191</v>
      </c>
    </row>
    <row r="1620" spans="1:4" x14ac:dyDescent="0.2">
      <c r="A1620" t="s">
        <v>3806</v>
      </c>
      <c r="B1620" t="s">
        <v>3802</v>
      </c>
      <c r="C1620" t="s">
        <v>190</v>
      </c>
      <c r="D1620" t="s">
        <v>3803</v>
      </c>
    </row>
    <row r="1621" spans="1:4" x14ac:dyDescent="0.2">
      <c r="A1621" t="s">
        <v>3806</v>
      </c>
      <c r="B1621" t="s">
        <v>3807</v>
      </c>
      <c r="C1621" t="s">
        <v>190</v>
      </c>
      <c r="D1621" t="s">
        <v>3808</v>
      </c>
    </row>
    <row r="1622" spans="1:4" x14ac:dyDescent="0.2">
      <c r="A1622" t="s">
        <v>3809</v>
      </c>
      <c r="B1622" t="s">
        <v>3754</v>
      </c>
      <c r="C1622" t="s">
        <v>190</v>
      </c>
      <c r="D1622" t="s">
        <v>3810</v>
      </c>
    </row>
    <row r="1623" spans="1:4" x14ac:dyDescent="0.2">
      <c r="A1623" t="s">
        <v>3809</v>
      </c>
      <c r="B1623" t="s">
        <v>3811</v>
      </c>
      <c r="C1623" t="s">
        <v>190</v>
      </c>
      <c r="D1623" t="s">
        <v>3812</v>
      </c>
    </row>
    <row r="1624" spans="1:4" x14ac:dyDescent="0.2">
      <c r="A1624" t="s">
        <v>3809</v>
      </c>
      <c r="B1624" t="s">
        <v>3813</v>
      </c>
      <c r="C1624" t="s">
        <v>190</v>
      </c>
      <c r="D1624" t="s">
        <v>3814</v>
      </c>
    </row>
    <row r="1625" spans="1:4" x14ac:dyDescent="0.2">
      <c r="A1625" t="s">
        <v>3809</v>
      </c>
      <c r="B1625" t="s">
        <v>3815</v>
      </c>
      <c r="C1625" t="s">
        <v>190</v>
      </c>
      <c r="D1625" t="s">
        <v>191</v>
      </c>
    </row>
    <row r="1626" spans="1:4" x14ac:dyDescent="0.2">
      <c r="A1626" t="s">
        <v>3809</v>
      </c>
      <c r="B1626" t="s">
        <v>3768</v>
      </c>
      <c r="C1626" t="s">
        <v>190</v>
      </c>
      <c r="D1626" t="s">
        <v>3769</v>
      </c>
    </row>
    <row r="1627" spans="1:4" x14ac:dyDescent="0.2">
      <c r="A1627" t="s">
        <v>3809</v>
      </c>
      <c r="B1627" t="s">
        <v>3816</v>
      </c>
      <c r="C1627" t="s">
        <v>190</v>
      </c>
      <c r="D1627" t="s">
        <v>3814</v>
      </c>
    </row>
    <row r="1628" spans="1:4" x14ac:dyDescent="0.2">
      <c r="A1628" t="s">
        <v>3817</v>
      </c>
      <c r="B1628" t="s">
        <v>3800</v>
      </c>
      <c r="C1628" t="s">
        <v>190</v>
      </c>
      <c r="D1628" t="s">
        <v>191</v>
      </c>
    </row>
    <row r="1629" spans="1:4" x14ac:dyDescent="0.2">
      <c r="A1629" t="s">
        <v>3818</v>
      </c>
      <c r="B1629" t="s">
        <v>3819</v>
      </c>
      <c r="C1629" t="s">
        <v>190</v>
      </c>
      <c r="D1629" t="s">
        <v>3820</v>
      </c>
    </row>
    <row r="1630" spans="1:4" x14ac:dyDescent="0.2">
      <c r="A1630" t="s">
        <v>3818</v>
      </c>
      <c r="B1630" t="s">
        <v>3821</v>
      </c>
      <c r="C1630" t="s">
        <v>190</v>
      </c>
      <c r="D1630" t="s">
        <v>3820</v>
      </c>
    </row>
    <row r="1631" spans="1:4" x14ac:dyDescent="0.2">
      <c r="A1631" t="s">
        <v>3818</v>
      </c>
      <c r="B1631" t="s">
        <v>3799</v>
      </c>
      <c r="C1631" t="s">
        <v>190</v>
      </c>
      <c r="D1631" t="s">
        <v>3822</v>
      </c>
    </row>
    <row r="1632" spans="1:4" x14ac:dyDescent="0.2">
      <c r="A1632" t="s">
        <v>3818</v>
      </c>
      <c r="B1632" t="s">
        <v>3823</v>
      </c>
      <c r="C1632" t="s">
        <v>190</v>
      </c>
      <c r="D1632" t="s">
        <v>191</v>
      </c>
    </row>
    <row r="1633" spans="1:4" x14ac:dyDescent="0.2">
      <c r="A1633" t="s">
        <v>3818</v>
      </c>
      <c r="B1633" t="s">
        <v>3800</v>
      </c>
      <c r="C1633" t="s">
        <v>190</v>
      </c>
      <c r="D1633" t="s">
        <v>3801</v>
      </c>
    </row>
    <row r="1634" spans="1:4" x14ac:dyDescent="0.2">
      <c r="A1634" t="s">
        <v>3818</v>
      </c>
      <c r="B1634" t="s">
        <v>3824</v>
      </c>
      <c r="C1634" t="s">
        <v>190</v>
      </c>
      <c r="D1634" t="s">
        <v>3825</v>
      </c>
    </row>
    <row r="1635" spans="1:4" x14ac:dyDescent="0.2">
      <c r="A1635" t="s">
        <v>3826</v>
      </c>
      <c r="B1635" t="s">
        <v>3802</v>
      </c>
      <c r="C1635" t="s">
        <v>190</v>
      </c>
      <c r="D1635" t="s">
        <v>191</v>
      </c>
    </row>
    <row r="1636" spans="1:4" x14ac:dyDescent="0.2">
      <c r="A1636" t="s">
        <v>3827</v>
      </c>
      <c r="B1636" t="s">
        <v>3813</v>
      </c>
      <c r="C1636" t="s">
        <v>190</v>
      </c>
      <c r="D1636" t="s">
        <v>191</v>
      </c>
    </row>
    <row r="1637" spans="1:4" x14ac:dyDescent="0.2">
      <c r="A1637" t="s">
        <v>3827</v>
      </c>
      <c r="B1637" t="s">
        <v>3816</v>
      </c>
      <c r="C1637" t="s">
        <v>190</v>
      </c>
      <c r="D1637" t="s">
        <v>191</v>
      </c>
    </row>
    <row r="1638" spans="1:4" x14ac:dyDescent="0.2">
      <c r="A1638" t="s">
        <v>3828</v>
      </c>
      <c r="B1638" t="s">
        <v>3829</v>
      </c>
      <c r="C1638" t="s">
        <v>190</v>
      </c>
      <c r="D1638" t="s">
        <v>191</v>
      </c>
    </row>
    <row r="1639" spans="1:4" x14ac:dyDescent="0.2">
      <c r="A1639" t="s">
        <v>3828</v>
      </c>
      <c r="B1639" t="s">
        <v>3830</v>
      </c>
      <c r="C1639" t="s">
        <v>190</v>
      </c>
      <c r="D1639" t="s">
        <v>3831</v>
      </c>
    </row>
    <row r="1640" spans="1:4" x14ac:dyDescent="0.2">
      <c r="A1640" t="s">
        <v>3832</v>
      </c>
      <c r="B1640" t="s">
        <v>3833</v>
      </c>
      <c r="C1640" t="s">
        <v>3834</v>
      </c>
      <c r="D1640" t="s">
        <v>195</v>
      </c>
    </row>
    <row r="1641" spans="1:4" x14ac:dyDescent="0.2">
      <c r="A1641" t="s">
        <v>3832</v>
      </c>
      <c r="B1641" t="s">
        <v>3835</v>
      </c>
      <c r="C1641" t="s">
        <v>190</v>
      </c>
      <c r="D1641" t="s">
        <v>191</v>
      </c>
    </row>
    <row r="1642" spans="1:4" x14ac:dyDescent="0.2">
      <c r="A1642" t="s">
        <v>3836</v>
      </c>
      <c r="B1642" t="s">
        <v>3837</v>
      </c>
      <c r="C1642" t="s">
        <v>190</v>
      </c>
      <c r="D1642" t="s">
        <v>191</v>
      </c>
    </row>
    <row r="1643" spans="1:4" x14ac:dyDescent="0.2">
      <c r="A1643" t="s">
        <v>3838</v>
      </c>
      <c r="B1643" t="s">
        <v>3839</v>
      </c>
      <c r="C1643" t="s">
        <v>190</v>
      </c>
      <c r="D1643" t="s">
        <v>191</v>
      </c>
    </row>
    <row r="1644" spans="1:4" x14ac:dyDescent="0.2">
      <c r="A1644" t="s">
        <v>3840</v>
      </c>
      <c r="B1644" t="s">
        <v>3841</v>
      </c>
      <c r="C1644" t="s">
        <v>3842</v>
      </c>
      <c r="D1644" t="s">
        <v>195</v>
      </c>
    </row>
    <row r="1645" spans="1:4" x14ac:dyDescent="0.2">
      <c r="A1645" t="s">
        <v>3843</v>
      </c>
      <c r="B1645" t="s">
        <v>3844</v>
      </c>
      <c r="C1645" t="s">
        <v>190</v>
      </c>
      <c r="D1645" t="s">
        <v>191</v>
      </c>
    </row>
    <row r="1646" spans="1:4" x14ac:dyDescent="0.2">
      <c r="A1646" t="s">
        <v>3845</v>
      </c>
      <c r="B1646" t="s">
        <v>3846</v>
      </c>
      <c r="C1646" t="s">
        <v>190</v>
      </c>
      <c r="D1646" t="s">
        <v>3847</v>
      </c>
    </row>
    <row r="1647" spans="1:4" x14ac:dyDescent="0.2">
      <c r="A1647" t="s">
        <v>3848</v>
      </c>
      <c r="B1647" t="s">
        <v>3849</v>
      </c>
      <c r="C1647" t="s">
        <v>3850</v>
      </c>
      <c r="D1647" t="s">
        <v>195</v>
      </c>
    </row>
    <row r="1648" spans="1:4" x14ac:dyDescent="0.2">
      <c r="A1648" t="s">
        <v>3851</v>
      </c>
      <c r="B1648" t="s">
        <v>3852</v>
      </c>
      <c r="C1648" t="s">
        <v>3853</v>
      </c>
      <c r="D1648" t="s">
        <v>195</v>
      </c>
    </row>
    <row r="1649" spans="1:4" x14ac:dyDescent="0.2">
      <c r="A1649" t="s">
        <v>3854</v>
      </c>
      <c r="B1649" t="s">
        <v>3855</v>
      </c>
      <c r="C1649" t="s">
        <v>190</v>
      </c>
      <c r="D1649" t="s">
        <v>191</v>
      </c>
    </row>
    <row r="1650" spans="1:4" x14ac:dyDescent="0.2">
      <c r="A1650" t="s">
        <v>3854</v>
      </c>
      <c r="B1650" t="s">
        <v>3856</v>
      </c>
      <c r="C1650" t="s">
        <v>190</v>
      </c>
      <c r="D1650" t="s">
        <v>191</v>
      </c>
    </row>
    <row r="1651" spans="1:4" x14ac:dyDescent="0.2">
      <c r="A1651" t="s">
        <v>3854</v>
      </c>
      <c r="B1651" t="s">
        <v>3857</v>
      </c>
      <c r="C1651" t="s">
        <v>190</v>
      </c>
      <c r="D1651" t="s">
        <v>191</v>
      </c>
    </row>
    <row r="1652" spans="1:4" x14ac:dyDescent="0.2">
      <c r="A1652" t="s">
        <v>3854</v>
      </c>
      <c r="B1652" t="s">
        <v>3858</v>
      </c>
      <c r="C1652" t="s">
        <v>190</v>
      </c>
      <c r="D1652" t="s">
        <v>191</v>
      </c>
    </row>
    <row r="1653" spans="1:4" x14ac:dyDescent="0.2">
      <c r="A1653" t="s">
        <v>3859</v>
      </c>
      <c r="B1653" t="s">
        <v>3860</v>
      </c>
      <c r="C1653" t="s">
        <v>3861</v>
      </c>
      <c r="D1653" t="s">
        <v>187</v>
      </c>
    </row>
    <row r="1654" spans="1:4" x14ac:dyDescent="0.2">
      <c r="A1654" t="s">
        <v>3862</v>
      </c>
      <c r="B1654" t="s">
        <v>3855</v>
      </c>
      <c r="C1654" t="s">
        <v>190</v>
      </c>
      <c r="D1654" t="s">
        <v>3863</v>
      </c>
    </row>
    <row r="1655" spans="1:4" x14ac:dyDescent="0.2">
      <c r="A1655" t="s">
        <v>3862</v>
      </c>
      <c r="B1655" t="s">
        <v>3857</v>
      </c>
      <c r="C1655" t="s">
        <v>190</v>
      </c>
      <c r="D1655" t="s">
        <v>3863</v>
      </c>
    </row>
    <row r="1656" spans="1:4" x14ac:dyDescent="0.2">
      <c r="A1656" t="s">
        <v>3862</v>
      </c>
      <c r="B1656" t="s">
        <v>3858</v>
      </c>
      <c r="C1656" t="s">
        <v>190</v>
      </c>
      <c r="D1656" t="s">
        <v>3863</v>
      </c>
    </row>
    <row r="1657" spans="1:4" x14ac:dyDescent="0.2">
      <c r="A1657" t="s">
        <v>3864</v>
      </c>
      <c r="B1657" t="s">
        <v>3865</v>
      </c>
      <c r="C1657" t="s">
        <v>3866</v>
      </c>
      <c r="D1657" t="s">
        <v>195</v>
      </c>
    </row>
    <row r="1658" spans="1:4" x14ac:dyDescent="0.2">
      <c r="A1658" t="s">
        <v>3867</v>
      </c>
      <c r="B1658" t="s">
        <v>3868</v>
      </c>
      <c r="C1658" t="s">
        <v>190</v>
      </c>
      <c r="D1658" t="s">
        <v>191</v>
      </c>
    </row>
    <row r="1659" spans="1:4" x14ac:dyDescent="0.2">
      <c r="A1659" t="s">
        <v>3869</v>
      </c>
      <c r="B1659" t="s">
        <v>3870</v>
      </c>
      <c r="C1659" t="s">
        <v>190</v>
      </c>
      <c r="D1659" t="s">
        <v>191</v>
      </c>
    </row>
    <row r="1660" spans="1:4" x14ac:dyDescent="0.2">
      <c r="A1660" t="s">
        <v>3871</v>
      </c>
      <c r="B1660" t="s">
        <v>3872</v>
      </c>
      <c r="C1660" t="s">
        <v>190</v>
      </c>
      <c r="D1660" t="s">
        <v>191</v>
      </c>
    </row>
    <row r="1661" spans="1:4" x14ac:dyDescent="0.2">
      <c r="A1661" t="s">
        <v>3873</v>
      </c>
      <c r="B1661" t="s">
        <v>3874</v>
      </c>
      <c r="C1661" t="s">
        <v>190</v>
      </c>
      <c r="D1661" t="s">
        <v>191</v>
      </c>
    </row>
    <row r="1662" spans="1:4" x14ac:dyDescent="0.2">
      <c r="A1662" t="s">
        <v>3875</v>
      </c>
      <c r="B1662" t="s">
        <v>3876</v>
      </c>
      <c r="C1662" t="s">
        <v>190</v>
      </c>
      <c r="D1662" t="s">
        <v>3877</v>
      </c>
    </row>
    <row r="1663" spans="1:4" x14ac:dyDescent="0.2">
      <c r="A1663" t="s">
        <v>3878</v>
      </c>
      <c r="B1663" t="s">
        <v>3879</v>
      </c>
      <c r="C1663" t="s">
        <v>190</v>
      </c>
      <c r="D1663" t="s">
        <v>191</v>
      </c>
    </row>
    <row r="1664" spans="1:4" x14ac:dyDescent="0.2">
      <c r="A1664" t="s">
        <v>3880</v>
      </c>
      <c r="B1664" t="s">
        <v>3881</v>
      </c>
      <c r="C1664" t="s">
        <v>190</v>
      </c>
      <c r="D1664" t="s">
        <v>191</v>
      </c>
    </row>
    <row r="1665" spans="1:4" x14ac:dyDescent="0.2">
      <c r="A1665" t="s">
        <v>3882</v>
      </c>
      <c r="B1665" t="s">
        <v>3883</v>
      </c>
      <c r="C1665" t="s">
        <v>3884</v>
      </c>
      <c r="D1665" t="s">
        <v>195</v>
      </c>
    </row>
    <row r="1666" spans="1:4" x14ac:dyDescent="0.2">
      <c r="A1666" t="s">
        <v>3882</v>
      </c>
      <c r="B1666" t="s">
        <v>3885</v>
      </c>
      <c r="C1666" t="s">
        <v>190</v>
      </c>
      <c r="D1666" t="s">
        <v>191</v>
      </c>
    </row>
    <row r="1667" spans="1:4" x14ac:dyDescent="0.2">
      <c r="A1667" t="s">
        <v>3886</v>
      </c>
      <c r="B1667" t="s">
        <v>3887</v>
      </c>
      <c r="C1667" t="s">
        <v>190</v>
      </c>
      <c r="D1667" t="s">
        <v>191</v>
      </c>
    </row>
    <row r="1668" spans="1:4" x14ac:dyDescent="0.2">
      <c r="A1668" t="s">
        <v>3888</v>
      </c>
      <c r="B1668" t="s">
        <v>3889</v>
      </c>
      <c r="C1668" t="s">
        <v>3890</v>
      </c>
      <c r="D1668" t="s">
        <v>195</v>
      </c>
    </row>
    <row r="1669" spans="1:4" x14ac:dyDescent="0.2">
      <c r="A1669" t="s">
        <v>3891</v>
      </c>
      <c r="B1669" t="s">
        <v>3892</v>
      </c>
      <c r="C1669" t="s">
        <v>3893</v>
      </c>
      <c r="D1669" t="s">
        <v>187</v>
      </c>
    </row>
    <row r="1670" spans="1:4" x14ac:dyDescent="0.2">
      <c r="A1670" t="s">
        <v>3894</v>
      </c>
      <c r="B1670" t="s">
        <v>3895</v>
      </c>
      <c r="C1670" t="s">
        <v>190</v>
      </c>
      <c r="D1670" t="s">
        <v>3896</v>
      </c>
    </row>
    <row r="1671" spans="1:4" x14ac:dyDescent="0.2">
      <c r="A1671" t="s">
        <v>3897</v>
      </c>
      <c r="B1671" t="s">
        <v>3898</v>
      </c>
      <c r="C1671" t="s">
        <v>190</v>
      </c>
      <c r="D1671" t="s">
        <v>191</v>
      </c>
    </row>
    <row r="1672" spans="1:4" x14ac:dyDescent="0.2">
      <c r="A1672" t="s">
        <v>3899</v>
      </c>
      <c r="B1672" t="s">
        <v>3900</v>
      </c>
      <c r="C1672" t="s">
        <v>190</v>
      </c>
      <c r="D1672" t="s">
        <v>191</v>
      </c>
    </row>
    <row r="1673" spans="1:4" x14ac:dyDescent="0.2">
      <c r="A1673" t="s">
        <v>3901</v>
      </c>
      <c r="B1673" t="s">
        <v>3902</v>
      </c>
      <c r="C1673" t="s">
        <v>190</v>
      </c>
      <c r="D1673" t="s">
        <v>191</v>
      </c>
    </row>
    <row r="1674" spans="1:4" x14ac:dyDescent="0.2">
      <c r="A1674" t="s">
        <v>3903</v>
      </c>
      <c r="B1674" t="s">
        <v>3904</v>
      </c>
      <c r="C1674" t="s">
        <v>190</v>
      </c>
      <c r="D1674" t="s">
        <v>191</v>
      </c>
    </row>
    <row r="1675" spans="1:4" x14ac:dyDescent="0.2">
      <c r="A1675" t="s">
        <v>3905</v>
      </c>
      <c r="B1675" t="s">
        <v>3906</v>
      </c>
      <c r="C1675" t="s">
        <v>3907</v>
      </c>
      <c r="D1675" t="s">
        <v>195</v>
      </c>
    </row>
    <row r="1676" spans="1:4" x14ac:dyDescent="0.2">
      <c r="A1676" t="s">
        <v>3908</v>
      </c>
      <c r="B1676" t="s">
        <v>3909</v>
      </c>
      <c r="C1676" t="s">
        <v>190</v>
      </c>
      <c r="D1676" t="s">
        <v>191</v>
      </c>
    </row>
    <row r="1677" spans="1:4" x14ac:dyDescent="0.2">
      <c r="A1677" t="s">
        <v>3910</v>
      </c>
      <c r="B1677" t="s">
        <v>3911</v>
      </c>
      <c r="C1677" t="s">
        <v>190</v>
      </c>
      <c r="D1677" t="s">
        <v>191</v>
      </c>
    </row>
    <row r="1678" spans="1:4" x14ac:dyDescent="0.2">
      <c r="A1678" t="s">
        <v>3912</v>
      </c>
      <c r="B1678" t="s">
        <v>3913</v>
      </c>
      <c r="C1678" t="s">
        <v>190</v>
      </c>
      <c r="D1678" t="s">
        <v>191</v>
      </c>
    </row>
    <row r="1679" spans="1:4" x14ac:dyDescent="0.2">
      <c r="A1679" t="s">
        <v>3914</v>
      </c>
      <c r="B1679" t="s">
        <v>3915</v>
      </c>
      <c r="C1679" t="s">
        <v>190</v>
      </c>
      <c r="D1679" t="s">
        <v>191</v>
      </c>
    </row>
    <row r="1680" spans="1:4" x14ac:dyDescent="0.2">
      <c r="A1680" t="s">
        <v>3916</v>
      </c>
      <c r="B1680" t="s">
        <v>3917</v>
      </c>
      <c r="C1680" t="s">
        <v>3918</v>
      </c>
      <c r="D1680" t="s">
        <v>187</v>
      </c>
    </row>
    <row r="1681" spans="1:4" x14ac:dyDescent="0.2">
      <c r="A1681" t="s">
        <v>3916</v>
      </c>
      <c r="B1681" t="s">
        <v>3919</v>
      </c>
      <c r="C1681" t="s">
        <v>190</v>
      </c>
      <c r="D1681" t="s">
        <v>280</v>
      </c>
    </row>
    <row r="1682" spans="1:4" x14ac:dyDescent="0.2">
      <c r="A1682" t="s">
        <v>3920</v>
      </c>
      <c r="B1682" t="s">
        <v>3921</v>
      </c>
      <c r="C1682" t="s">
        <v>190</v>
      </c>
      <c r="D1682" t="s">
        <v>191</v>
      </c>
    </row>
    <row r="1683" spans="1:4" x14ac:dyDescent="0.2">
      <c r="A1683" t="s">
        <v>3922</v>
      </c>
      <c r="B1683" t="s">
        <v>3923</v>
      </c>
      <c r="C1683" t="s">
        <v>3924</v>
      </c>
      <c r="D1683" t="s">
        <v>195</v>
      </c>
    </row>
    <row r="1684" spans="1:4" x14ac:dyDescent="0.2">
      <c r="A1684" t="s">
        <v>3925</v>
      </c>
      <c r="B1684" t="s">
        <v>3926</v>
      </c>
      <c r="C1684" t="s">
        <v>3927</v>
      </c>
      <c r="D1684" t="s">
        <v>187</v>
      </c>
    </row>
    <row r="1685" spans="1:4" x14ac:dyDescent="0.2">
      <c r="A1685" t="s">
        <v>3928</v>
      </c>
      <c r="B1685" t="s">
        <v>3929</v>
      </c>
      <c r="C1685" t="s">
        <v>190</v>
      </c>
      <c r="D1685" t="s">
        <v>191</v>
      </c>
    </row>
    <row r="1686" spans="1:4" x14ac:dyDescent="0.2">
      <c r="A1686" t="s">
        <v>3930</v>
      </c>
      <c r="B1686" t="s">
        <v>3931</v>
      </c>
      <c r="C1686" t="s">
        <v>3932</v>
      </c>
      <c r="D1686" t="s">
        <v>187</v>
      </c>
    </row>
    <row r="1687" spans="1:4" x14ac:dyDescent="0.2">
      <c r="A1687" t="s">
        <v>3933</v>
      </c>
      <c r="B1687" t="s">
        <v>3934</v>
      </c>
      <c r="C1687" t="s">
        <v>190</v>
      </c>
      <c r="D1687" t="s">
        <v>191</v>
      </c>
    </row>
    <row r="1688" spans="1:4" x14ac:dyDescent="0.2">
      <c r="A1688" t="s">
        <v>3935</v>
      </c>
      <c r="B1688" t="s">
        <v>3936</v>
      </c>
      <c r="C1688" t="s">
        <v>190</v>
      </c>
      <c r="D1688" t="s">
        <v>191</v>
      </c>
    </row>
    <row r="1689" spans="1:4" x14ac:dyDescent="0.2">
      <c r="A1689" t="s">
        <v>3937</v>
      </c>
      <c r="B1689" t="s">
        <v>3938</v>
      </c>
      <c r="C1689" t="s">
        <v>190</v>
      </c>
      <c r="D1689" t="s">
        <v>280</v>
      </c>
    </row>
    <row r="1690" spans="1:4" x14ac:dyDescent="0.2">
      <c r="A1690" t="s">
        <v>3937</v>
      </c>
      <c r="B1690" t="s">
        <v>3939</v>
      </c>
      <c r="C1690" t="s">
        <v>3940</v>
      </c>
      <c r="D1690" t="s">
        <v>195</v>
      </c>
    </row>
    <row r="1691" spans="1:4" x14ac:dyDescent="0.2">
      <c r="A1691" t="s">
        <v>3937</v>
      </c>
      <c r="B1691" t="s">
        <v>3941</v>
      </c>
      <c r="C1691" t="s">
        <v>190</v>
      </c>
      <c r="D1691" t="s">
        <v>280</v>
      </c>
    </row>
    <row r="1692" spans="1:4" x14ac:dyDescent="0.2">
      <c r="A1692" t="s">
        <v>3942</v>
      </c>
      <c r="B1692" t="s">
        <v>3943</v>
      </c>
      <c r="C1692" t="s">
        <v>3944</v>
      </c>
      <c r="D1692" t="s">
        <v>187</v>
      </c>
    </row>
    <row r="1693" spans="1:4" x14ac:dyDescent="0.2">
      <c r="A1693" t="s">
        <v>3945</v>
      </c>
      <c r="B1693" t="s">
        <v>3946</v>
      </c>
      <c r="C1693" t="s">
        <v>3947</v>
      </c>
      <c r="D1693" t="s">
        <v>195</v>
      </c>
    </row>
    <row r="1694" spans="1:4" x14ac:dyDescent="0.2">
      <c r="A1694" t="s">
        <v>3948</v>
      </c>
      <c r="B1694" t="s">
        <v>3949</v>
      </c>
      <c r="C1694" t="s">
        <v>190</v>
      </c>
      <c r="D1694" t="s">
        <v>191</v>
      </c>
    </row>
    <row r="1695" spans="1:4" x14ac:dyDescent="0.2">
      <c r="A1695" t="s">
        <v>3950</v>
      </c>
      <c r="B1695" t="s">
        <v>3951</v>
      </c>
      <c r="C1695" t="s">
        <v>190</v>
      </c>
      <c r="D1695" t="s">
        <v>191</v>
      </c>
    </row>
    <row r="1696" spans="1:4" x14ac:dyDescent="0.2">
      <c r="A1696" t="s">
        <v>3952</v>
      </c>
      <c r="B1696" t="s">
        <v>3953</v>
      </c>
      <c r="C1696" t="s">
        <v>190</v>
      </c>
      <c r="D1696" t="s">
        <v>191</v>
      </c>
    </row>
    <row r="1697" spans="1:4" x14ac:dyDescent="0.2">
      <c r="A1697" t="s">
        <v>3954</v>
      </c>
      <c r="B1697" t="s">
        <v>3955</v>
      </c>
      <c r="C1697" t="s">
        <v>190</v>
      </c>
      <c r="D1697" t="s">
        <v>280</v>
      </c>
    </row>
    <row r="1698" spans="1:4" x14ac:dyDescent="0.2">
      <c r="A1698" t="s">
        <v>3956</v>
      </c>
      <c r="B1698" t="s">
        <v>3957</v>
      </c>
      <c r="C1698" t="s">
        <v>190</v>
      </c>
      <c r="D1698" t="s">
        <v>191</v>
      </c>
    </row>
    <row r="1699" spans="1:4" x14ac:dyDescent="0.2">
      <c r="A1699" t="s">
        <v>3958</v>
      </c>
      <c r="B1699" t="s">
        <v>3959</v>
      </c>
      <c r="C1699" t="s">
        <v>3960</v>
      </c>
      <c r="D1699" t="s">
        <v>187</v>
      </c>
    </row>
    <row r="1700" spans="1:4" x14ac:dyDescent="0.2">
      <c r="A1700" t="s">
        <v>3961</v>
      </c>
      <c r="B1700" t="s">
        <v>3962</v>
      </c>
      <c r="C1700" t="s">
        <v>3963</v>
      </c>
      <c r="D1700" t="s">
        <v>195</v>
      </c>
    </row>
    <row r="1701" spans="1:4" x14ac:dyDescent="0.2">
      <c r="A1701" t="s">
        <v>3964</v>
      </c>
      <c r="B1701" t="s">
        <v>3965</v>
      </c>
      <c r="C1701" t="s">
        <v>190</v>
      </c>
      <c r="D1701" t="s">
        <v>191</v>
      </c>
    </row>
    <row r="1702" spans="1:4" x14ac:dyDescent="0.2">
      <c r="A1702" t="s">
        <v>3966</v>
      </c>
      <c r="B1702" t="s">
        <v>3967</v>
      </c>
      <c r="C1702" t="s">
        <v>3968</v>
      </c>
      <c r="D1702" t="s">
        <v>187</v>
      </c>
    </row>
    <row r="1703" spans="1:4" x14ac:dyDescent="0.2">
      <c r="A1703" t="s">
        <v>3969</v>
      </c>
      <c r="B1703" t="s">
        <v>3970</v>
      </c>
      <c r="C1703" t="s">
        <v>3971</v>
      </c>
      <c r="D1703" t="s">
        <v>195</v>
      </c>
    </row>
    <row r="1704" spans="1:4" x14ac:dyDescent="0.2">
      <c r="A1704" t="s">
        <v>3972</v>
      </c>
      <c r="B1704" t="s">
        <v>3973</v>
      </c>
      <c r="C1704" t="s">
        <v>190</v>
      </c>
      <c r="D1704" t="s">
        <v>191</v>
      </c>
    </row>
    <row r="1705" spans="1:4" x14ac:dyDescent="0.2">
      <c r="A1705" t="s">
        <v>3974</v>
      </c>
      <c r="B1705" t="s">
        <v>3975</v>
      </c>
      <c r="C1705" t="s">
        <v>3976</v>
      </c>
      <c r="D1705" t="s">
        <v>195</v>
      </c>
    </row>
    <row r="1706" spans="1:4" x14ac:dyDescent="0.2">
      <c r="A1706" t="s">
        <v>3977</v>
      </c>
      <c r="B1706" t="s">
        <v>3978</v>
      </c>
      <c r="C1706" t="s">
        <v>190</v>
      </c>
      <c r="D1706" t="s">
        <v>3979</v>
      </c>
    </row>
    <row r="1707" spans="1:4" x14ac:dyDescent="0.2">
      <c r="A1707" t="s">
        <v>3977</v>
      </c>
      <c r="B1707" t="s">
        <v>3980</v>
      </c>
      <c r="C1707" t="s">
        <v>190</v>
      </c>
      <c r="D1707" t="s">
        <v>3979</v>
      </c>
    </row>
    <row r="1708" spans="1:4" x14ac:dyDescent="0.2">
      <c r="A1708" t="s">
        <v>3981</v>
      </c>
      <c r="B1708" t="s">
        <v>3982</v>
      </c>
      <c r="C1708" t="s">
        <v>190</v>
      </c>
      <c r="D1708" t="s">
        <v>191</v>
      </c>
    </row>
    <row r="1709" spans="1:4" x14ac:dyDescent="0.2">
      <c r="A1709" t="s">
        <v>3983</v>
      </c>
      <c r="B1709" t="s">
        <v>3984</v>
      </c>
      <c r="C1709" t="s">
        <v>190</v>
      </c>
      <c r="D1709" t="s">
        <v>191</v>
      </c>
    </row>
    <row r="1710" spans="1:4" x14ac:dyDescent="0.2">
      <c r="A1710" t="s">
        <v>3985</v>
      </c>
      <c r="B1710" t="s">
        <v>3986</v>
      </c>
      <c r="C1710" t="s">
        <v>190</v>
      </c>
      <c r="D1710" t="s">
        <v>191</v>
      </c>
    </row>
    <row r="1711" spans="1:4" x14ac:dyDescent="0.2">
      <c r="A1711" t="s">
        <v>3987</v>
      </c>
      <c r="B1711" t="s">
        <v>3988</v>
      </c>
      <c r="C1711" t="s">
        <v>190</v>
      </c>
      <c r="D1711" t="s">
        <v>191</v>
      </c>
    </row>
    <row r="1712" spans="1:4" x14ac:dyDescent="0.2">
      <c r="A1712" t="s">
        <v>3989</v>
      </c>
      <c r="B1712" t="s">
        <v>3990</v>
      </c>
      <c r="C1712" t="s">
        <v>3991</v>
      </c>
      <c r="D1712" t="s">
        <v>195</v>
      </c>
    </row>
    <row r="1713" spans="1:4" x14ac:dyDescent="0.2">
      <c r="A1713" t="s">
        <v>3992</v>
      </c>
      <c r="B1713" t="s">
        <v>3993</v>
      </c>
      <c r="C1713" t="s">
        <v>190</v>
      </c>
      <c r="D1713" t="s">
        <v>191</v>
      </c>
    </row>
    <row r="1714" spans="1:4" x14ac:dyDescent="0.2">
      <c r="A1714" t="s">
        <v>3994</v>
      </c>
      <c r="B1714" t="s">
        <v>3995</v>
      </c>
      <c r="C1714" t="s">
        <v>3996</v>
      </c>
      <c r="D1714" t="s">
        <v>187</v>
      </c>
    </row>
    <row r="1715" spans="1:4" x14ac:dyDescent="0.2">
      <c r="A1715" t="s">
        <v>3997</v>
      </c>
      <c r="B1715" t="s">
        <v>3998</v>
      </c>
      <c r="C1715" t="s">
        <v>3999</v>
      </c>
      <c r="D1715" t="s">
        <v>195</v>
      </c>
    </row>
    <row r="1716" spans="1:4" x14ac:dyDescent="0.2">
      <c r="A1716" t="s">
        <v>4000</v>
      </c>
      <c r="B1716" t="s">
        <v>4001</v>
      </c>
      <c r="C1716" t="s">
        <v>190</v>
      </c>
      <c r="D1716" t="s">
        <v>191</v>
      </c>
    </row>
    <row r="1717" spans="1:4" x14ac:dyDescent="0.2">
      <c r="A1717" t="s">
        <v>4002</v>
      </c>
      <c r="B1717" t="s">
        <v>4003</v>
      </c>
      <c r="C1717" t="s">
        <v>4004</v>
      </c>
      <c r="D1717" t="s">
        <v>187</v>
      </c>
    </row>
    <row r="1718" spans="1:4" x14ac:dyDescent="0.2">
      <c r="A1718" t="s">
        <v>4005</v>
      </c>
      <c r="B1718" t="s">
        <v>4006</v>
      </c>
      <c r="C1718" t="s">
        <v>190</v>
      </c>
      <c r="D1718" t="s">
        <v>4007</v>
      </c>
    </row>
    <row r="1719" spans="1:4" x14ac:dyDescent="0.2">
      <c r="A1719" t="s">
        <v>4005</v>
      </c>
      <c r="B1719" t="s">
        <v>4008</v>
      </c>
      <c r="C1719" t="s">
        <v>190</v>
      </c>
      <c r="D1719" t="s">
        <v>4009</v>
      </c>
    </row>
    <row r="1720" spans="1:4" x14ac:dyDescent="0.2">
      <c r="A1720" t="s">
        <v>4010</v>
      </c>
      <c r="B1720" t="s">
        <v>4011</v>
      </c>
      <c r="C1720" t="s">
        <v>4012</v>
      </c>
      <c r="D1720" t="s">
        <v>195</v>
      </c>
    </row>
    <row r="1721" spans="1:4" x14ac:dyDescent="0.2">
      <c r="A1721" t="s">
        <v>4013</v>
      </c>
      <c r="B1721" t="s">
        <v>4014</v>
      </c>
      <c r="C1721" t="s">
        <v>4015</v>
      </c>
      <c r="D1721" t="s">
        <v>187</v>
      </c>
    </row>
    <row r="1722" spans="1:4" x14ac:dyDescent="0.2">
      <c r="A1722" t="s">
        <v>4016</v>
      </c>
      <c r="B1722" t="s">
        <v>4017</v>
      </c>
      <c r="C1722" t="s">
        <v>190</v>
      </c>
      <c r="D1722" t="s">
        <v>191</v>
      </c>
    </row>
    <row r="1723" spans="1:4" x14ac:dyDescent="0.2">
      <c r="A1723" t="s">
        <v>4018</v>
      </c>
      <c r="B1723" t="s">
        <v>4019</v>
      </c>
      <c r="C1723" t="s">
        <v>190</v>
      </c>
      <c r="D1723" t="s">
        <v>191</v>
      </c>
    </row>
    <row r="1724" spans="1:4" x14ac:dyDescent="0.2">
      <c r="A1724" t="s">
        <v>4020</v>
      </c>
      <c r="B1724" t="s">
        <v>4021</v>
      </c>
      <c r="C1724" t="s">
        <v>190</v>
      </c>
      <c r="D1724" t="s">
        <v>191</v>
      </c>
    </row>
    <row r="1725" spans="1:4" x14ac:dyDescent="0.2">
      <c r="A1725" t="s">
        <v>4022</v>
      </c>
      <c r="B1725" t="s">
        <v>4023</v>
      </c>
      <c r="C1725" t="s">
        <v>4024</v>
      </c>
      <c r="D1725" t="s">
        <v>195</v>
      </c>
    </row>
    <row r="1726" spans="1:4" x14ac:dyDescent="0.2">
      <c r="A1726" t="s">
        <v>4025</v>
      </c>
      <c r="B1726" t="s">
        <v>4026</v>
      </c>
      <c r="C1726" t="s">
        <v>190</v>
      </c>
      <c r="D1726" t="s">
        <v>191</v>
      </c>
    </row>
    <row r="1727" spans="1:4" x14ac:dyDescent="0.2">
      <c r="A1727" t="s">
        <v>4027</v>
      </c>
      <c r="B1727" t="s">
        <v>4028</v>
      </c>
      <c r="C1727" t="s">
        <v>4029</v>
      </c>
      <c r="D1727" t="s">
        <v>187</v>
      </c>
    </row>
    <row r="1728" spans="1:4" x14ac:dyDescent="0.2">
      <c r="A1728" t="s">
        <v>4030</v>
      </c>
      <c r="B1728" t="s">
        <v>4031</v>
      </c>
      <c r="C1728" t="s">
        <v>4032</v>
      </c>
      <c r="D1728" t="s">
        <v>187</v>
      </c>
    </row>
    <row r="1729" spans="1:4" x14ac:dyDescent="0.2">
      <c r="A1729" t="s">
        <v>4033</v>
      </c>
      <c r="B1729" t="s">
        <v>4034</v>
      </c>
      <c r="C1729" t="s">
        <v>190</v>
      </c>
      <c r="D1729" t="s">
        <v>191</v>
      </c>
    </row>
    <row r="1730" spans="1:4" x14ac:dyDescent="0.2">
      <c r="A1730" t="s">
        <v>4035</v>
      </c>
      <c r="B1730" t="s">
        <v>4036</v>
      </c>
      <c r="C1730" t="s">
        <v>4037</v>
      </c>
      <c r="D1730" t="s">
        <v>195</v>
      </c>
    </row>
    <row r="1731" spans="1:4" x14ac:dyDescent="0.2">
      <c r="A1731" t="s">
        <v>4035</v>
      </c>
      <c r="B1731" t="s">
        <v>4038</v>
      </c>
      <c r="C1731" t="s">
        <v>190</v>
      </c>
      <c r="D1731" t="s">
        <v>4039</v>
      </c>
    </row>
    <row r="1732" spans="1:4" x14ac:dyDescent="0.2">
      <c r="A1732" t="s">
        <v>4040</v>
      </c>
      <c r="B1732" t="s">
        <v>4041</v>
      </c>
      <c r="C1732" t="s">
        <v>4042</v>
      </c>
      <c r="D1732" t="s">
        <v>195</v>
      </c>
    </row>
    <row r="1733" spans="1:4" x14ac:dyDescent="0.2">
      <c r="A1733" t="s">
        <v>4043</v>
      </c>
      <c r="B1733" t="s">
        <v>4044</v>
      </c>
      <c r="C1733" t="s">
        <v>190</v>
      </c>
      <c r="D1733" t="s">
        <v>191</v>
      </c>
    </row>
    <row r="1734" spans="1:4" x14ac:dyDescent="0.2">
      <c r="A1734" t="s">
        <v>4045</v>
      </c>
      <c r="B1734" t="s">
        <v>4046</v>
      </c>
      <c r="C1734" t="s">
        <v>190</v>
      </c>
      <c r="D1734" t="s">
        <v>191</v>
      </c>
    </row>
    <row r="1735" spans="1:4" x14ac:dyDescent="0.2">
      <c r="A1735" t="s">
        <v>4047</v>
      </c>
      <c r="B1735" t="s">
        <v>4048</v>
      </c>
      <c r="C1735" t="s">
        <v>190</v>
      </c>
      <c r="D1735" t="s">
        <v>191</v>
      </c>
    </row>
    <row r="1736" spans="1:4" x14ac:dyDescent="0.2">
      <c r="A1736" t="s">
        <v>4049</v>
      </c>
      <c r="B1736" t="s">
        <v>4050</v>
      </c>
      <c r="C1736" t="s">
        <v>4051</v>
      </c>
      <c r="D1736" t="s">
        <v>187</v>
      </c>
    </row>
    <row r="1737" spans="1:4" x14ac:dyDescent="0.2">
      <c r="A1737" t="s">
        <v>4052</v>
      </c>
      <c r="B1737" t="s">
        <v>4053</v>
      </c>
      <c r="C1737" t="s">
        <v>190</v>
      </c>
      <c r="D1737" t="s">
        <v>191</v>
      </c>
    </row>
    <row r="1738" spans="1:4" x14ac:dyDescent="0.2">
      <c r="A1738" t="s">
        <v>4054</v>
      </c>
      <c r="B1738" t="s">
        <v>4055</v>
      </c>
      <c r="C1738" t="s">
        <v>190</v>
      </c>
      <c r="D1738" t="s">
        <v>191</v>
      </c>
    </row>
    <row r="1739" spans="1:4" x14ac:dyDescent="0.2">
      <c r="A1739" t="s">
        <v>4056</v>
      </c>
      <c r="B1739" t="s">
        <v>4057</v>
      </c>
      <c r="C1739" t="s">
        <v>4058</v>
      </c>
      <c r="D1739" t="s">
        <v>195</v>
      </c>
    </row>
    <row r="1740" spans="1:4" x14ac:dyDescent="0.2">
      <c r="A1740" t="s">
        <v>4059</v>
      </c>
      <c r="B1740" t="s">
        <v>4060</v>
      </c>
      <c r="C1740" t="s">
        <v>190</v>
      </c>
      <c r="D1740" t="s">
        <v>191</v>
      </c>
    </row>
    <row r="1741" spans="1:4" x14ac:dyDescent="0.2">
      <c r="A1741" t="s">
        <v>4061</v>
      </c>
      <c r="B1741" t="s">
        <v>4062</v>
      </c>
      <c r="C1741" t="s">
        <v>4063</v>
      </c>
      <c r="D1741" t="s">
        <v>187</v>
      </c>
    </row>
    <row r="1742" spans="1:4" x14ac:dyDescent="0.2">
      <c r="A1742" t="s">
        <v>4064</v>
      </c>
      <c r="B1742" t="s">
        <v>4065</v>
      </c>
      <c r="C1742" t="s">
        <v>190</v>
      </c>
      <c r="D1742" t="s">
        <v>191</v>
      </c>
    </row>
    <row r="1743" spans="1:4" x14ac:dyDescent="0.2">
      <c r="A1743" t="s">
        <v>4066</v>
      </c>
      <c r="B1743" t="s">
        <v>4067</v>
      </c>
      <c r="C1743" t="s">
        <v>190</v>
      </c>
      <c r="D1743" t="s">
        <v>191</v>
      </c>
    </row>
    <row r="1744" spans="1:4" x14ac:dyDescent="0.2">
      <c r="A1744" t="s">
        <v>4068</v>
      </c>
      <c r="B1744" t="s">
        <v>4069</v>
      </c>
      <c r="C1744" t="s">
        <v>190</v>
      </c>
      <c r="D1744" t="s">
        <v>191</v>
      </c>
    </row>
    <row r="1745" spans="1:4" x14ac:dyDescent="0.2">
      <c r="A1745" t="s">
        <v>4070</v>
      </c>
      <c r="B1745" t="s">
        <v>4071</v>
      </c>
      <c r="C1745" t="s">
        <v>4072</v>
      </c>
      <c r="D1745" t="s">
        <v>187</v>
      </c>
    </row>
    <row r="1746" spans="1:4" x14ac:dyDescent="0.2">
      <c r="A1746" t="s">
        <v>4073</v>
      </c>
      <c r="B1746" t="s">
        <v>4074</v>
      </c>
      <c r="C1746" t="s">
        <v>4075</v>
      </c>
      <c r="D1746" t="s">
        <v>187</v>
      </c>
    </row>
    <row r="1747" spans="1:4" x14ac:dyDescent="0.2">
      <c r="A1747" t="s">
        <v>4076</v>
      </c>
      <c r="B1747" t="s">
        <v>4077</v>
      </c>
      <c r="C1747" t="s">
        <v>190</v>
      </c>
      <c r="D1747" t="s">
        <v>191</v>
      </c>
    </row>
    <row r="1748" spans="1:4" x14ac:dyDescent="0.2">
      <c r="A1748" t="s">
        <v>4078</v>
      </c>
      <c r="B1748" t="s">
        <v>4079</v>
      </c>
      <c r="C1748" t="s">
        <v>4080</v>
      </c>
      <c r="D1748" t="s">
        <v>195</v>
      </c>
    </row>
    <row r="1749" spans="1:4" x14ac:dyDescent="0.2">
      <c r="A1749" t="s">
        <v>4081</v>
      </c>
      <c r="B1749" t="s">
        <v>4082</v>
      </c>
      <c r="C1749" t="s">
        <v>4083</v>
      </c>
      <c r="D1749" t="s">
        <v>195</v>
      </c>
    </row>
    <row r="1750" spans="1:4" x14ac:dyDescent="0.2">
      <c r="A1750" t="s">
        <v>4084</v>
      </c>
      <c r="B1750" t="s">
        <v>4085</v>
      </c>
      <c r="C1750" t="s">
        <v>4086</v>
      </c>
      <c r="D1750" t="s">
        <v>187</v>
      </c>
    </row>
    <row r="1751" spans="1:4" x14ac:dyDescent="0.2">
      <c r="A1751" t="s">
        <v>4087</v>
      </c>
      <c r="B1751" t="s">
        <v>4088</v>
      </c>
      <c r="C1751" t="s">
        <v>4089</v>
      </c>
      <c r="D1751" t="s">
        <v>187</v>
      </c>
    </row>
    <row r="1752" spans="1:4" x14ac:dyDescent="0.2">
      <c r="A1752" t="s">
        <v>4090</v>
      </c>
      <c r="B1752" t="s">
        <v>4091</v>
      </c>
      <c r="C1752" t="s">
        <v>4092</v>
      </c>
      <c r="D1752" t="s">
        <v>187</v>
      </c>
    </row>
    <row r="1753" spans="1:4" x14ac:dyDescent="0.2">
      <c r="A1753" t="s">
        <v>4093</v>
      </c>
      <c r="B1753" t="s">
        <v>4094</v>
      </c>
      <c r="C1753" t="s">
        <v>190</v>
      </c>
      <c r="D1753" t="s">
        <v>191</v>
      </c>
    </row>
    <row r="1754" spans="1:4" x14ac:dyDescent="0.2">
      <c r="A1754" t="s">
        <v>4095</v>
      </c>
      <c r="B1754" t="s">
        <v>4096</v>
      </c>
      <c r="C1754" t="s">
        <v>190</v>
      </c>
      <c r="D1754" t="s">
        <v>4097</v>
      </c>
    </row>
    <row r="1755" spans="1:4" x14ac:dyDescent="0.2">
      <c r="A1755" t="s">
        <v>4095</v>
      </c>
      <c r="B1755" t="s">
        <v>4098</v>
      </c>
      <c r="C1755" t="s">
        <v>190</v>
      </c>
      <c r="D1755" t="s">
        <v>4099</v>
      </c>
    </row>
    <row r="1756" spans="1:4" x14ac:dyDescent="0.2">
      <c r="A1756" t="s">
        <v>4100</v>
      </c>
      <c r="B1756" t="s">
        <v>4101</v>
      </c>
      <c r="C1756" t="s">
        <v>190</v>
      </c>
      <c r="D1756" t="s">
        <v>191</v>
      </c>
    </row>
    <row r="1757" spans="1:4" x14ac:dyDescent="0.2">
      <c r="A1757" t="s">
        <v>4102</v>
      </c>
      <c r="B1757" t="s">
        <v>4103</v>
      </c>
      <c r="C1757" t="s">
        <v>4104</v>
      </c>
      <c r="D1757" t="s">
        <v>195</v>
      </c>
    </row>
    <row r="1758" spans="1:4" x14ac:dyDescent="0.2">
      <c r="A1758" t="s">
        <v>4105</v>
      </c>
      <c r="B1758" t="s">
        <v>4106</v>
      </c>
      <c r="C1758" t="s">
        <v>4107</v>
      </c>
      <c r="D1758" t="s">
        <v>195</v>
      </c>
    </row>
    <row r="1759" spans="1:4" x14ac:dyDescent="0.2">
      <c r="A1759" t="s">
        <v>4108</v>
      </c>
      <c r="B1759" t="s">
        <v>4109</v>
      </c>
      <c r="C1759" t="s">
        <v>190</v>
      </c>
      <c r="D1759" t="s">
        <v>191</v>
      </c>
    </row>
    <row r="1760" spans="1:4" x14ac:dyDescent="0.2">
      <c r="A1760" t="s">
        <v>4110</v>
      </c>
      <c r="B1760" t="s">
        <v>4111</v>
      </c>
      <c r="C1760" t="s">
        <v>4112</v>
      </c>
      <c r="D1760" t="s">
        <v>195</v>
      </c>
    </row>
    <row r="1761" spans="1:4" x14ac:dyDescent="0.2">
      <c r="A1761" t="s">
        <v>4113</v>
      </c>
      <c r="B1761" t="s">
        <v>4114</v>
      </c>
      <c r="C1761" t="s">
        <v>190</v>
      </c>
      <c r="D1761" t="s">
        <v>191</v>
      </c>
    </row>
    <row r="1762" spans="1:4" x14ac:dyDescent="0.2">
      <c r="A1762" t="s">
        <v>4115</v>
      </c>
      <c r="B1762" t="s">
        <v>4116</v>
      </c>
      <c r="C1762" t="s">
        <v>190</v>
      </c>
      <c r="D1762" t="s">
        <v>280</v>
      </c>
    </row>
    <row r="1763" spans="1:4" x14ac:dyDescent="0.2">
      <c r="A1763" t="s">
        <v>4117</v>
      </c>
      <c r="B1763" t="s">
        <v>4118</v>
      </c>
      <c r="C1763" t="s">
        <v>190</v>
      </c>
      <c r="D1763" t="s">
        <v>191</v>
      </c>
    </row>
    <row r="1764" spans="1:4" x14ac:dyDescent="0.2">
      <c r="A1764" t="s">
        <v>4119</v>
      </c>
      <c r="B1764" t="s">
        <v>4120</v>
      </c>
      <c r="C1764" t="s">
        <v>190</v>
      </c>
      <c r="D1764" t="s">
        <v>191</v>
      </c>
    </row>
    <row r="1765" spans="1:4" x14ac:dyDescent="0.2">
      <c r="A1765" t="s">
        <v>4121</v>
      </c>
      <c r="B1765" t="s">
        <v>4122</v>
      </c>
      <c r="C1765" t="s">
        <v>4123</v>
      </c>
      <c r="D1765" t="s">
        <v>195</v>
      </c>
    </row>
    <row r="1766" spans="1:4" x14ac:dyDescent="0.2">
      <c r="A1766" t="s">
        <v>4124</v>
      </c>
      <c r="B1766" t="s">
        <v>4125</v>
      </c>
      <c r="C1766" t="s">
        <v>190</v>
      </c>
      <c r="D1766" t="s">
        <v>191</v>
      </c>
    </row>
    <row r="1767" spans="1:4" x14ac:dyDescent="0.2">
      <c r="A1767" t="s">
        <v>4126</v>
      </c>
      <c r="B1767" t="s">
        <v>4127</v>
      </c>
      <c r="C1767" t="s">
        <v>190</v>
      </c>
      <c r="D1767" t="s">
        <v>191</v>
      </c>
    </row>
    <row r="1768" spans="1:4" x14ac:dyDescent="0.2">
      <c r="A1768" t="s">
        <v>4128</v>
      </c>
      <c r="B1768" t="s">
        <v>4129</v>
      </c>
      <c r="C1768" t="s">
        <v>4130</v>
      </c>
      <c r="D1768" t="s">
        <v>195</v>
      </c>
    </row>
    <row r="1769" spans="1:4" x14ac:dyDescent="0.2">
      <c r="A1769" t="s">
        <v>4131</v>
      </c>
      <c r="B1769" t="s">
        <v>4132</v>
      </c>
      <c r="C1769" t="s">
        <v>190</v>
      </c>
      <c r="D1769" t="s">
        <v>191</v>
      </c>
    </row>
    <row r="1770" spans="1:4" x14ac:dyDescent="0.2">
      <c r="A1770" t="s">
        <v>4133</v>
      </c>
      <c r="B1770" t="s">
        <v>4134</v>
      </c>
      <c r="C1770" t="s">
        <v>190</v>
      </c>
      <c r="D1770" t="s">
        <v>191</v>
      </c>
    </row>
    <row r="1771" spans="1:4" x14ac:dyDescent="0.2">
      <c r="A1771" t="s">
        <v>4135</v>
      </c>
      <c r="B1771" t="s">
        <v>4136</v>
      </c>
      <c r="C1771" t="s">
        <v>4137</v>
      </c>
      <c r="D1771" t="s">
        <v>195</v>
      </c>
    </row>
    <row r="1772" spans="1:4" x14ac:dyDescent="0.2">
      <c r="A1772" t="s">
        <v>4138</v>
      </c>
      <c r="B1772" t="s">
        <v>4139</v>
      </c>
      <c r="C1772" t="s">
        <v>4140</v>
      </c>
      <c r="D1772" t="s">
        <v>187</v>
      </c>
    </row>
    <row r="1773" spans="1:4" x14ac:dyDescent="0.2">
      <c r="A1773" t="s">
        <v>4141</v>
      </c>
      <c r="B1773" t="s">
        <v>4142</v>
      </c>
      <c r="C1773" t="s">
        <v>190</v>
      </c>
      <c r="D1773" t="s">
        <v>191</v>
      </c>
    </row>
    <row r="1774" spans="1:4" x14ac:dyDescent="0.2">
      <c r="A1774" t="s">
        <v>4143</v>
      </c>
      <c r="B1774" t="s">
        <v>4144</v>
      </c>
      <c r="C1774" t="s">
        <v>4145</v>
      </c>
      <c r="D1774" t="s">
        <v>195</v>
      </c>
    </row>
    <row r="1775" spans="1:4" x14ac:dyDescent="0.2">
      <c r="A1775" t="s">
        <v>4146</v>
      </c>
      <c r="B1775" t="s">
        <v>4147</v>
      </c>
      <c r="C1775" t="s">
        <v>4148</v>
      </c>
      <c r="D1775" t="s">
        <v>195</v>
      </c>
    </row>
    <row r="1776" spans="1:4" x14ac:dyDescent="0.2">
      <c r="A1776" t="s">
        <v>4149</v>
      </c>
      <c r="B1776" t="s">
        <v>4150</v>
      </c>
      <c r="C1776" t="s">
        <v>190</v>
      </c>
      <c r="D1776" t="s">
        <v>191</v>
      </c>
    </row>
    <row r="1777" spans="1:4" x14ac:dyDescent="0.2">
      <c r="A1777" t="s">
        <v>4151</v>
      </c>
      <c r="B1777" t="s">
        <v>4152</v>
      </c>
      <c r="C1777" t="s">
        <v>190</v>
      </c>
      <c r="D1777" t="s">
        <v>191</v>
      </c>
    </row>
    <row r="1778" spans="1:4" x14ac:dyDescent="0.2">
      <c r="A1778" t="s">
        <v>4153</v>
      </c>
      <c r="B1778" t="s">
        <v>4154</v>
      </c>
      <c r="C1778" t="s">
        <v>190</v>
      </c>
      <c r="D1778" t="s">
        <v>191</v>
      </c>
    </row>
    <row r="1779" spans="1:4" x14ac:dyDescent="0.2">
      <c r="A1779" t="s">
        <v>4155</v>
      </c>
      <c r="B1779" t="s">
        <v>4156</v>
      </c>
      <c r="C1779" t="s">
        <v>190</v>
      </c>
      <c r="D1779" t="s">
        <v>191</v>
      </c>
    </row>
    <row r="1780" spans="1:4" x14ac:dyDescent="0.2">
      <c r="A1780" t="s">
        <v>4157</v>
      </c>
      <c r="B1780" t="s">
        <v>4158</v>
      </c>
      <c r="C1780" t="s">
        <v>4159</v>
      </c>
      <c r="D1780" t="s">
        <v>195</v>
      </c>
    </row>
    <row r="1781" spans="1:4" x14ac:dyDescent="0.2">
      <c r="A1781" t="s">
        <v>4160</v>
      </c>
      <c r="B1781" t="s">
        <v>4161</v>
      </c>
      <c r="C1781" t="s">
        <v>190</v>
      </c>
      <c r="D1781" t="s">
        <v>191</v>
      </c>
    </row>
    <row r="1782" spans="1:4" x14ac:dyDescent="0.2">
      <c r="A1782" t="s">
        <v>4160</v>
      </c>
      <c r="B1782" t="s">
        <v>4162</v>
      </c>
      <c r="C1782" t="s">
        <v>190</v>
      </c>
      <c r="D1782" t="s">
        <v>191</v>
      </c>
    </row>
    <row r="1783" spans="1:4" x14ac:dyDescent="0.2">
      <c r="A1783" t="s">
        <v>4160</v>
      </c>
      <c r="B1783" t="s">
        <v>4163</v>
      </c>
      <c r="C1783" t="s">
        <v>190</v>
      </c>
      <c r="D1783" t="s">
        <v>191</v>
      </c>
    </row>
    <row r="1784" spans="1:4" x14ac:dyDescent="0.2">
      <c r="A1784" t="s">
        <v>4164</v>
      </c>
      <c r="B1784" t="s">
        <v>4165</v>
      </c>
      <c r="C1784" t="s">
        <v>4166</v>
      </c>
      <c r="D1784" t="s">
        <v>195</v>
      </c>
    </row>
    <row r="1785" spans="1:4" x14ac:dyDescent="0.2">
      <c r="A1785" t="s">
        <v>4164</v>
      </c>
      <c r="B1785" t="s">
        <v>4167</v>
      </c>
      <c r="C1785" t="s">
        <v>4168</v>
      </c>
      <c r="D1785" t="s">
        <v>195</v>
      </c>
    </row>
    <row r="1786" spans="1:4" x14ac:dyDescent="0.2">
      <c r="A1786" t="s">
        <v>4164</v>
      </c>
      <c r="B1786" t="s">
        <v>4169</v>
      </c>
      <c r="C1786" t="s">
        <v>4170</v>
      </c>
      <c r="D1786" t="s">
        <v>195</v>
      </c>
    </row>
    <row r="1787" spans="1:4" x14ac:dyDescent="0.2">
      <c r="A1787" t="s">
        <v>4171</v>
      </c>
      <c r="B1787" t="s">
        <v>4172</v>
      </c>
      <c r="C1787" t="s">
        <v>190</v>
      </c>
      <c r="D1787" t="s">
        <v>191</v>
      </c>
    </row>
    <row r="1788" spans="1:4" x14ac:dyDescent="0.2">
      <c r="A1788" t="s">
        <v>4171</v>
      </c>
      <c r="B1788" t="s">
        <v>4173</v>
      </c>
      <c r="C1788" t="s">
        <v>190</v>
      </c>
      <c r="D1788" t="s">
        <v>191</v>
      </c>
    </row>
    <row r="1789" spans="1:4" x14ac:dyDescent="0.2">
      <c r="A1789" t="s">
        <v>4174</v>
      </c>
      <c r="B1789" t="s">
        <v>4175</v>
      </c>
      <c r="C1789" t="s">
        <v>190</v>
      </c>
      <c r="D1789" t="s">
        <v>4176</v>
      </c>
    </row>
    <row r="1790" spans="1:4" x14ac:dyDescent="0.2">
      <c r="A1790" t="s">
        <v>4177</v>
      </c>
      <c r="B1790" t="s">
        <v>4178</v>
      </c>
      <c r="C1790" t="s">
        <v>190</v>
      </c>
      <c r="D1790" t="s">
        <v>191</v>
      </c>
    </row>
    <row r="1791" spans="1:4" x14ac:dyDescent="0.2">
      <c r="A1791" t="s">
        <v>4179</v>
      </c>
      <c r="B1791" t="s">
        <v>4180</v>
      </c>
      <c r="C1791" t="s">
        <v>190</v>
      </c>
      <c r="D1791" t="s">
        <v>191</v>
      </c>
    </row>
    <row r="1792" spans="1:4" x14ac:dyDescent="0.2">
      <c r="A1792" t="s">
        <v>4179</v>
      </c>
      <c r="B1792" t="s">
        <v>4181</v>
      </c>
      <c r="C1792" t="s">
        <v>190</v>
      </c>
      <c r="D1792" t="s">
        <v>191</v>
      </c>
    </row>
    <row r="1793" spans="1:4" x14ac:dyDescent="0.2">
      <c r="A1793" t="s">
        <v>4182</v>
      </c>
      <c r="B1793" t="s">
        <v>4183</v>
      </c>
      <c r="C1793" t="s">
        <v>190</v>
      </c>
      <c r="D1793" t="s">
        <v>191</v>
      </c>
    </row>
    <row r="1794" spans="1:4" x14ac:dyDescent="0.2">
      <c r="A1794" t="s">
        <v>4182</v>
      </c>
      <c r="B1794" t="s">
        <v>4184</v>
      </c>
      <c r="C1794" t="s">
        <v>4185</v>
      </c>
      <c r="D1794" t="s">
        <v>195</v>
      </c>
    </row>
    <row r="1795" spans="1:4" x14ac:dyDescent="0.2">
      <c r="A1795" t="s">
        <v>4186</v>
      </c>
      <c r="B1795" t="s">
        <v>4187</v>
      </c>
      <c r="C1795" t="s">
        <v>190</v>
      </c>
      <c r="D1795" t="s">
        <v>191</v>
      </c>
    </row>
    <row r="1796" spans="1:4" x14ac:dyDescent="0.2">
      <c r="A1796" t="s">
        <v>4188</v>
      </c>
      <c r="B1796" t="s">
        <v>4189</v>
      </c>
      <c r="C1796" t="s">
        <v>190</v>
      </c>
      <c r="D1796" t="s">
        <v>191</v>
      </c>
    </row>
    <row r="1797" spans="1:4" x14ac:dyDescent="0.2">
      <c r="A1797" t="s">
        <v>4188</v>
      </c>
      <c r="B1797" t="s">
        <v>4190</v>
      </c>
      <c r="C1797" t="s">
        <v>190</v>
      </c>
      <c r="D1797" t="s">
        <v>191</v>
      </c>
    </row>
    <row r="1798" spans="1:4" x14ac:dyDescent="0.2">
      <c r="A1798" t="s">
        <v>4191</v>
      </c>
      <c r="B1798" t="s">
        <v>4192</v>
      </c>
      <c r="C1798" t="s">
        <v>190</v>
      </c>
      <c r="D1798" t="s">
        <v>191</v>
      </c>
    </row>
    <row r="1799" spans="1:4" x14ac:dyDescent="0.2">
      <c r="A1799" t="s">
        <v>4191</v>
      </c>
      <c r="B1799" t="s">
        <v>4193</v>
      </c>
      <c r="C1799" t="s">
        <v>4194</v>
      </c>
      <c r="D1799" t="s">
        <v>187</v>
      </c>
    </row>
    <row r="1800" spans="1:4" x14ac:dyDescent="0.2">
      <c r="A1800" t="s">
        <v>4195</v>
      </c>
      <c r="B1800" t="s">
        <v>4196</v>
      </c>
      <c r="C1800" t="s">
        <v>190</v>
      </c>
      <c r="D1800" t="s">
        <v>191</v>
      </c>
    </row>
    <row r="1801" spans="1:4" x14ac:dyDescent="0.2">
      <c r="A1801" t="s">
        <v>4197</v>
      </c>
      <c r="B1801" t="s">
        <v>4198</v>
      </c>
      <c r="C1801" t="s">
        <v>190</v>
      </c>
      <c r="D1801" t="s">
        <v>191</v>
      </c>
    </row>
    <row r="1802" spans="1:4" x14ac:dyDescent="0.2">
      <c r="A1802" t="s">
        <v>4197</v>
      </c>
      <c r="B1802" t="s">
        <v>4199</v>
      </c>
      <c r="C1802" t="s">
        <v>190</v>
      </c>
      <c r="D1802" t="s">
        <v>191</v>
      </c>
    </row>
    <row r="1803" spans="1:4" x14ac:dyDescent="0.2">
      <c r="A1803" t="s">
        <v>4197</v>
      </c>
      <c r="B1803" t="s">
        <v>4200</v>
      </c>
      <c r="C1803" t="s">
        <v>190</v>
      </c>
      <c r="D1803" t="s">
        <v>191</v>
      </c>
    </row>
    <row r="1804" spans="1:4" x14ac:dyDescent="0.2">
      <c r="A1804" t="s">
        <v>4201</v>
      </c>
      <c r="B1804" t="s">
        <v>4202</v>
      </c>
      <c r="C1804" t="s">
        <v>190</v>
      </c>
      <c r="D1804" t="s">
        <v>191</v>
      </c>
    </row>
    <row r="1805" spans="1:4" x14ac:dyDescent="0.2">
      <c r="A1805" t="s">
        <v>4203</v>
      </c>
      <c r="B1805" t="s">
        <v>4204</v>
      </c>
      <c r="C1805" t="s">
        <v>190</v>
      </c>
      <c r="D1805" t="s">
        <v>191</v>
      </c>
    </row>
    <row r="1806" spans="1:4" x14ac:dyDescent="0.2">
      <c r="A1806" t="s">
        <v>4203</v>
      </c>
      <c r="B1806" t="s">
        <v>4205</v>
      </c>
      <c r="C1806" t="s">
        <v>190</v>
      </c>
      <c r="D1806" t="s">
        <v>191</v>
      </c>
    </row>
    <row r="1807" spans="1:4" x14ac:dyDescent="0.2">
      <c r="A1807" t="s">
        <v>4206</v>
      </c>
      <c r="B1807" t="s">
        <v>4207</v>
      </c>
      <c r="C1807" t="s">
        <v>190</v>
      </c>
      <c r="D1807" t="s">
        <v>191</v>
      </c>
    </row>
    <row r="1808" spans="1:4" x14ac:dyDescent="0.2">
      <c r="A1808" t="s">
        <v>4206</v>
      </c>
      <c r="B1808" t="s">
        <v>4208</v>
      </c>
      <c r="C1808" t="s">
        <v>190</v>
      </c>
      <c r="D1808" t="s">
        <v>4209</v>
      </c>
    </row>
    <row r="1809" spans="1:4" x14ac:dyDescent="0.2">
      <c r="A1809" t="s">
        <v>4210</v>
      </c>
      <c r="B1809" t="s">
        <v>4211</v>
      </c>
      <c r="C1809" t="s">
        <v>190</v>
      </c>
      <c r="D1809" t="s">
        <v>191</v>
      </c>
    </row>
    <row r="1810" spans="1:4" x14ac:dyDescent="0.2">
      <c r="A1810" t="s">
        <v>4210</v>
      </c>
      <c r="B1810" t="s">
        <v>4212</v>
      </c>
      <c r="C1810" t="s">
        <v>4213</v>
      </c>
      <c r="D1810" t="s">
        <v>187</v>
      </c>
    </row>
    <row r="1811" spans="1:4" x14ac:dyDescent="0.2">
      <c r="A1811" t="s">
        <v>4214</v>
      </c>
      <c r="B1811" t="s">
        <v>4215</v>
      </c>
      <c r="C1811" t="s">
        <v>4216</v>
      </c>
      <c r="D1811" t="s">
        <v>187</v>
      </c>
    </row>
    <row r="1812" spans="1:4" x14ac:dyDescent="0.2">
      <c r="A1812" t="s">
        <v>4217</v>
      </c>
      <c r="B1812" t="s">
        <v>4218</v>
      </c>
      <c r="C1812" t="s">
        <v>4219</v>
      </c>
      <c r="D1812" t="s">
        <v>187</v>
      </c>
    </row>
    <row r="1813" spans="1:4" x14ac:dyDescent="0.2">
      <c r="A1813" t="s">
        <v>4220</v>
      </c>
      <c r="B1813" t="s">
        <v>4221</v>
      </c>
      <c r="C1813" t="s">
        <v>4222</v>
      </c>
      <c r="D1813" t="s">
        <v>187</v>
      </c>
    </row>
    <row r="1814" spans="1:4" x14ac:dyDescent="0.2">
      <c r="A1814" t="s">
        <v>4223</v>
      </c>
      <c r="B1814" t="s">
        <v>4224</v>
      </c>
      <c r="C1814" t="s">
        <v>4225</v>
      </c>
      <c r="D1814" t="s">
        <v>195</v>
      </c>
    </row>
    <row r="1815" spans="1:4" x14ac:dyDescent="0.2">
      <c r="A1815" t="s">
        <v>4226</v>
      </c>
      <c r="B1815" t="s">
        <v>4227</v>
      </c>
      <c r="C1815" t="s">
        <v>190</v>
      </c>
      <c r="D1815" t="s">
        <v>191</v>
      </c>
    </row>
    <row r="1816" spans="1:4" x14ac:dyDescent="0.2">
      <c r="A1816" t="s">
        <v>4226</v>
      </c>
      <c r="B1816" t="s">
        <v>4228</v>
      </c>
      <c r="C1816" t="s">
        <v>190</v>
      </c>
      <c r="D1816" t="s">
        <v>191</v>
      </c>
    </row>
    <row r="1817" spans="1:4" x14ac:dyDescent="0.2">
      <c r="A1817" t="s">
        <v>4229</v>
      </c>
      <c r="B1817" t="s">
        <v>4230</v>
      </c>
      <c r="C1817" t="s">
        <v>4231</v>
      </c>
      <c r="D1817" t="s">
        <v>195</v>
      </c>
    </row>
    <row r="1818" spans="1:4" x14ac:dyDescent="0.2">
      <c r="A1818" t="s">
        <v>4229</v>
      </c>
      <c r="B1818" t="s">
        <v>4232</v>
      </c>
      <c r="C1818" t="s">
        <v>4233</v>
      </c>
      <c r="D1818" t="s">
        <v>195</v>
      </c>
    </row>
    <row r="1819" spans="1:4" x14ac:dyDescent="0.2">
      <c r="A1819" t="s">
        <v>4229</v>
      </c>
      <c r="B1819" t="s">
        <v>4234</v>
      </c>
      <c r="C1819" t="s">
        <v>4235</v>
      </c>
      <c r="D1819" t="s">
        <v>195</v>
      </c>
    </row>
    <row r="1820" spans="1:4" x14ac:dyDescent="0.2">
      <c r="A1820" t="s">
        <v>4236</v>
      </c>
      <c r="B1820" t="s">
        <v>4237</v>
      </c>
      <c r="C1820" t="s">
        <v>4238</v>
      </c>
      <c r="D1820" t="s">
        <v>187</v>
      </c>
    </row>
    <row r="1821" spans="1:4" x14ac:dyDescent="0.2">
      <c r="A1821" t="s">
        <v>4239</v>
      </c>
      <c r="B1821" t="s">
        <v>4240</v>
      </c>
      <c r="C1821" t="s">
        <v>190</v>
      </c>
      <c r="D1821" t="s">
        <v>191</v>
      </c>
    </row>
    <row r="1822" spans="1:4" x14ac:dyDescent="0.2">
      <c r="A1822" t="s">
        <v>4239</v>
      </c>
      <c r="B1822" t="s">
        <v>4241</v>
      </c>
      <c r="C1822" t="s">
        <v>190</v>
      </c>
      <c r="D1822" t="s">
        <v>191</v>
      </c>
    </row>
    <row r="1823" spans="1:4" x14ac:dyDescent="0.2">
      <c r="A1823" t="s">
        <v>4242</v>
      </c>
      <c r="B1823" t="s">
        <v>4243</v>
      </c>
      <c r="C1823" t="s">
        <v>190</v>
      </c>
      <c r="D1823" t="s">
        <v>191</v>
      </c>
    </row>
    <row r="1824" spans="1:4" x14ac:dyDescent="0.2">
      <c r="A1824" t="s">
        <v>4244</v>
      </c>
      <c r="B1824" t="s">
        <v>4245</v>
      </c>
      <c r="C1824" t="s">
        <v>4246</v>
      </c>
      <c r="D1824" t="s">
        <v>195</v>
      </c>
    </row>
    <row r="1825" spans="1:4" x14ac:dyDescent="0.2">
      <c r="A1825" t="s">
        <v>4247</v>
      </c>
      <c r="B1825" t="s">
        <v>4248</v>
      </c>
      <c r="C1825" t="s">
        <v>190</v>
      </c>
      <c r="D1825" t="s">
        <v>191</v>
      </c>
    </row>
    <row r="1826" spans="1:4" x14ac:dyDescent="0.2">
      <c r="A1826" t="s">
        <v>4249</v>
      </c>
      <c r="B1826" t="s">
        <v>4250</v>
      </c>
      <c r="C1826" t="s">
        <v>190</v>
      </c>
      <c r="D1826" t="s">
        <v>191</v>
      </c>
    </row>
    <row r="1827" spans="1:4" x14ac:dyDescent="0.2">
      <c r="A1827" t="s">
        <v>4251</v>
      </c>
      <c r="B1827" t="s">
        <v>4252</v>
      </c>
      <c r="C1827" t="s">
        <v>4253</v>
      </c>
      <c r="D1827" t="s">
        <v>187</v>
      </c>
    </row>
    <row r="1828" spans="1:4" x14ac:dyDescent="0.2">
      <c r="A1828" t="s">
        <v>4254</v>
      </c>
      <c r="B1828" t="s">
        <v>4255</v>
      </c>
      <c r="C1828" t="s">
        <v>4256</v>
      </c>
      <c r="D1828" t="s">
        <v>187</v>
      </c>
    </row>
    <row r="1829" spans="1:4" x14ac:dyDescent="0.2">
      <c r="A1829" t="s">
        <v>4254</v>
      </c>
      <c r="B1829" t="s">
        <v>4243</v>
      </c>
      <c r="C1829" t="s">
        <v>190</v>
      </c>
      <c r="D1829" t="s">
        <v>4257</v>
      </c>
    </row>
    <row r="1830" spans="1:4" x14ac:dyDescent="0.2">
      <c r="A1830" t="s">
        <v>4258</v>
      </c>
      <c r="B1830" t="s">
        <v>4259</v>
      </c>
      <c r="C1830" t="s">
        <v>190</v>
      </c>
      <c r="D1830" t="s">
        <v>4260</v>
      </c>
    </row>
    <row r="1831" spans="1:4" x14ac:dyDescent="0.2">
      <c r="A1831" t="s">
        <v>4261</v>
      </c>
      <c r="B1831" t="s">
        <v>4262</v>
      </c>
      <c r="C1831" t="s">
        <v>190</v>
      </c>
      <c r="D1831" t="s">
        <v>280</v>
      </c>
    </row>
    <row r="1832" spans="1:4" x14ac:dyDescent="0.2">
      <c r="A1832" t="s">
        <v>4261</v>
      </c>
      <c r="B1832" t="s">
        <v>4263</v>
      </c>
      <c r="C1832" t="s">
        <v>190</v>
      </c>
      <c r="D1832" t="s">
        <v>191</v>
      </c>
    </row>
    <row r="1833" spans="1:4" x14ac:dyDescent="0.2">
      <c r="A1833" t="s">
        <v>4264</v>
      </c>
      <c r="B1833" t="s">
        <v>4265</v>
      </c>
      <c r="C1833" t="s">
        <v>190</v>
      </c>
      <c r="D1833" t="s">
        <v>191</v>
      </c>
    </row>
    <row r="1834" spans="1:4" x14ac:dyDescent="0.2">
      <c r="A1834" t="s">
        <v>4264</v>
      </c>
      <c r="B1834" t="s">
        <v>4266</v>
      </c>
      <c r="C1834" t="s">
        <v>190</v>
      </c>
      <c r="D1834" t="s">
        <v>191</v>
      </c>
    </row>
    <row r="1835" spans="1:4" x14ac:dyDescent="0.2">
      <c r="A1835" t="s">
        <v>4264</v>
      </c>
      <c r="B1835" t="s">
        <v>4267</v>
      </c>
      <c r="C1835" t="s">
        <v>190</v>
      </c>
      <c r="D1835" t="s">
        <v>191</v>
      </c>
    </row>
    <row r="1836" spans="1:4" x14ac:dyDescent="0.2">
      <c r="A1836" t="s">
        <v>4268</v>
      </c>
      <c r="B1836" t="s">
        <v>4269</v>
      </c>
      <c r="C1836" t="s">
        <v>190</v>
      </c>
      <c r="D1836" t="s">
        <v>191</v>
      </c>
    </row>
    <row r="1837" spans="1:4" x14ac:dyDescent="0.2">
      <c r="A1837" t="s">
        <v>4270</v>
      </c>
      <c r="B1837" t="s">
        <v>4271</v>
      </c>
      <c r="C1837" t="s">
        <v>190</v>
      </c>
      <c r="D1837" t="s">
        <v>191</v>
      </c>
    </row>
    <row r="1838" spans="1:4" x14ac:dyDescent="0.2">
      <c r="A1838" t="s">
        <v>4272</v>
      </c>
      <c r="B1838" t="s">
        <v>4273</v>
      </c>
      <c r="C1838" t="s">
        <v>190</v>
      </c>
      <c r="D1838" t="s">
        <v>191</v>
      </c>
    </row>
    <row r="1839" spans="1:4" x14ac:dyDescent="0.2">
      <c r="A1839" t="s">
        <v>4272</v>
      </c>
      <c r="B1839" t="s">
        <v>4274</v>
      </c>
      <c r="C1839" t="s">
        <v>190</v>
      </c>
      <c r="D1839" t="s">
        <v>191</v>
      </c>
    </row>
    <row r="1840" spans="1:4" x14ac:dyDescent="0.2">
      <c r="A1840" t="s">
        <v>4275</v>
      </c>
      <c r="B1840" t="s">
        <v>4276</v>
      </c>
      <c r="C1840" t="s">
        <v>190</v>
      </c>
      <c r="D1840" t="s">
        <v>191</v>
      </c>
    </row>
    <row r="1841" spans="1:4" x14ac:dyDescent="0.2">
      <c r="A1841" t="s">
        <v>4275</v>
      </c>
      <c r="B1841" t="s">
        <v>4277</v>
      </c>
      <c r="C1841" t="s">
        <v>190</v>
      </c>
      <c r="D1841" t="s">
        <v>191</v>
      </c>
    </row>
    <row r="1842" spans="1:4" x14ac:dyDescent="0.2">
      <c r="A1842" t="s">
        <v>4278</v>
      </c>
      <c r="B1842" t="s">
        <v>4279</v>
      </c>
      <c r="C1842" t="s">
        <v>4280</v>
      </c>
      <c r="D1842" t="s">
        <v>187</v>
      </c>
    </row>
    <row r="1843" spans="1:4" x14ac:dyDescent="0.2">
      <c r="A1843" t="s">
        <v>4278</v>
      </c>
      <c r="B1843" t="s">
        <v>4281</v>
      </c>
      <c r="C1843" t="s">
        <v>4282</v>
      </c>
      <c r="D1843" t="s">
        <v>187</v>
      </c>
    </row>
    <row r="1844" spans="1:4" x14ac:dyDescent="0.2">
      <c r="A1844" t="s">
        <v>4283</v>
      </c>
      <c r="B1844" t="s">
        <v>4284</v>
      </c>
      <c r="C1844" t="s">
        <v>190</v>
      </c>
      <c r="D1844" t="s">
        <v>280</v>
      </c>
    </row>
    <row r="1845" spans="1:4" x14ac:dyDescent="0.2">
      <c r="A1845" t="s">
        <v>4283</v>
      </c>
      <c r="B1845" t="s">
        <v>4285</v>
      </c>
      <c r="C1845" t="s">
        <v>190</v>
      </c>
      <c r="D1845" t="s">
        <v>191</v>
      </c>
    </row>
    <row r="1846" spans="1:4" x14ac:dyDescent="0.2">
      <c r="A1846" t="s">
        <v>4286</v>
      </c>
      <c r="B1846" t="s">
        <v>4287</v>
      </c>
      <c r="C1846" t="s">
        <v>190</v>
      </c>
      <c r="D1846" t="s">
        <v>191</v>
      </c>
    </row>
    <row r="1847" spans="1:4" x14ac:dyDescent="0.2">
      <c r="A1847" t="s">
        <v>4286</v>
      </c>
      <c r="B1847" t="s">
        <v>4288</v>
      </c>
      <c r="C1847" t="s">
        <v>190</v>
      </c>
      <c r="D1847" t="s">
        <v>4289</v>
      </c>
    </row>
    <row r="1848" spans="1:4" x14ac:dyDescent="0.2">
      <c r="A1848" t="s">
        <v>4286</v>
      </c>
      <c r="B1848" t="s">
        <v>4290</v>
      </c>
      <c r="C1848" t="s">
        <v>190</v>
      </c>
      <c r="D1848" t="s">
        <v>4289</v>
      </c>
    </row>
    <row r="1849" spans="1:4" x14ac:dyDescent="0.2">
      <c r="A1849" t="s">
        <v>4291</v>
      </c>
      <c r="B1849" t="s">
        <v>4292</v>
      </c>
      <c r="C1849" t="s">
        <v>4293</v>
      </c>
      <c r="D1849" t="s">
        <v>195</v>
      </c>
    </row>
    <row r="1850" spans="1:4" x14ac:dyDescent="0.2">
      <c r="A1850" t="s">
        <v>4294</v>
      </c>
      <c r="B1850" t="s">
        <v>4295</v>
      </c>
      <c r="C1850" t="s">
        <v>190</v>
      </c>
      <c r="D1850" t="s">
        <v>191</v>
      </c>
    </row>
    <row r="1851" spans="1:4" x14ac:dyDescent="0.2">
      <c r="A1851" t="s">
        <v>4296</v>
      </c>
      <c r="B1851" t="s">
        <v>4297</v>
      </c>
      <c r="C1851" t="s">
        <v>190</v>
      </c>
      <c r="D1851" t="s">
        <v>191</v>
      </c>
    </row>
    <row r="1852" spans="1:4" x14ac:dyDescent="0.2">
      <c r="A1852" t="s">
        <v>4296</v>
      </c>
      <c r="B1852" t="s">
        <v>4298</v>
      </c>
      <c r="C1852" t="s">
        <v>190</v>
      </c>
      <c r="D1852" t="s">
        <v>191</v>
      </c>
    </row>
    <row r="1853" spans="1:4" x14ac:dyDescent="0.2">
      <c r="A1853" t="s">
        <v>4296</v>
      </c>
      <c r="B1853" t="s">
        <v>4299</v>
      </c>
      <c r="C1853" t="s">
        <v>4300</v>
      </c>
      <c r="D1853" t="s">
        <v>195</v>
      </c>
    </row>
    <row r="1854" spans="1:4" x14ac:dyDescent="0.2">
      <c r="A1854" t="s">
        <v>4296</v>
      </c>
      <c r="B1854" t="s">
        <v>4301</v>
      </c>
      <c r="C1854" t="s">
        <v>190</v>
      </c>
      <c r="D1854" t="s">
        <v>191</v>
      </c>
    </row>
    <row r="1855" spans="1:4" x14ac:dyDescent="0.2">
      <c r="A1855" t="s">
        <v>4296</v>
      </c>
      <c r="B1855" t="s">
        <v>4302</v>
      </c>
      <c r="C1855" t="s">
        <v>190</v>
      </c>
      <c r="D1855" t="s">
        <v>191</v>
      </c>
    </row>
    <row r="1856" spans="1:4" x14ac:dyDescent="0.2">
      <c r="A1856" t="s">
        <v>4303</v>
      </c>
      <c r="B1856" t="s">
        <v>4304</v>
      </c>
      <c r="C1856" t="s">
        <v>190</v>
      </c>
      <c r="D1856" t="s">
        <v>4305</v>
      </c>
    </row>
    <row r="1857" spans="1:4" x14ac:dyDescent="0.2">
      <c r="A1857" t="s">
        <v>4303</v>
      </c>
      <c r="B1857" t="s">
        <v>4306</v>
      </c>
      <c r="C1857" t="s">
        <v>190</v>
      </c>
      <c r="D1857" t="s">
        <v>4305</v>
      </c>
    </row>
    <row r="1858" spans="1:4" x14ac:dyDescent="0.2">
      <c r="A1858" t="s">
        <v>4303</v>
      </c>
      <c r="B1858" t="s">
        <v>4307</v>
      </c>
      <c r="C1858" t="s">
        <v>190</v>
      </c>
      <c r="D1858" t="s">
        <v>280</v>
      </c>
    </row>
    <row r="1859" spans="1:4" x14ac:dyDescent="0.2">
      <c r="A1859" t="s">
        <v>4308</v>
      </c>
      <c r="B1859" t="s">
        <v>4309</v>
      </c>
      <c r="C1859" t="s">
        <v>190</v>
      </c>
      <c r="D1859" t="s">
        <v>4310</v>
      </c>
    </row>
    <row r="1860" spans="1:4" x14ac:dyDescent="0.2">
      <c r="A1860" t="s">
        <v>4308</v>
      </c>
      <c r="B1860" t="s">
        <v>4311</v>
      </c>
      <c r="C1860" t="s">
        <v>190</v>
      </c>
      <c r="D1860" t="s">
        <v>280</v>
      </c>
    </row>
    <row r="1861" spans="1:4" x14ac:dyDescent="0.2">
      <c r="A1861" t="s">
        <v>4308</v>
      </c>
      <c r="B1861" t="s">
        <v>4312</v>
      </c>
      <c r="C1861" t="s">
        <v>190</v>
      </c>
      <c r="D1861" t="s">
        <v>4310</v>
      </c>
    </row>
    <row r="1862" spans="1:4" x14ac:dyDescent="0.2">
      <c r="A1862" t="s">
        <v>4313</v>
      </c>
      <c r="B1862" t="s">
        <v>4314</v>
      </c>
      <c r="C1862" t="s">
        <v>190</v>
      </c>
      <c r="D1862" t="s">
        <v>191</v>
      </c>
    </row>
    <row r="1863" spans="1:4" x14ac:dyDescent="0.2">
      <c r="A1863" t="s">
        <v>4315</v>
      </c>
      <c r="B1863" t="s">
        <v>4316</v>
      </c>
      <c r="C1863" t="s">
        <v>4317</v>
      </c>
      <c r="D1863" t="s">
        <v>195</v>
      </c>
    </row>
    <row r="1864" spans="1:4" x14ac:dyDescent="0.2">
      <c r="A1864" t="s">
        <v>4315</v>
      </c>
      <c r="B1864" t="s">
        <v>4318</v>
      </c>
      <c r="C1864" t="s">
        <v>190</v>
      </c>
      <c r="D1864" t="s">
        <v>191</v>
      </c>
    </row>
    <row r="1865" spans="1:4" x14ac:dyDescent="0.2">
      <c r="A1865" t="s">
        <v>4319</v>
      </c>
      <c r="B1865" t="s">
        <v>4320</v>
      </c>
      <c r="C1865" t="s">
        <v>190</v>
      </c>
      <c r="D1865" t="s">
        <v>191</v>
      </c>
    </row>
    <row r="1866" spans="1:4" x14ac:dyDescent="0.2">
      <c r="A1866" t="s">
        <v>4321</v>
      </c>
      <c r="B1866" t="s">
        <v>4322</v>
      </c>
      <c r="C1866" t="s">
        <v>4323</v>
      </c>
      <c r="D1866" t="s">
        <v>195</v>
      </c>
    </row>
    <row r="1867" spans="1:4" x14ac:dyDescent="0.2">
      <c r="A1867" t="s">
        <v>4324</v>
      </c>
      <c r="B1867" t="s">
        <v>4325</v>
      </c>
      <c r="C1867" t="s">
        <v>4326</v>
      </c>
      <c r="D1867" t="s">
        <v>187</v>
      </c>
    </row>
    <row r="1868" spans="1:4" x14ac:dyDescent="0.2">
      <c r="A1868" t="s">
        <v>4327</v>
      </c>
      <c r="B1868" t="s">
        <v>4328</v>
      </c>
      <c r="C1868" t="s">
        <v>4329</v>
      </c>
      <c r="D1868" t="s">
        <v>187</v>
      </c>
    </row>
    <row r="1869" spans="1:4" x14ac:dyDescent="0.2">
      <c r="A1869" t="s">
        <v>4330</v>
      </c>
      <c r="B1869" t="s">
        <v>4331</v>
      </c>
      <c r="C1869" t="s">
        <v>190</v>
      </c>
      <c r="D1869" t="s">
        <v>191</v>
      </c>
    </row>
    <row r="1870" spans="1:4" x14ac:dyDescent="0.2">
      <c r="A1870" t="s">
        <v>4332</v>
      </c>
      <c r="B1870" t="s">
        <v>4333</v>
      </c>
      <c r="C1870" t="s">
        <v>190</v>
      </c>
      <c r="D1870" t="s">
        <v>4334</v>
      </c>
    </row>
    <row r="1871" spans="1:4" x14ac:dyDescent="0.2">
      <c r="A1871" t="s">
        <v>4332</v>
      </c>
      <c r="B1871" t="s">
        <v>4335</v>
      </c>
      <c r="C1871" t="s">
        <v>4336</v>
      </c>
      <c r="D1871" t="s">
        <v>195</v>
      </c>
    </row>
    <row r="1872" spans="1:4" x14ac:dyDescent="0.2">
      <c r="A1872" t="s">
        <v>4337</v>
      </c>
      <c r="B1872" t="s">
        <v>4338</v>
      </c>
      <c r="C1872" t="s">
        <v>190</v>
      </c>
      <c r="D1872" t="s">
        <v>191</v>
      </c>
    </row>
    <row r="1873" spans="1:4" x14ac:dyDescent="0.2">
      <c r="A1873" t="s">
        <v>4337</v>
      </c>
      <c r="B1873" t="s">
        <v>4339</v>
      </c>
      <c r="C1873" t="s">
        <v>190</v>
      </c>
      <c r="D1873" t="s">
        <v>191</v>
      </c>
    </row>
    <row r="1874" spans="1:4" x14ac:dyDescent="0.2">
      <c r="A1874" t="s">
        <v>4340</v>
      </c>
      <c r="B1874" t="s">
        <v>4341</v>
      </c>
      <c r="C1874" t="s">
        <v>4342</v>
      </c>
      <c r="D1874" t="s">
        <v>187</v>
      </c>
    </row>
    <row r="1875" spans="1:4" x14ac:dyDescent="0.2">
      <c r="A1875" t="s">
        <v>4343</v>
      </c>
      <c r="B1875" t="s">
        <v>4344</v>
      </c>
      <c r="C1875" t="s">
        <v>190</v>
      </c>
      <c r="D1875" t="s">
        <v>191</v>
      </c>
    </row>
    <row r="1876" spans="1:4" x14ac:dyDescent="0.2">
      <c r="A1876" t="s">
        <v>4345</v>
      </c>
      <c r="B1876" t="s">
        <v>4346</v>
      </c>
      <c r="C1876" t="s">
        <v>4347</v>
      </c>
      <c r="D1876" t="s">
        <v>187</v>
      </c>
    </row>
    <row r="1877" spans="1:4" x14ac:dyDescent="0.2">
      <c r="A1877" t="s">
        <v>4348</v>
      </c>
      <c r="B1877" t="s">
        <v>4349</v>
      </c>
      <c r="C1877" t="s">
        <v>190</v>
      </c>
      <c r="D1877" t="s">
        <v>4350</v>
      </c>
    </row>
    <row r="1878" spans="1:4" x14ac:dyDescent="0.2">
      <c r="A1878" t="s">
        <v>4351</v>
      </c>
      <c r="B1878" t="s">
        <v>4352</v>
      </c>
      <c r="C1878" t="s">
        <v>190</v>
      </c>
      <c r="D1878" t="s">
        <v>191</v>
      </c>
    </row>
    <row r="1879" spans="1:4" x14ac:dyDescent="0.2">
      <c r="A1879" t="s">
        <v>4353</v>
      </c>
      <c r="B1879" t="s">
        <v>4354</v>
      </c>
      <c r="C1879" t="s">
        <v>190</v>
      </c>
      <c r="D1879" t="s">
        <v>191</v>
      </c>
    </row>
    <row r="1880" spans="1:4" x14ac:dyDescent="0.2">
      <c r="A1880" t="s">
        <v>4353</v>
      </c>
      <c r="B1880" t="s">
        <v>4355</v>
      </c>
      <c r="C1880" t="s">
        <v>190</v>
      </c>
      <c r="D1880" t="s">
        <v>191</v>
      </c>
    </row>
    <row r="1881" spans="1:4" x14ac:dyDescent="0.2">
      <c r="A1881" t="s">
        <v>4353</v>
      </c>
      <c r="B1881" t="s">
        <v>4356</v>
      </c>
      <c r="C1881" t="s">
        <v>190</v>
      </c>
      <c r="D1881" t="s">
        <v>191</v>
      </c>
    </row>
    <row r="1882" spans="1:4" x14ac:dyDescent="0.2">
      <c r="A1882" t="s">
        <v>4357</v>
      </c>
      <c r="B1882" t="s">
        <v>4358</v>
      </c>
      <c r="C1882" t="s">
        <v>190</v>
      </c>
      <c r="D1882" t="s">
        <v>191</v>
      </c>
    </row>
    <row r="1883" spans="1:4" x14ac:dyDescent="0.2">
      <c r="A1883" t="s">
        <v>4359</v>
      </c>
      <c r="B1883" t="s">
        <v>4360</v>
      </c>
      <c r="C1883" t="s">
        <v>190</v>
      </c>
      <c r="D1883" t="s">
        <v>4361</v>
      </c>
    </row>
    <row r="1884" spans="1:4" x14ac:dyDescent="0.2">
      <c r="A1884" t="s">
        <v>4359</v>
      </c>
      <c r="B1884" t="s">
        <v>4362</v>
      </c>
      <c r="C1884" t="s">
        <v>190</v>
      </c>
      <c r="D1884" t="s">
        <v>4361</v>
      </c>
    </row>
    <row r="1885" spans="1:4" x14ac:dyDescent="0.2">
      <c r="A1885" t="s">
        <v>4359</v>
      </c>
      <c r="B1885" t="s">
        <v>4363</v>
      </c>
      <c r="C1885" t="s">
        <v>190</v>
      </c>
      <c r="D1885" t="s">
        <v>191</v>
      </c>
    </row>
    <row r="1886" spans="1:4" x14ac:dyDescent="0.2">
      <c r="A1886" t="s">
        <v>4359</v>
      </c>
      <c r="B1886" t="s">
        <v>4364</v>
      </c>
      <c r="C1886" t="s">
        <v>190</v>
      </c>
      <c r="D1886" t="s">
        <v>4361</v>
      </c>
    </row>
    <row r="1887" spans="1:4" x14ac:dyDescent="0.2">
      <c r="A1887" t="s">
        <v>4359</v>
      </c>
      <c r="B1887" t="s">
        <v>4365</v>
      </c>
      <c r="C1887" t="s">
        <v>4366</v>
      </c>
      <c r="D1887" t="s">
        <v>195</v>
      </c>
    </row>
    <row r="1888" spans="1:4" x14ac:dyDescent="0.2">
      <c r="A1888" t="s">
        <v>4359</v>
      </c>
      <c r="B1888" t="s">
        <v>4367</v>
      </c>
      <c r="C1888" t="s">
        <v>4368</v>
      </c>
      <c r="D1888" t="s">
        <v>195</v>
      </c>
    </row>
    <row r="1889" spans="1:4" x14ac:dyDescent="0.2">
      <c r="A1889" t="s">
        <v>4369</v>
      </c>
      <c r="B1889" t="s">
        <v>4370</v>
      </c>
      <c r="C1889" t="s">
        <v>190</v>
      </c>
      <c r="D1889" t="s">
        <v>4371</v>
      </c>
    </row>
    <row r="1890" spans="1:4" x14ac:dyDescent="0.2">
      <c r="A1890" t="s">
        <v>4369</v>
      </c>
      <c r="B1890" t="s">
        <v>4372</v>
      </c>
      <c r="C1890" t="s">
        <v>190</v>
      </c>
      <c r="D1890" t="s">
        <v>191</v>
      </c>
    </row>
    <row r="1891" spans="1:4" x14ac:dyDescent="0.2">
      <c r="A1891" t="s">
        <v>4369</v>
      </c>
      <c r="B1891" t="s">
        <v>4333</v>
      </c>
      <c r="C1891" t="s">
        <v>190</v>
      </c>
      <c r="D1891" t="s">
        <v>4334</v>
      </c>
    </row>
    <row r="1892" spans="1:4" x14ac:dyDescent="0.2">
      <c r="A1892" t="s">
        <v>4373</v>
      </c>
      <c r="B1892" t="s">
        <v>4374</v>
      </c>
      <c r="C1892" t="s">
        <v>4375</v>
      </c>
      <c r="D1892" t="s">
        <v>187</v>
      </c>
    </row>
    <row r="1893" spans="1:4" x14ac:dyDescent="0.2">
      <c r="A1893" t="s">
        <v>4376</v>
      </c>
      <c r="B1893" t="s">
        <v>4377</v>
      </c>
      <c r="C1893" t="s">
        <v>190</v>
      </c>
      <c r="D1893" t="s">
        <v>191</v>
      </c>
    </row>
    <row r="1894" spans="1:4" x14ac:dyDescent="0.2">
      <c r="A1894" t="s">
        <v>4378</v>
      </c>
      <c r="B1894" t="s">
        <v>4379</v>
      </c>
      <c r="C1894" t="s">
        <v>190</v>
      </c>
      <c r="D1894" t="s">
        <v>191</v>
      </c>
    </row>
    <row r="1895" spans="1:4" x14ac:dyDescent="0.2">
      <c r="A1895" t="s">
        <v>4380</v>
      </c>
      <c r="B1895" t="s">
        <v>4381</v>
      </c>
      <c r="C1895" t="s">
        <v>190</v>
      </c>
      <c r="D1895" t="s">
        <v>191</v>
      </c>
    </row>
    <row r="1896" spans="1:4" x14ac:dyDescent="0.2">
      <c r="A1896" t="s">
        <v>4382</v>
      </c>
      <c r="B1896" t="s">
        <v>4383</v>
      </c>
      <c r="C1896" t="s">
        <v>190</v>
      </c>
      <c r="D1896" t="s">
        <v>191</v>
      </c>
    </row>
    <row r="1897" spans="1:4" x14ac:dyDescent="0.2">
      <c r="A1897" t="s">
        <v>4384</v>
      </c>
      <c r="B1897" t="s">
        <v>4385</v>
      </c>
      <c r="C1897" t="s">
        <v>190</v>
      </c>
      <c r="D1897" t="s">
        <v>191</v>
      </c>
    </row>
    <row r="1898" spans="1:4" x14ac:dyDescent="0.2">
      <c r="A1898" t="s">
        <v>4386</v>
      </c>
      <c r="B1898" t="s">
        <v>4387</v>
      </c>
      <c r="C1898" t="s">
        <v>190</v>
      </c>
      <c r="D1898" t="s">
        <v>191</v>
      </c>
    </row>
    <row r="1899" spans="1:4" x14ac:dyDescent="0.2">
      <c r="A1899" t="s">
        <v>4388</v>
      </c>
      <c r="B1899" t="s">
        <v>4389</v>
      </c>
      <c r="C1899" t="s">
        <v>190</v>
      </c>
      <c r="D1899" t="s">
        <v>191</v>
      </c>
    </row>
    <row r="1900" spans="1:4" x14ac:dyDescent="0.2">
      <c r="A1900" t="s">
        <v>4390</v>
      </c>
      <c r="B1900" t="s">
        <v>4391</v>
      </c>
      <c r="C1900" t="s">
        <v>4392</v>
      </c>
      <c r="D1900" t="s">
        <v>195</v>
      </c>
    </row>
    <row r="1901" spans="1:4" x14ac:dyDescent="0.2">
      <c r="A1901" t="s">
        <v>4393</v>
      </c>
      <c r="B1901" t="s">
        <v>4394</v>
      </c>
      <c r="C1901" t="s">
        <v>4395</v>
      </c>
      <c r="D1901" t="s">
        <v>195</v>
      </c>
    </row>
    <row r="1902" spans="1:4" x14ac:dyDescent="0.2">
      <c r="A1902" t="s">
        <v>4396</v>
      </c>
      <c r="B1902" t="s">
        <v>4397</v>
      </c>
      <c r="C1902" t="s">
        <v>4398</v>
      </c>
      <c r="D1902" t="s">
        <v>195</v>
      </c>
    </row>
    <row r="1903" spans="1:4" x14ac:dyDescent="0.2">
      <c r="A1903" t="s">
        <v>4399</v>
      </c>
      <c r="B1903" t="s">
        <v>4400</v>
      </c>
      <c r="C1903" t="s">
        <v>4401</v>
      </c>
      <c r="D1903" t="s">
        <v>195</v>
      </c>
    </row>
    <row r="1904" spans="1:4" x14ac:dyDescent="0.2">
      <c r="A1904" t="s">
        <v>4402</v>
      </c>
      <c r="B1904" t="s">
        <v>4403</v>
      </c>
      <c r="C1904" t="s">
        <v>190</v>
      </c>
      <c r="D1904" t="s">
        <v>191</v>
      </c>
    </row>
    <row r="1905" spans="1:4" x14ac:dyDescent="0.2">
      <c r="A1905" t="s">
        <v>4404</v>
      </c>
      <c r="B1905" t="s">
        <v>4405</v>
      </c>
      <c r="C1905" t="s">
        <v>4406</v>
      </c>
      <c r="D1905" t="s">
        <v>187</v>
      </c>
    </row>
    <row r="1906" spans="1:4" x14ac:dyDescent="0.2">
      <c r="A1906" t="s">
        <v>4407</v>
      </c>
      <c r="B1906" t="s">
        <v>4408</v>
      </c>
      <c r="C1906" t="s">
        <v>4409</v>
      </c>
      <c r="D1906" t="s">
        <v>187</v>
      </c>
    </row>
    <row r="1907" spans="1:4" x14ac:dyDescent="0.2">
      <c r="A1907" t="s">
        <v>4410</v>
      </c>
      <c r="B1907" t="s">
        <v>4411</v>
      </c>
      <c r="C1907" t="s">
        <v>190</v>
      </c>
      <c r="D1907" t="s">
        <v>191</v>
      </c>
    </row>
    <row r="1908" spans="1:4" x14ac:dyDescent="0.2">
      <c r="A1908" t="s">
        <v>4412</v>
      </c>
      <c r="B1908" t="s">
        <v>4413</v>
      </c>
      <c r="C1908" t="s">
        <v>4414</v>
      </c>
      <c r="D1908" t="s">
        <v>195</v>
      </c>
    </row>
    <row r="1909" spans="1:4" x14ac:dyDescent="0.2">
      <c r="A1909" t="s">
        <v>4415</v>
      </c>
      <c r="B1909" t="s">
        <v>4416</v>
      </c>
      <c r="C1909" t="s">
        <v>190</v>
      </c>
      <c r="D1909" t="s">
        <v>191</v>
      </c>
    </row>
    <row r="1910" spans="1:4" x14ac:dyDescent="0.2">
      <c r="A1910" t="s">
        <v>4417</v>
      </c>
      <c r="B1910" t="s">
        <v>4418</v>
      </c>
      <c r="C1910" t="s">
        <v>4419</v>
      </c>
      <c r="D1910" t="s">
        <v>187</v>
      </c>
    </row>
    <row r="1911" spans="1:4" x14ac:dyDescent="0.2">
      <c r="A1911" t="s">
        <v>4420</v>
      </c>
      <c r="B1911" t="s">
        <v>4421</v>
      </c>
      <c r="C1911" t="s">
        <v>4422</v>
      </c>
      <c r="D1911" t="s">
        <v>187</v>
      </c>
    </row>
    <row r="1912" spans="1:4" x14ac:dyDescent="0.2">
      <c r="A1912" t="s">
        <v>4423</v>
      </c>
      <c r="B1912" t="s">
        <v>4424</v>
      </c>
      <c r="C1912" t="s">
        <v>190</v>
      </c>
      <c r="D1912" t="s">
        <v>191</v>
      </c>
    </row>
    <row r="1913" spans="1:4" x14ac:dyDescent="0.2">
      <c r="A1913" t="s">
        <v>4423</v>
      </c>
      <c r="B1913" t="s">
        <v>4425</v>
      </c>
      <c r="C1913" t="s">
        <v>190</v>
      </c>
      <c r="D1913" t="s">
        <v>191</v>
      </c>
    </row>
    <row r="1914" spans="1:4" x14ac:dyDescent="0.2">
      <c r="A1914" t="s">
        <v>4426</v>
      </c>
      <c r="B1914" t="s">
        <v>4427</v>
      </c>
      <c r="C1914" t="s">
        <v>190</v>
      </c>
      <c r="D1914" t="s">
        <v>191</v>
      </c>
    </row>
    <row r="1915" spans="1:4" x14ac:dyDescent="0.2">
      <c r="A1915" t="s">
        <v>4428</v>
      </c>
      <c r="B1915" t="s">
        <v>4429</v>
      </c>
      <c r="C1915" t="s">
        <v>190</v>
      </c>
      <c r="D1915" t="s">
        <v>191</v>
      </c>
    </row>
    <row r="1916" spans="1:4" x14ac:dyDescent="0.2">
      <c r="A1916" t="s">
        <v>4430</v>
      </c>
      <c r="B1916" t="s">
        <v>4431</v>
      </c>
      <c r="C1916" t="s">
        <v>190</v>
      </c>
      <c r="D1916" t="s">
        <v>191</v>
      </c>
    </row>
    <row r="1917" spans="1:4" x14ac:dyDescent="0.2">
      <c r="A1917" t="s">
        <v>4432</v>
      </c>
      <c r="B1917" t="s">
        <v>4433</v>
      </c>
      <c r="C1917" t="s">
        <v>190</v>
      </c>
      <c r="D1917" t="s">
        <v>191</v>
      </c>
    </row>
    <row r="1918" spans="1:4" x14ac:dyDescent="0.2">
      <c r="A1918" t="s">
        <v>4434</v>
      </c>
      <c r="B1918" t="s">
        <v>4435</v>
      </c>
      <c r="C1918" t="s">
        <v>190</v>
      </c>
      <c r="D1918" t="s">
        <v>191</v>
      </c>
    </row>
    <row r="1919" spans="1:4" x14ac:dyDescent="0.2">
      <c r="A1919" t="s">
        <v>4434</v>
      </c>
      <c r="B1919" t="s">
        <v>4436</v>
      </c>
      <c r="C1919" t="s">
        <v>190</v>
      </c>
      <c r="D1919" t="s">
        <v>191</v>
      </c>
    </row>
    <row r="1920" spans="1:4" x14ac:dyDescent="0.2">
      <c r="A1920" t="s">
        <v>4434</v>
      </c>
      <c r="B1920" t="s">
        <v>4437</v>
      </c>
      <c r="C1920" t="s">
        <v>190</v>
      </c>
      <c r="D1920" t="s">
        <v>191</v>
      </c>
    </row>
    <row r="1921" spans="1:4" x14ac:dyDescent="0.2">
      <c r="A1921" t="s">
        <v>4434</v>
      </c>
      <c r="B1921" t="s">
        <v>4438</v>
      </c>
      <c r="C1921" t="s">
        <v>190</v>
      </c>
      <c r="D1921" t="s">
        <v>191</v>
      </c>
    </row>
    <row r="1922" spans="1:4" x14ac:dyDescent="0.2">
      <c r="A1922" t="s">
        <v>4434</v>
      </c>
      <c r="B1922" t="s">
        <v>4439</v>
      </c>
      <c r="C1922" t="s">
        <v>190</v>
      </c>
      <c r="D1922" t="s">
        <v>191</v>
      </c>
    </row>
    <row r="1923" spans="1:4" x14ac:dyDescent="0.2">
      <c r="A1923" t="s">
        <v>4440</v>
      </c>
      <c r="B1923" t="s">
        <v>4441</v>
      </c>
      <c r="C1923" t="s">
        <v>190</v>
      </c>
      <c r="D1923" t="s">
        <v>191</v>
      </c>
    </row>
    <row r="1924" spans="1:4" x14ac:dyDescent="0.2">
      <c r="A1924" t="s">
        <v>4442</v>
      </c>
      <c r="B1924" t="s">
        <v>4443</v>
      </c>
      <c r="C1924" t="s">
        <v>4444</v>
      </c>
      <c r="D1924" t="s">
        <v>195</v>
      </c>
    </row>
    <row r="1925" spans="1:4" x14ac:dyDescent="0.2">
      <c r="A1925" t="s">
        <v>4445</v>
      </c>
      <c r="B1925" t="s">
        <v>4446</v>
      </c>
      <c r="C1925" t="s">
        <v>190</v>
      </c>
      <c r="D1925" t="s">
        <v>191</v>
      </c>
    </row>
    <row r="1926" spans="1:4" x14ac:dyDescent="0.2">
      <c r="A1926" t="s">
        <v>4447</v>
      </c>
      <c r="B1926" t="s">
        <v>4448</v>
      </c>
      <c r="C1926" t="s">
        <v>190</v>
      </c>
      <c r="D1926" t="s">
        <v>191</v>
      </c>
    </row>
    <row r="1927" spans="1:4" x14ac:dyDescent="0.2">
      <c r="A1927" t="s">
        <v>4449</v>
      </c>
      <c r="B1927" t="s">
        <v>4450</v>
      </c>
      <c r="C1927" t="s">
        <v>190</v>
      </c>
      <c r="D1927" t="s">
        <v>191</v>
      </c>
    </row>
    <row r="1928" spans="1:4" x14ac:dyDescent="0.2">
      <c r="A1928" t="s">
        <v>4451</v>
      </c>
      <c r="B1928" t="s">
        <v>4452</v>
      </c>
      <c r="C1928" t="s">
        <v>190</v>
      </c>
      <c r="D1928" t="s">
        <v>191</v>
      </c>
    </row>
    <row r="1929" spans="1:4" x14ac:dyDescent="0.2">
      <c r="A1929" t="s">
        <v>4453</v>
      </c>
      <c r="B1929" t="s">
        <v>4454</v>
      </c>
      <c r="C1929" t="s">
        <v>4455</v>
      </c>
      <c r="D1929" t="s">
        <v>195</v>
      </c>
    </row>
    <row r="1930" spans="1:4" x14ac:dyDescent="0.2">
      <c r="A1930" t="s">
        <v>4453</v>
      </c>
      <c r="B1930" t="s">
        <v>4456</v>
      </c>
      <c r="C1930" t="s">
        <v>190</v>
      </c>
      <c r="D1930" t="s">
        <v>4457</v>
      </c>
    </row>
    <row r="1931" spans="1:4" x14ac:dyDescent="0.2">
      <c r="A1931" t="s">
        <v>4458</v>
      </c>
      <c r="B1931" t="s">
        <v>4459</v>
      </c>
      <c r="C1931" t="s">
        <v>4460</v>
      </c>
      <c r="D1931" t="s">
        <v>187</v>
      </c>
    </row>
    <row r="1932" spans="1:4" x14ac:dyDescent="0.2">
      <c r="A1932" t="s">
        <v>4461</v>
      </c>
      <c r="B1932" t="s">
        <v>4462</v>
      </c>
      <c r="C1932" t="s">
        <v>190</v>
      </c>
      <c r="D1932" t="s">
        <v>191</v>
      </c>
    </row>
    <row r="1933" spans="1:4" x14ac:dyDescent="0.2">
      <c r="A1933" t="s">
        <v>4463</v>
      </c>
      <c r="B1933" t="s">
        <v>4464</v>
      </c>
      <c r="C1933" t="s">
        <v>190</v>
      </c>
      <c r="D1933" t="s">
        <v>191</v>
      </c>
    </row>
    <row r="1934" spans="1:4" x14ac:dyDescent="0.2">
      <c r="A1934" t="s">
        <v>4465</v>
      </c>
      <c r="B1934" t="s">
        <v>4466</v>
      </c>
      <c r="C1934" t="s">
        <v>4467</v>
      </c>
      <c r="D1934" t="s">
        <v>195</v>
      </c>
    </row>
    <row r="1935" spans="1:4" x14ac:dyDescent="0.2">
      <c r="A1935" t="s">
        <v>4468</v>
      </c>
      <c r="B1935" t="s">
        <v>4469</v>
      </c>
      <c r="C1935" t="s">
        <v>4470</v>
      </c>
      <c r="D1935" t="s">
        <v>187</v>
      </c>
    </row>
    <row r="1936" spans="1:4" x14ac:dyDescent="0.2">
      <c r="A1936" t="s">
        <v>4471</v>
      </c>
      <c r="B1936" t="s">
        <v>4472</v>
      </c>
      <c r="C1936" t="s">
        <v>190</v>
      </c>
      <c r="D1936" t="s">
        <v>191</v>
      </c>
    </row>
    <row r="1937" spans="1:4" x14ac:dyDescent="0.2">
      <c r="A1937" t="s">
        <v>4473</v>
      </c>
      <c r="B1937" t="s">
        <v>4474</v>
      </c>
      <c r="C1937" t="s">
        <v>190</v>
      </c>
      <c r="D1937" t="s">
        <v>191</v>
      </c>
    </row>
    <row r="1938" spans="1:4" x14ac:dyDescent="0.2">
      <c r="A1938" t="s">
        <v>4475</v>
      </c>
      <c r="B1938" t="s">
        <v>4476</v>
      </c>
      <c r="C1938" t="s">
        <v>4477</v>
      </c>
      <c r="D1938" t="s">
        <v>195</v>
      </c>
    </row>
    <row r="1939" spans="1:4" x14ac:dyDescent="0.2">
      <c r="A1939" t="s">
        <v>4478</v>
      </c>
      <c r="B1939" t="s">
        <v>4479</v>
      </c>
      <c r="C1939" t="s">
        <v>4480</v>
      </c>
      <c r="D1939" t="s">
        <v>195</v>
      </c>
    </row>
    <row r="1940" spans="1:4" x14ac:dyDescent="0.2">
      <c r="A1940" t="s">
        <v>4481</v>
      </c>
      <c r="B1940" t="s">
        <v>4482</v>
      </c>
      <c r="C1940" t="s">
        <v>190</v>
      </c>
      <c r="D1940" t="s">
        <v>191</v>
      </c>
    </row>
    <row r="1941" spans="1:4" x14ac:dyDescent="0.2">
      <c r="A1941" t="s">
        <v>4483</v>
      </c>
      <c r="B1941" t="s">
        <v>4484</v>
      </c>
      <c r="C1941" t="s">
        <v>190</v>
      </c>
      <c r="D1941" t="s">
        <v>191</v>
      </c>
    </row>
    <row r="1942" spans="1:4" x14ac:dyDescent="0.2">
      <c r="A1942" t="s">
        <v>4485</v>
      </c>
      <c r="B1942" t="s">
        <v>4486</v>
      </c>
      <c r="C1942" t="s">
        <v>190</v>
      </c>
      <c r="D1942" t="s">
        <v>191</v>
      </c>
    </row>
    <row r="1943" spans="1:4" x14ac:dyDescent="0.2">
      <c r="A1943" t="s">
        <v>4487</v>
      </c>
      <c r="B1943" t="s">
        <v>4488</v>
      </c>
      <c r="C1943" t="s">
        <v>190</v>
      </c>
      <c r="D1943" t="s">
        <v>191</v>
      </c>
    </row>
    <row r="1944" spans="1:4" x14ac:dyDescent="0.2">
      <c r="A1944" t="s">
        <v>4489</v>
      </c>
      <c r="B1944" t="s">
        <v>4490</v>
      </c>
      <c r="C1944" t="s">
        <v>190</v>
      </c>
      <c r="D1944" t="s">
        <v>191</v>
      </c>
    </row>
    <row r="1945" spans="1:4" x14ac:dyDescent="0.2">
      <c r="A1945" t="s">
        <v>4489</v>
      </c>
      <c r="B1945" t="s">
        <v>4491</v>
      </c>
      <c r="C1945" t="s">
        <v>190</v>
      </c>
      <c r="D1945" t="s">
        <v>191</v>
      </c>
    </row>
    <row r="1946" spans="1:4" x14ac:dyDescent="0.2">
      <c r="A1946" t="s">
        <v>4492</v>
      </c>
      <c r="B1946" t="s">
        <v>4493</v>
      </c>
      <c r="C1946" t="s">
        <v>190</v>
      </c>
      <c r="D1946" t="s">
        <v>191</v>
      </c>
    </row>
    <row r="1947" spans="1:4" x14ac:dyDescent="0.2">
      <c r="A1947" t="s">
        <v>4494</v>
      </c>
      <c r="B1947" t="s">
        <v>4495</v>
      </c>
      <c r="C1947" t="s">
        <v>190</v>
      </c>
      <c r="D1947" t="s">
        <v>191</v>
      </c>
    </row>
    <row r="1948" spans="1:4" x14ac:dyDescent="0.2">
      <c r="A1948" t="s">
        <v>4496</v>
      </c>
      <c r="B1948" t="s">
        <v>4497</v>
      </c>
      <c r="C1948" t="s">
        <v>4498</v>
      </c>
      <c r="D1948" t="s">
        <v>195</v>
      </c>
    </row>
    <row r="1949" spans="1:4" x14ac:dyDescent="0.2">
      <c r="A1949" t="s">
        <v>4499</v>
      </c>
      <c r="B1949" t="s">
        <v>4500</v>
      </c>
      <c r="C1949" t="s">
        <v>190</v>
      </c>
      <c r="D1949" t="s">
        <v>191</v>
      </c>
    </row>
    <row r="1950" spans="1:4" x14ac:dyDescent="0.2">
      <c r="A1950" t="s">
        <v>4501</v>
      </c>
      <c r="B1950" t="s">
        <v>4502</v>
      </c>
      <c r="C1950" t="s">
        <v>4503</v>
      </c>
      <c r="D1950" t="s">
        <v>187</v>
      </c>
    </row>
    <row r="1951" spans="1:4" x14ac:dyDescent="0.2">
      <c r="A1951" t="s">
        <v>4504</v>
      </c>
      <c r="B1951" t="s">
        <v>4505</v>
      </c>
      <c r="C1951" t="s">
        <v>190</v>
      </c>
      <c r="D1951" t="s">
        <v>191</v>
      </c>
    </row>
    <row r="1952" spans="1:4" x14ac:dyDescent="0.2">
      <c r="A1952" t="s">
        <v>4506</v>
      </c>
      <c r="B1952" t="s">
        <v>4507</v>
      </c>
      <c r="C1952" t="s">
        <v>4508</v>
      </c>
      <c r="D1952" t="s">
        <v>187</v>
      </c>
    </row>
    <row r="1953" spans="1:4" x14ac:dyDescent="0.2">
      <c r="A1953" t="s">
        <v>4509</v>
      </c>
      <c r="B1953" t="s">
        <v>4510</v>
      </c>
      <c r="C1953" t="s">
        <v>190</v>
      </c>
      <c r="D1953" t="s">
        <v>191</v>
      </c>
    </row>
    <row r="1954" spans="1:4" x14ac:dyDescent="0.2">
      <c r="A1954" t="s">
        <v>4509</v>
      </c>
      <c r="B1954" t="s">
        <v>4511</v>
      </c>
      <c r="C1954" t="s">
        <v>190</v>
      </c>
      <c r="D1954" t="s">
        <v>4512</v>
      </c>
    </row>
    <row r="1955" spans="1:4" x14ac:dyDescent="0.2">
      <c r="A1955" t="s">
        <v>4509</v>
      </c>
      <c r="B1955" t="s">
        <v>4513</v>
      </c>
      <c r="C1955" t="s">
        <v>190</v>
      </c>
      <c r="D1955" t="s">
        <v>191</v>
      </c>
    </row>
    <row r="1956" spans="1:4" x14ac:dyDescent="0.2">
      <c r="A1956" t="s">
        <v>4514</v>
      </c>
      <c r="B1956" t="s">
        <v>4515</v>
      </c>
      <c r="C1956" t="s">
        <v>4516</v>
      </c>
      <c r="D1956" t="s">
        <v>195</v>
      </c>
    </row>
    <row r="1957" spans="1:4" x14ac:dyDescent="0.2">
      <c r="A1957" t="s">
        <v>4517</v>
      </c>
      <c r="B1957" t="s">
        <v>4518</v>
      </c>
      <c r="C1957" t="s">
        <v>190</v>
      </c>
      <c r="D1957" t="s">
        <v>191</v>
      </c>
    </row>
    <row r="1958" spans="1:4" x14ac:dyDescent="0.2">
      <c r="A1958" t="s">
        <v>4519</v>
      </c>
      <c r="B1958" t="s">
        <v>4520</v>
      </c>
      <c r="C1958" t="s">
        <v>190</v>
      </c>
      <c r="D1958" t="s">
        <v>191</v>
      </c>
    </row>
    <row r="1959" spans="1:4" x14ac:dyDescent="0.2">
      <c r="A1959" t="s">
        <v>4521</v>
      </c>
      <c r="B1959" t="s">
        <v>4522</v>
      </c>
      <c r="C1959" t="s">
        <v>190</v>
      </c>
      <c r="D1959" t="s">
        <v>191</v>
      </c>
    </row>
    <row r="1960" spans="1:4" x14ac:dyDescent="0.2">
      <c r="A1960" t="s">
        <v>4523</v>
      </c>
      <c r="B1960" t="s">
        <v>4524</v>
      </c>
      <c r="C1960" t="s">
        <v>190</v>
      </c>
      <c r="D1960" t="s">
        <v>191</v>
      </c>
    </row>
    <row r="1961" spans="1:4" x14ac:dyDescent="0.2">
      <c r="A1961" t="s">
        <v>4525</v>
      </c>
      <c r="B1961" t="s">
        <v>4526</v>
      </c>
      <c r="C1961" t="s">
        <v>190</v>
      </c>
      <c r="D1961" t="s">
        <v>191</v>
      </c>
    </row>
    <row r="1962" spans="1:4" x14ac:dyDescent="0.2">
      <c r="A1962" t="s">
        <v>4525</v>
      </c>
      <c r="B1962" t="s">
        <v>4524</v>
      </c>
      <c r="C1962" t="s">
        <v>190</v>
      </c>
      <c r="D1962" t="s">
        <v>4527</v>
      </c>
    </row>
    <row r="1963" spans="1:4" x14ac:dyDescent="0.2">
      <c r="A1963" t="s">
        <v>4528</v>
      </c>
      <c r="B1963" t="s">
        <v>4529</v>
      </c>
      <c r="C1963" t="s">
        <v>190</v>
      </c>
      <c r="D1963" t="s">
        <v>191</v>
      </c>
    </row>
    <row r="1964" spans="1:4" x14ac:dyDescent="0.2">
      <c r="A1964" t="s">
        <v>4530</v>
      </c>
      <c r="B1964" t="s">
        <v>4531</v>
      </c>
      <c r="C1964" t="s">
        <v>190</v>
      </c>
      <c r="D1964" t="s">
        <v>4532</v>
      </c>
    </row>
    <row r="1965" spans="1:4" x14ac:dyDescent="0.2">
      <c r="A1965" t="s">
        <v>4530</v>
      </c>
      <c r="B1965" t="s">
        <v>4533</v>
      </c>
      <c r="C1965" t="s">
        <v>4534</v>
      </c>
      <c r="D1965" t="s">
        <v>187</v>
      </c>
    </row>
    <row r="1966" spans="1:4" x14ac:dyDescent="0.2">
      <c r="A1966" t="s">
        <v>4530</v>
      </c>
      <c r="B1966" t="s">
        <v>4535</v>
      </c>
      <c r="C1966" t="s">
        <v>190</v>
      </c>
      <c r="D1966" t="s">
        <v>4536</v>
      </c>
    </row>
    <row r="1967" spans="1:4" x14ac:dyDescent="0.2">
      <c r="A1967" t="s">
        <v>4537</v>
      </c>
      <c r="B1967" t="s">
        <v>4510</v>
      </c>
      <c r="C1967" t="s">
        <v>190</v>
      </c>
      <c r="D1967" t="s">
        <v>4538</v>
      </c>
    </row>
    <row r="1968" spans="1:4" x14ac:dyDescent="0.2">
      <c r="A1968" t="s">
        <v>4537</v>
      </c>
      <c r="B1968" t="s">
        <v>4513</v>
      </c>
      <c r="C1968" t="s">
        <v>190</v>
      </c>
      <c r="D1968" t="s">
        <v>4538</v>
      </c>
    </row>
    <row r="1969" spans="1:4" x14ac:dyDescent="0.2">
      <c r="A1969" t="s">
        <v>4539</v>
      </c>
      <c r="B1969" t="s">
        <v>4540</v>
      </c>
      <c r="C1969" t="s">
        <v>190</v>
      </c>
      <c r="D1969" t="s">
        <v>191</v>
      </c>
    </row>
    <row r="1970" spans="1:4" x14ac:dyDescent="0.2">
      <c r="A1970" t="s">
        <v>4541</v>
      </c>
      <c r="B1970" t="s">
        <v>4542</v>
      </c>
      <c r="C1970" t="s">
        <v>190</v>
      </c>
      <c r="D1970" t="s">
        <v>191</v>
      </c>
    </row>
    <row r="1971" spans="1:4" x14ac:dyDescent="0.2">
      <c r="A1971" t="s">
        <v>4543</v>
      </c>
      <c r="B1971" t="s">
        <v>4544</v>
      </c>
      <c r="C1971" t="s">
        <v>4545</v>
      </c>
      <c r="D1971" t="s">
        <v>195</v>
      </c>
    </row>
    <row r="1972" spans="1:4" x14ac:dyDescent="0.2">
      <c r="A1972" t="s">
        <v>4546</v>
      </c>
      <c r="B1972" t="s">
        <v>4547</v>
      </c>
      <c r="C1972" t="s">
        <v>4548</v>
      </c>
      <c r="D1972" t="s">
        <v>187</v>
      </c>
    </row>
    <row r="1973" spans="1:4" x14ac:dyDescent="0.2">
      <c r="A1973" t="s">
        <v>4549</v>
      </c>
      <c r="B1973" t="s">
        <v>4550</v>
      </c>
      <c r="C1973" t="s">
        <v>190</v>
      </c>
      <c r="D1973" t="s">
        <v>191</v>
      </c>
    </row>
    <row r="1974" spans="1:4" x14ac:dyDescent="0.2">
      <c r="A1974" t="s">
        <v>4551</v>
      </c>
      <c r="B1974" t="s">
        <v>4552</v>
      </c>
      <c r="C1974" t="s">
        <v>190</v>
      </c>
      <c r="D1974" t="s">
        <v>191</v>
      </c>
    </row>
    <row r="1975" spans="1:4" x14ac:dyDescent="0.2">
      <c r="A1975" t="s">
        <v>4553</v>
      </c>
      <c r="B1975" t="s">
        <v>4554</v>
      </c>
      <c r="C1975" t="s">
        <v>190</v>
      </c>
      <c r="D1975" t="s">
        <v>191</v>
      </c>
    </row>
    <row r="1976" spans="1:4" x14ac:dyDescent="0.2">
      <c r="A1976" t="s">
        <v>4555</v>
      </c>
      <c r="B1976" t="s">
        <v>4556</v>
      </c>
      <c r="C1976" t="s">
        <v>190</v>
      </c>
      <c r="D1976" t="s">
        <v>191</v>
      </c>
    </row>
    <row r="1977" spans="1:4" x14ac:dyDescent="0.2">
      <c r="A1977" t="s">
        <v>4557</v>
      </c>
      <c r="B1977" t="s">
        <v>4558</v>
      </c>
      <c r="C1977" t="s">
        <v>190</v>
      </c>
      <c r="D1977" t="s">
        <v>191</v>
      </c>
    </row>
    <row r="1978" spans="1:4" x14ac:dyDescent="0.2">
      <c r="A1978" t="s">
        <v>4559</v>
      </c>
      <c r="B1978" t="s">
        <v>4560</v>
      </c>
      <c r="C1978" t="s">
        <v>190</v>
      </c>
      <c r="D1978" t="s">
        <v>191</v>
      </c>
    </row>
    <row r="1979" spans="1:4" x14ac:dyDescent="0.2">
      <c r="A1979" t="s">
        <v>4561</v>
      </c>
      <c r="B1979" t="s">
        <v>4562</v>
      </c>
      <c r="C1979" t="s">
        <v>4563</v>
      </c>
      <c r="D1979" t="s">
        <v>195</v>
      </c>
    </row>
    <row r="1980" spans="1:4" x14ac:dyDescent="0.2">
      <c r="A1980" t="s">
        <v>4564</v>
      </c>
      <c r="B1980" t="s">
        <v>4565</v>
      </c>
      <c r="C1980" t="s">
        <v>190</v>
      </c>
      <c r="D1980" t="s">
        <v>4566</v>
      </c>
    </row>
    <row r="1981" spans="1:4" x14ac:dyDescent="0.2">
      <c r="A1981" t="s">
        <v>4567</v>
      </c>
      <c r="B1981" t="s">
        <v>4568</v>
      </c>
      <c r="C1981" t="s">
        <v>190</v>
      </c>
      <c r="D1981" t="s">
        <v>191</v>
      </c>
    </row>
    <row r="1982" spans="1:4" x14ac:dyDescent="0.2">
      <c r="A1982" t="s">
        <v>4569</v>
      </c>
      <c r="B1982" t="s">
        <v>4570</v>
      </c>
      <c r="C1982" t="s">
        <v>190</v>
      </c>
      <c r="D1982" t="s">
        <v>191</v>
      </c>
    </row>
    <row r="1983" spans="1:4" x14ac:dyDescent="0.2">
      <c r="A1983" t="s">
        <v>4571</v>
      </c>
      <c r="B1983" t="s">
        <v>4572</v>
      </c>
      <c r="C1983" t="s">
        <v>190</v>
      </c>
      <c r="D1983" t="s">
        <v>191</v>
      </c>
    </row>
    <row r="1984" spans="1:4" x14ac:dyDescent="0.2">
      <c r="A1984" t="s">
        <v>4573</v>
      </c>
      <c r="B1984" t="s">
        <v>4574</v>
      </c>
      <c r="C1984" t="s">
        <v>4575</v>
      </c>
      <c r="D1984" t="s">
        <v>187</v>
      </c>
    </row>
    <row r="1985" spans="1:4" x14ac:dyDescent="0.2">
      <c r="A1985" t="s">
        <v>4576</v>
      </c>
      <c r="B1985" t="s">
        <v>4577</v>
      </c>
      <c r="C1985" t="s">
        <v>190</v>
      </c>
      <c r="D1985" t="s">
        <v>191</v>
      </c>
    </row>
    <row r="1986" spans="1:4" x14ac:dyDescent="0.2">
      <c r="A1986" t="s">
        <v>4578</v>
      </c>
      <c r="B1986" t="s">
        <v>4579</v>
      </c>
      <c r="C1986" t="s">
        <v>190</v>
      </c>
      <c r="D1986" t="s">
        <v>191</v>
      </c>
    </row>
    <row r="1987" spans="1:4" x14ac:dyDescent="0.2">
      <c r="A1987" t="s">
        <v>4580</v>
      </c>
      <c r="B1987" t="s">
        <v>4581</v>
      </c>
      <c r="C1987" t="s">
        <v>4582</v>
      </c>
      <c r="D1987" t="s">
        <v>187</v>
      </c>
    </row>
    <row r="1988" spans="1:4" x14ac:dyDescent="0.2">
      <c r="A1988" t="s">
        <v>4583</v>
      </c>
      <c r="B1988" t="s">
        <v>4584</v>
      </c>
      <c r="C1988" t="s">
        <v>4585</v>
      </c>
      <c r="D1988" t="s">
        <v>195</v>
      </c>
    </row>
    <row r="1989" spans="1:4" x14ac:dyDescent="0.2">
      <c r="A1989" t="s">
        <v>4586</v>
      </c>
      <c r="B1989" t="s">
        <v>4587</v>
      </c>
      <c r="C1989" t="s">
        <v>190</v>
      </c>
      <c r="D1989" t="s">
        <v>191</v>
      </c>
    </row>
    <row r="1990" spans="1:4" x14ac:dyDescent="0.2">
      <c r="A1990" t="s">
        <v>4586</v>
      </c>
      <c r="B1990" t="s">
        <v>4588</v>
      </c>
      <c r="C1990" t="s">
        <v>190</v>
      </c>
      <c r="D1990" t="s">
        <v>191</v>
      </c>
    </row>
    <row r="1991" spans="1:4" x14ac:dyDescent="0.2">
      <c r="A1991" t="s">
        <v>4589</v>
      </c>
      <c r="B1991" t="s">
        <v>4590</v>
      </c>
      <c r="C1991" t="s">
        <v>190</v>
      </c>
      <c r="D1991" t="s">
        <v>4591</v>
      </c>
    </row>
    <row r="1992" spans="1:4" x14ac:dyDescent="0.2">
      <c r="A1992" t="s">
        <v>4592</v>
      </c>
      <c r="B1992" t="s">
        <v>4593</v>
      </c>
      <c r="C1992" t="s">
        <v>4594</v>
      </c>
      <c r="D1992" t="s">
        <v>187</v>
      </c>
    </row>
    <row r="1993" spans="1:4" x14ac:dyDescent="0.2">
      <c r="A1993" t="s">
        <v>4595</v>
      </c>
      <c r="B1993" t="s">
        <v>4596</v>
      </c>
      <c r="C1993" t="s">
        <v>4597</v>
      </c>
      <c r="D1993" t="s">
        <v>195</v>
      </c>
    </row>
    <row r="1994" spans="1:4" x14ac:dyDescent="0.2">
      <c r="A1994" t="s">
        <v>4598</v>
      </c>
      <c r="B1994" t="s">
        <v>4599</v>
      </c>
      <c r="C1994" t="s">
        <v>4600</v>
      </c>
      <c r="D1994" t="s">
        <v>195</v>
      </c>
    </row>
    <row r="1995" spans="1:4" x14ac:dyDescent="0.2">
      <c r="A1995" t="s">
        <v>4601</v>
      </c>
      <c r="B1995" t="s">
        <v>4602</v>
      </c>
      <c r="C1995" t="s">
        <v>190</v>
      </c>
      <c r="D1995" t="s">
        <v>191</v>
      </c>
    </row>
    <row r="1996" spans="1:4" x14ac:dyDescent="0.2">
      <c r="A1996" t="s">
        <v>4603</v>
      </c>
      <c r="B1996" t="s">
        <v>4604</v>
      </c>
      <c r="C1996" t="s">
        <v>4605</v>
      </c>
      <c r="D1996" t="s">
        <v>187</v>
      </c>
    </row>
    <row r="1997" spans="1:4" x14ac:dyDescent="0.2">
      <c r="A1997" t="s">
        <v>4606</v>
      </c>
      <c r="B1997" t="s">
        <v>4607</v>
      </c>
      <c r="C1997" t="s">
        <v>4608</v>
      </c>
      <c r="D1997" t="s">
        <v>187</v>
      </c>
    </row>
    <row r="1998" spans="1:4" x14ac:dyDescent="0.2">
      <c r="A1998" t="s">
        <v>4609</v>
      </c>
      <c r="B1998" t="s">
        <v>4610</v>
      </c>
      <c r="C1998" t="s">
        <v>4611</v>
      </c>
      <c r="D1998" t="s">
        <v>195</v>
      </c>
    </row>
    <row r="1999" spans="1:4" x14ac:dyDescent="0.2">
      <c r="A1999" t="s">
        <v>4612</v>
      </c>
      <c r="B1999" t="s">
        <v>4613</v>
      </c>
      <c r="C1999" t="s">
        <v>4614</v>
      </c>
      <c r="D1999" t="s">
        <v>187</v>
      </c>
    </row>
    <row r="2000" spans="1:4" x14ac:dyDescent="0.2">
      <c r="A2000" t="s">
        <v>4615</v>
      </c>
      <c r="B2000" t="s">
        <v>4616</v>
      </c>
      <c r="C2000" t="s">
        <v>190</v>
      </c>
      <c r="D2000" t="s">
        <v>191</v>
      </c>
    </row>
    <row r="2001" spans="1:4" x14ac:dyDescent="0.2">
      <c r="A2001" t="s">
        <v>4617</v>
      </c>
      <c r="B2001" t="s">
        <v>4618</v>
      </c>
      <c r="C2001" t="s">
        <v>190</v>
      </c>
      <c r="D2001" t="s">
        <v>191</v>
      </c>
    </row>
    <row r="2002" spans="1:4" x14ac:dyDescent="0.2">
      <c r="A2002" t="s">
        <v>4619</v>
      </c>
      <c r="B2002" t="s">
        <v>4620</v>
      </c>
      <c r="C2002" t="s">
        <v>190</v>
      </c>
      <c r="D2002" t="s">
        <v>191</v>
      </c>
    </row>
    <row r="2003" spans="1:4" x14ac:dyDescent="0.2">
      <c r="A2003" t="s">
        <v>4619</v>
      </c>
      <c r="B2003" t="s">
        <v>4621</v>
      </c>
      <c r="C2003" t="s">
        <v>190</v>
      </c>
      <c r="D2003" t="s">
        <v>191</v>
      </c>
    </row>
    <row r="2004" spans="1:4" x14ac:dyDescent="0.2">
      <c r="A2004" t="s">
        <v>4622</v>
      </c>
      <c r="B2004" t="s">
        <v>4623</v>
      </c>
      <c r="C2004" t="s">
        <v>4624</v>
      </c>
      <c r="D2004" t="s">
        <v>195</v>
      </c>
    </row>
    <row r="2005" spans="1:4" x14ac:dyDescent="0.2">
      <c r="A2005" t="s">
        <v>4622</v>
      </c>
      <c r="B2005" t="s">
        <v>4625</v>
      </c>
      <c r="C2005" t="s">
        <v>190</v>
      </c>
      <c r="D2005" t="s">
        <v>4626</v>
      </c>
    </row>
    <row r="2006" spans="1:4" x14ac:dyDescent="0.2">
      <c r="A2006" t="s">
        <v>4622</v>
      </c>
      <c r="B2006" t="s">
        <v>4627</v>
      </c>
      <c r="C2006" t="s">
        <v>190</v>
      </c>
      <c r="D2006" t="s">
        <v>4626</v>
      </c>
    </row>
    <row r="2007" spans="1:4" x14ac:dyDescent="0.2">
      <c r="A2007" t="s">
        <v>4622</v>
      </c>
      <c r="B2007" t="s">
        <v>4628</v>
      </c>
      <c r="C2007" t="s">
        <v>190</v>
      </c>
      <c r="D2007" t="s">
        <v>4626</v>
      </c>
    </row>
    <row r="2008" spans="1:4" x14ac:dyDescent="0.2">
      <c r="A2008" t="s">
        <v>4622</v>
      </c>
      <c r="B2008" t="s">
        <v>4629</v>
      </c>
      <c r="C2008" t="s">
        <v>190</v>
      </c>
      <c r="D2008" t="s">
        <v>4626</v>
      </c>
    </row>
    <row r="2009" spans="1:4" x14ac:dyDescent="0.2">
      <c r="A2009" t="s">
        <v>4622</v>
      </c>
      <c r="B2009" t="s">
        <v>4630</v>
      </c>
      <c r="C2009" t="s">
        <v>4631</v>
      </c>
      <c r="D2009" t="s">
        <v>195</v>
      </c>
    </row>
    <row r="2010" spans="1:4" x14ac:dyDescent="0.2">
      <c r="A2010" t="s">
        <v>4632</v>
      </c>
      <c r="B2010" t="s">
        <v>4633</v>
      </c>
      <c r="C2010" t="s">
        <v>190</v>
      </c>
      <c r="D2010" t="s">
        <v>191</v>
      </c>
    </row>
    <row r="2011" spans="1:4" x14ac:dyDescent="0.2">
      <c r="A2011" t="s">
        <v>4634</v>
      </c>
      <c r="B2011" t="s">
        <v>4635</v>
      </c>
      <c r="C2011" t="s">
        <v>190</v>
      </c>
      <c r="D2011" t="s">
        <v>191</v>
      </c>
    </row>
    <row r="2012" spans="1:4" x14ac:dyDescent="0.2">
      <c r="A2012" t="s">
        <v>4636</v>
      </c>
      <c r="B2012" t="s">
        <v>4637</v>
      </c>
      <c r="C2012" t="s">
        <v>190</v>
      </c>
      <c r="D2012" t="s">
        <v>191</v>
      </c>
    </row>
    <row r="2013" spans="1:4" x14ac:dyDescent="0.2">
      <c r="A2013" t="s">
        <v>4638</v>
      </c>
      <c r="B2013" t="s">
        <v>4639</v>
      </c>
      <c r="C2013" t="s">
        <v>4640</v>
      </c>
      <c r="D2013" t="s">
        <v>187</v>
      </c>
    </row>
    <row r="2014" spans="1:4" x14ac:dyDescent="0.2">
      <c r="A2014" t="s">
        <v>4641</v>
      </c>
      <c r="B2014" t="s">
        <v>4642</v>
      </c>
      <c r="C2014" t="s">
        <v>190</v>
      </c>
      <c r="D2014" t="s">
        <v>191</v>
      </c>
    </row>
    <row r="2015" spans="1:4" x14ac:dyDescent="0.2">
      <c r="A2015" t="s">
        <v>4643</v>
      </c>
      <c r="B2015" t="s">
        <v>4644</v>
      </c>
      <c r="C2015" t="s">
        <v>190</v>
      </c>
      <c r="D2015" t="s">
        <v>191</v>
      </c>
    </row>
    <row r="2016" spans="1:4" x14ac:dyDescent="0.2">
      <c r="A2016" t="s">
        <v>4645</v>
      </c>
      <c r="B2016" t="s">
        <v>4646</v>
      </c>
      <c r="C2016" t="s">
        <v>190</v>
      </c>
      <c r="D2016" t="s">
        <v>191</v>
      </c>
    </row>
    <row r="2017" spans="1:4" x14ac:dyDescent="0.2">
      <c r="A2017" t="s">
        <v>4647</v>
      </c>
      <c r="B2017" t="s">
        <v>4648</v>
      </c>
      <c r="C2017" t="s">
        <v>190</v>
      </c>
      <c r="D2017" t="s">
        <v>191</v>
      </c>
    </row>
    <row r="2018" spans="1:4" x14ac:dyDescent="0.2">
      <c r="A2018" t="s">
        <v>4649</v>
      </c>
      <c r="B2018" t="s">
        <v>4650</v>
      </c>
      <c r="C2018" t="s">
        <v>190</v>
      </c>
      <c r="D2018" t="s">
        <v>191</v>
      </c>
    </row>
    <row r="2019" spans="1:4" x14ac:dyDescent="0.2">
      <c r="A2019" t="s">
        <v>4651</v>
      </c>
      <c r="B2019" t="s">
        <v>4652</v>
      </c>
      <c r="C2019" t="s">
        <v>4653</v>
      </c>
      <c r="D2019" t="s">
        <v>195</v>
      </c>
    </row>
    <row r="2020" spans="1:4" x14ac:dyDescent="0.2">
      <c r="A2020" t="s">
        <v>4651</v>
      </c>
      <c r="B2020" t="s">
        <v>4654</v>
      </c>
      <c r="C2020" t="s">
        <v>4655</v>
      </c>
      <c r="D2020" t="s">
        <v>195</v>
      </c>
    </row>
    <row r="2021" spans="1:4" x14ac:dyDescent="0.2">
      <c r="A2021" t="s">
        <v>4656</v>
      </c>
      <c r="B2021" t="s">
        <v>4657</v>
      </c>
      <c r="C2021" t="s">
        <v>190</v>
      </c>
      <c r="D2021" t="s">
        <v>191</v>
      </c>
    </row>
    <row r="2022" spans="1:4" x14ac:dyDescent="0.2">
      <c r="A2022" t="s">
        <v>4656</v>
      </c>
      <c r="B2022" t="s">
        <v>4658</v>
      </c>
      <c r="C2022" t="s">
        <v>190</v>
      </c>
      <c r="D2022" t="s">
        <v>191</v>
      </c>
    </row>
    <row r="2023" spans="1:4" x14ac:dyDescent="0.2">
      <c r="A2023" t="s">
        <v>4659</v>
      </c>
      <c r="B2023" t="s">
        <v>4660</v>
      </c>
      <c r="C2023" t="s">
        <v>190</v>
      </c>
      <c r="D2023" t="s">
        <v>191</v>
      </c>
    </row>
    <row r="2024" spans="1:4" x14ac:dyDescent="0.2">
      <c r="A2024" t="s">
        <v>4661</v>
      </c>
      <c r="B2024" t="s">
        <v>4662</v>
      </c>
      <c r="C2024" t="s">
        <v>4663</v>
      </c>
      <c r="D2024" t="s">
        <v>187</v>
      </c>
    </row>
    <row r="2025" spans="1:4" x14ac:dyDescent="0.2">
      <c r="A2025" t="s">
        <v>4664</v>
      </c>
      <c r="B2025" t="s">
        <v>4665</v>
      </c>
      <c r="C2025" t="s">
        <v>190</v>
      </c>
      <c r="D2025" t="s">
        <v>191</v>
      </c>
    </row>
    <row r="2026" spans="1:4" x14ac:dyDescent="0.2">
      <c r="A2026" t="s">
        <v>4666</v>
      </c>
      <c r="B2026" t="s">
        <v>4667</v>
      </c>
      <c r="C2026" t="s">
        <v>4668</v>
      </c>
      <c r="D2026" t="s">
        <v>195</v>
      </c>
    </row>
    <row r="2027" spans="1:4" x14ac:dyDescent="0.2">
      <c r="A2027" t="s">
        <v>4669</v>
      </c>
      <c r="B2027" t="s">
        <v>4670</v>
      </c>
      <c r="C2027" t="s">
        <v>4671</v>
      </c>
      <c r="D2027" t="s">
        <v>195</v>
      </c>
    </row>
    <row r="2028" spans="1:4" x14ac:dyDescent="0.2">
      <c r="A2028" t="s">
        <v>4672</v>
      </c>
      <c r="B2028" t="s">
        <v>4673</v>
      </c>
      <c r="C2028" t="s">
        <v>190</v>
      </c>
      <c r="D2028" t="s">
        <v>191</v>
      </c>
    </row>
    <row r="2029" spans="1:4" x14ac:dyDescent="0.2">
      <c r="A2029" t="s">
        <v>4674</v>
      </c>
      <c r="B2029" t="s">
        <v>4675</v>
      </c>
      <c r="C2029" t="s">
        <v>190</v>
      </c>
      <c r="D2029" t="s">
        <v>191</v>
      </c>
    </row>
    <row r="2030" spans="1:4" x14ac:dyDescent="0.2">
      <c r="A2030" t="s">
        <v>4676</v>
      </c>
      <c r="B2030" t="s">
        <v>4677</v>
      </c>
      <c r="C2030" t="s">
        <v>4678</v>
      </c>
      <c r="D2030" t="s">
        <v>195</v>
      </c>
    </row>
    <row r="2031" spans="1:4" x14ac:dyDescent="0.2">
      <c r="A2031" t="s">
        <v>4679</v>
      </c>
      <c r="B2031" t="s">
        <v>4680</v>
      </c>
      <c r="C2031" t="s">
        <v>190</v>
      </c>
      <c r="D2031" t="s">
        <v>191</v>
      </c>
    </row>
    <row r="2032" spans="1:4" x14ac:dyDescent="0.2">
      <c r="A2032" t="s">
        <v>4681</v>
      </c>
      <c r="B2032" t="s">
        <v>4682</v>
      </c>
      <c r="C2032" t="s">
        <v>4683</v>
      </c>
      <c r="D2032" t="s">
        <v>195</v>
      </c>
    </row>
    <row r="2033" spans="1:4" x14ac:dyDescent="0.2">
      <c r="A2033" t="s">
        <v>4684</v>
      </c>
      <c r="B2033" t="s">
        <v>4685</v>
      </c>
      <c r="C2033" t="s">
        <v>190</v>
      </c>
      <c r="D2033" t="s">
        <v>191</v>
      </c>
    </row>
    <row r="2034" spans="1:4" x14ac:dyDescent="0.2">
      <c r="A2034" t="s">
        <v>4686</v>
      </c>
      <c r="B2034" t="s">
        <v>4687</v>
      </c>
      <c r="C2034" t="s">
        <v>4688</v>
      </c>
      <c r="D2034" t="s">
        <v>195</v>
      </c>
    </row>
    <row r="2035" spans="1:4" x14ac:dyDescent="0.2">
      <c r="A2035" t="s">
        <v>4689</v>
      </c>
      <c r="B2035" t="s">
        <v>4690</v>
      </c>
      <c r="C2035" t="s">
        <v>4691</v>
      </c>
      <c r="D2035" t="s">
        <v>195</v>
      </c>
    </row>
    <row r="2036" spans="1:4" x14ac:dyDescent="0.2">
      <c r="A2036" t="s">
        <v>4692</v>
      </c>
      <c r="B2036" t="s">
        <v>4693</v>
      </c>
      <c r="C2036" t="s">
        <v>4694</v>
      </c>
      <c r="D2036" t="s">
        <v>195</v>
      </c>
    </row>
    <row r="2037" spans="1:4" x14ac:dyDescent="0.2">
      <c r="A2037" t="s">
        <v>4695</v>
      </c>
      <c r="B2037" t="s">
        <v>4696</v>
      </c>
      <c r="C2037" t="s">
        <v>190</v>
      </c>
      <c r="D2037" t="s">
        <v>191</v>
      </c>
    </row>
    <row r="2038" spans="1:4" x14ac:dyDescent="0.2">
      <c r="A2038" t="s">
        <v>4697</v>
      </c>
      <c r="B2038" t="s">
        <v>4698</v>
      </c>
      <c r="C2038" t="s">
        <v>4699</v>
      </c>
      <c r="D2038" t="s">
        <v>187</v>
      </c>
    </row>
    <row r="2039" spans="1:4" x14ac:dyDescent="0.2">
      <c r="A2039" t="s">
        <v>4700</v>
      </c>
      <c r="B2039" t="s">
        <v>4701</v>
      </c>
      <c r="C2039" t="s">
        <v>190</v>
      </c>
      <c r="D2039" t="s">
        <v>191</v>
      </c>
    </row>
    <row r="2040" spans="1:4" x14ac:dyDescent="0.2">
      <c r="A2040" t="s">
        <v>4702</v>
      </c>
      <c r="B2040" t="s">
        <v>4703</v>
      </c>
      <c r="C2040" t="s">
        <v>190</v>
      </c>
      <c r="D2040" t="s">
        <v>191</v>
      </c>
    </row>
    <row r="2041" spans="1:4" x14ac:dyDescent="0.2">
      <c r="A2041" t="s">
        <v>4704</v>
      </c>
      <c r="B2041" t="s">
        <v>4705</v>
      </c>
      <c r="C2041" t="s">
        <v>4706</v>
      </c>
      <c r="D2041" t="s">
        <v>187</v>
      </c>
    </row>
    <row r="2042" spans="1:4" x14ac:dyDescent="0.2">
      <c r="A2042" t="s">
        <v>4707</v>
      </c>
      <c r="B2042" t="s">
        <v>4708</v>
      </c>
      <c r="C2042" t="s">
        <v>190</v>
      </c>
      <c r="D2042" t="s">
        <v>191</v>
      </c>
    </row>
    <row r="2043" spans="1:4" x14ac:dyDescent="0.2">
      <c r="A2043" t="s">
        <v>4709</v>
      </c>
      <c r="B2043" t="s">
        <v>4710</v>
      </c>
      <c r="C2043" t="s">
        <v>190</v>
      </c>
      <c r="D2043" t="s">
        <v>191</v>
      </c>
    </row>
    <row r="2044" spans="1:4" x14ac:dyDescent="0.2">
      <c r="A2044" t="s">
        <v>4711</v>
      </c>
      <c r="B2044" t="s">
        <v>4712</v>
      </c>
      <c r="C2044" t="s">
        <v>4713</v>
      </c>
      <c r="D2044" t="s">
        <v>187</v>
      </c>
    </row>
    <row r="2045" spans="1:4" x14ac:dyDescent="0.2">
      <c r="A2045" t="s">
        <v>4714</v>
      </c>
      <c r="B2045" t="s">
        <v>4715</v>
      </c>
      <c r="C2045" t="s">
        <v>190</v>
      </c>
      <c r="D2045" t="s">
        <v>191</v>
      </c>
    </row>
    <row r="2046" spans="1:4" x14ac:dyDescent="0.2">
      <c r="A2046" t="s">
        <v>4716</v>
      </c>
      <c r="B2046" t="s">
        <v>4717</v>
      </c>
      <c r="C2046" t="s">
        <v>190</v>
      </c>
      <c r="D2046" t="s">
        <v>191</v>
      </c>
    </row>
    <row r="2047" spans="1:4" x14ac:dyDescent="0.2">
      <c r="A2047" t="s">
        <v>4718</v>
      </c>
      <c r="B2047" t="s">
        <v>4719</v>
      </c>
      <c r="C2047" t="s">
        <v>190</v>
      </c>
      <c r="D2047" t="s">
        <v>191</v>
      </c>
    </row>
    <row r="2048" spans="1:4" x14ac:dyDescent="0.2">
      <c r="A2048" t="s">
        <v>4720</v>
      </c>
      <c r="B2048" t="s">
        <v>4721</v>
      </c>
      <c r="C2048" t="s">
        <v>190</v>
      </c>
      <c r="D2048" t="s">
        <v>191</v>
      </c>
    </row>
    <row r="2049" spans="1:4" x14ac:dyDescent="0.2">
      <c r="A2049" t="s">
        <v>4722</v>
      </c>
      <c r="B2049" t="s">
        <v>4723</v>
      </c>
      <c r="C2049" t="s">
        <v>190</v>
      </c>
      <c r="D2049" t="s">
        <v>191</v>
      </c>
    </row>
    <row r="2050" spans="1:4" x14ac:dyDescent="0.2">
      <c r="A2050" t="s">
        <v>4724</v>
      </c>
      <c r="B2050" t="s">
        <v>4725</v>
      </c>
      <c r="C2050" t="s">
        <v>190</v>
      </c>
      <c r="D2050" t="s">
        <v>191</v>
      </c>
    </row>
    <row r="2051" spans="1:4" x14ac:dyDescent="0.2">
      <c r="A2051" t="s">
        <v>4726</v>
      </c>
      <c r="B2051" t="s">
        <v>4727</v>
      </c>
      <c r="C2051" t="s">
        <v>190</v>
      </c>
      <c r="D2051" t="s">
        <v>191</v>
      </c>
    </row>
    <row r="2052" spans="1:4" x14ac:dyDescent="0.2">
      <c r="A2052" t="s">
        <v>4728</v>
      </c>
      <c r="B2052" t="s">
        <v>4729</v>
      </c>
      <c r="C2052" t="s">
        <v>4730</v>
      </c>
      <c r="D2052" t="s">
        <v>195</v>
      </c>
    </row>
    <row r="2053" spans="1:4" x14ac:dyDescent="0.2">
      <c r="A2053" t="s">
        <v>4731</v>
      </c>
      <c r="B2053" t="s">
        <v>4732</v>
      </c>
      <c r="C2053" t="s">
        <v>4733</v>
      </c>
      <c r="D2053" t="s">
        <v>195</v>
      </c>
    </row>
    <row r="2054" spans="1:4" x14ac:dyDescent="0.2">
      <c r="A2054" t="s">
        <v>4734</v>
      </c>
      <c r="B2054" t="s">
        <v>4735</v>
      </c>
      <c r="C2054" t="s">
        <v>4736</v>
      </c>
      <c r="D2054" t="s">
        <v>187</v>
      </c>
    </row>
    <row r="2055" spans="1:4" x14ac:dyDescent="0.2">
      <c r="A2055" t="s">
        <v>4737</v>
      </c>
      <c r="B2055" t="s">
        <v>4738</v>
      </c>
      <c r="C2055" t="s">
        <v>190</v>
      </c>
      <c r="D2055" t="s">
        <v>191</v>
      </c>
    </row>
    <row r="2056" spans="1:4" x14ac:dyDescent="0.2">
      <c r="A2056" t="s">
        <v>4739</v>
      </c>
      <c r="B2056" t="s">
        <v>4740</v>
      </c>
      <c r="C2056" t="s">
        <v>4741</v>
      </c>
      <c r="D2056" t="s">
        <v>195</v>
      </c>
    </row>
    <row r="2057" spans="1:4" x14ac:dyDescent="0.2">
      <c r="A2057" t="s">
        <v>4742</v>
      </c>
      <c r="B2057" t="s">
        <v>4743</v>
      </c>
      <c r="C2057" t="s">
        <v>190</v>
      </c>
      <c r="D2057" t="s">
        <v>191</v>
      </c>
    </row>
    <row r="2058" spans="1:4" x14ac:dyDescent="0.2">
      <c r="A2058" t="s">
        <v>4744</v>
      </c>
      <c r="B2058" t="s">
        <v>4745</v>
      </c>
      <c r="C2058" t="s">
        <v>4746</v>
      </c>
      <c r="D2058" t="s">
        <v>187</v>
      </c>
    </row>
    <row r="2059" spans="1:4" x14ac:dyDescent="0.2">
      <c r="A2059" t="s">
        <v>4747</v>
      </c>
      <c r="B2059" t="s">
        <v>4748</v>
      </c>
      <c r="C2059" t="s">
        <v>190</v>
      </c>
      <c r="D2059" t="s">
        <v>191</v>
      </c>
    </row>
    <row r="2060" spans="1:4" x14ac:dyDescent="0.2">
      <c r="A2060" t="s">
        <v>4747</v>
      </c>
      <c r="B2060" t="s">
        <v>4749</v>
      </c>
      <c r="C2060" t="s">
        <v>190</v>
      </c>
      <c r="D2060" t="s">
        <v>4750</v>
      </c>
    </row>
    <row r="2061" spans="1:4" x14ac:dyDescent="0.2">
      <c r="A2061" t="s">
        <v>4751</v>
      </c>
      <c r="B2061" t="s">
        <v>4752</v>
      </c>
      <c r="C2061" t="s">
        <v>4753</v>
      </c>
      <c r="D2061" t="s">
        <v>195</v>
      </c>
    </row>
    <row r="2062" spans="1:4" x14ac:dyDescent="0.2">
      <c r="A2062" t="s">
        <v>4754</v>
      </c>
      <c r="B2062" t="s">
        <v>4755</v>
      </c>
      <c r="C2062" t="s">
        <v>190</v>
      </c>
      <c r="D2062" t="s">
        <v>191</v>
      </c>
    </row>
    <row r="2063" spans="1:4" x14ac:dyDescent="0.2">
      <c r="A2063" t="s">
        <v>4756</v>
      </c>
      <c r="B2063" t="s">
        <v>4757</v>
      </c>
      <c r="C2063" t="s">
        <v>190</v>
      </c>
      <c r="D2063" t="s">
        <v>191</v>
      </c>
    </row>
    <row r="2064" spans="1:4" x14ac:dyDescent="0.2">
      <c r="A2064" t="s">
        <v>4758</v>
      </c>
      <c r="B2064" t="s">
        <v>4759</v>
      </c>
      <c r="C2064" t="s">
        <v>190</v>
      </c>
      <c r="D2064" t="s">
        <v>191</v>
      </c>
    </row>
    <row r="2065" spans="1:4" x14ac:dyDescent="0.2">
      <c r="A2065" t="s">
        <v>4760</v>
      </c>
      <c r="B2065" t="s">
        <v>4761</v>
      </c>
      <c r="C2065" t="s">
        <v>190</v>
      </c>
      <c r="D2065" t="s">
        <v>280</v>
      </c>
    </row>
    <row r="2066" spans="1:4" x14ac:dyDescent="0.2">
      <c r="A2066" t="s">
        <v>4760</v>
      </c>
      <c r="B2066" t="s">
        <v>4762</v>
      </c>
      <c r="C2066" t="s">
        <v>190</v>
      </c>
      <c r="D2066" t="s">
        <v>191</v>
      </c>
    </row>
    <row r="2067" spans="1:4" x14ac:dyDescent="0.2">
      <c r="A2067" t="s">
        <v>4763</v>
      </c>
      <c r="B2067" t="s">
        <v>4764</v>
      </c>
      <c r="C2067" t="s">
        <v>190</v>
      </c>
      <c r="D2067" t="s">
        <v>191</v>
      </c>
    </row>
    <row r="2068" spans="1:4" x14ac:dyDescent="0.2">
      <c r="A2068" t="s">
        <v>4763</v>
      </c>
      <c r="B2068" t="s">
        <v>4765</v>
      </c>
      <c r="C2068" t="s">
        <v>4766</v>
      </c>
      <c r="D2068" t="s">
        <v>187</v>
      </c>
    </row>
    <row r="2069" spans="1:4" x14ac:dyDescent="0.2">
      <c r="A2069" t="s">
        <v>4767</v>
      </c>
      <c r="B2069" t="s">
        <v>4768</v>
      </c>
      <c r="C2069" t="s">
        <v>190</v>
      </c>
      <c r="D2069" t="s">
        <v>191</v>
      </c>
    </row>
    <row r="2070" spans="1:4" x14ac:dyDescent="0.2">
      <c r="A2070" t="s">
        <v>4769</v>
      </c>
      <c r="B2070" t="s">
        <v>4770</v>
      </c>
      <c r="C2070" t="s">
        <v>190</v>
      </c>
      <c r="D2070" t="s">
        <v>191</v>
      </c>
    </row>
    <row r="2071" spans="1:4" x14ac:dyDescent="0.2">
      <c r="A2071" t="s">
        <v>4771</v>
      </c>
      <c r="B2071" t="s">
        <v>4772</v>
      </c>
      <c r="C2071" t="s">
        <v>4773</v>
      </c>
      <c r="D2071" t="s">
        <v>195</v>
      </c>
    </row>
    <row r="2072" spans="1:4" x14ac:dyDescent="0.2">
      <c r="A2072" t="s">
        <v>4774</v>
      </c>
      <c r="B2072" t="s">
        <v>4775</v>
      </c>
      <c r="C2072" t="s">
        <v>4776</v>
      </c>
      <c r="D2072" t="s">
        <v>187</v>
      </c>
    </row>
    <row r="2073" spans="1:4" x14ac:dyDescent="0.2">
      <c r="A2073" t="s">
        <v>4777</v>
      </c>
      <c r="B2073" t="s">
        <v>4778</v>
      </c>
      <c r="C2073" t="s">
        <v>190</v>
      </c>
      <c r="D2073" t="s">
        <v>191</v>
      </c>
    </row>
    <row r="2074" spans="1:4" x14ac:dyDescent="0.2">
      <c r="A2074" t="s">
        <v>4779</v>
      </c>
      <c r="B2074" t="s">
        <v>4780</v>
      </c>
      <c r="C2074" t="s">
        <v>4781</v>
      </c>
      <c r="D2074" t="s">
        <v>187</v>
      </c>
    </row>
    <row r="2075" spans="1:4" x14ac:dyDescent="0.2">
      <c r="A2075" t="s">
        <v>4782</v>
      </c>
      <c r="B2075" t="s">
        <v>4783</v>
      </c>
      <c r="C2075" t="s">
        <v>190</v>
      </c>
      <c r="D2075" t="s">
        <v>191</v>
      </c>
    </row>
    <row r="2076" spans="1:4" x14ac:dyDescent="0.2">
      <c r="A2076" t="s">
        <v>4784</v>
      </c>
      <c r="B2076" t="s">
        <v>4785</v>
      </c>
      <c r="C2076" t="s">
        <v>190</v>
      </c>
      <c r="D2076" t="s">
        <v>191</v>
      </c>
    </row>
    <row r="2077" spans="1:4" x14ac:dyDescent="0.2">
      <c r="A2077" t="s">
        <v>4786</v>
      </c>
      <c r="B2077" t="s">
        <v>4787</v>
      </c>
      <c r="C2077" t="s">
        <v>190</v>
      </c>
      <c r="D2077" t="s">
        <v>191</v>
      </c>
    </row>
    <row r="2078" spans="1:4" x14ac:dyDescent="0.2">
      <c r="A2078" t="s">
        <v>4788</v>
      </c>
      <c r="B2078" t="s">
        <v>4789</v>
      </c>
      <c r="C2078" t="s">
        <v>190</v>
      </c>
      <c r="D2078" t="s">
        <v>191</v>
      </c>
    </row>
    <row r="2079" spans="1:4" x14ac:dyDescent="0.2">
      <c r="A2079" t="s">
        <v>4790</v>
      </c>
      <c r="B2079" t="s">
        <v>4791</v>
      </c>
      <c r="C2079" t="s">
        <v>4792</v>
      </c>
      <c r="D2079" t="s">
        <v>187</v>
      </c>
    </row>
    <row r="2080" spans="1:4" x14ac:dyDescent="0.2">
      <c r="A2080" t="s">
        <v>4790</v>
      </c>
      <c r="B2080" t="s">
        <v>4793</v>
      </c>
      <c r="C2080" t="s">
        <v>190</v>
      </c>
      <c r="D2080" t="s">
        <v>191</v>
      </c>
    </row>
    <row r="2081" spans="1:4" x14ac:dyDescent="0.2">
      <c r="A2081" t="s">
        <v>4794</v>
      </c>
      <c r="B2081" t="s">
        <v>4795</v>
      </c>
      <c r="C2081" t="s">
        <v>190</v>
      </c>
      <c r="D2081" t="s">
        <v>4796</v>
      </c>
    </row>
    <row r="2082" spans="1:4" x14ac:dyDescent="0.2">
      <c r="A2082" t="s">
        <v>4794</v>
      </c>
      <c r="B2082" t="s">
        <v>4797</v>
      </c>
      <c r="C2082" t="s">
        <v>190</v>
      </c>
      <c r="D2082" t="s">
        <v>4798</v>
      </c>
    </row>
    <row r="2083" spans="1:4" x14ac:dyDescent="0.2">
      <c r="A2083" t="s">
        <v>4794</v>
      </c>
      <c r="B2083" t="s">
        <v>4799</v>
      </c>
      <c r="C2083" t="s">
        <v>190</v>
      </c>
      <c r="D2083" t="s">
        <v>191</v>
      </c>
    </row>
    <row r="2084" spans="1:4" x14ac:dyDescent="0.2">
      <c r="A2084" t="s">
        <v>4800</v>
      </c>
      <c r="B2084" t="s">
        <v>4801</v>
      </c>
      <c r="C2084" t="s">
        <v>4802</v>
      </c>
      <c r="D2084" t="s">
        <v>195</v>
      </c>
    </row>
    <row r="2085" spans="1:4" x14ac:dyDescent="0.2">
      <c r="A2085" t="s">
        <v>4803</v>
      </c>
      <c r="B2085" t="s">
        <v>4804</v>
      </c>
      <c r="C2085" t="s">
        <v>4805</v>
      </c>
      <c r="D2085" t="s">
        <v>195</v>
      </c>
    </row>
    <row r="2086" spans="1:4" x14ac:dyDescent="0.2">
      <c r="A2086" t="s">
        <v>4803</v>
      </c>
      <c r="B2086" t="s">
        <v>4797</v>
      </c>
      <c r="C2086" t="s">
        <v>190</v>
      </c>
      <c r="D2086" t="s">
        <v>4798</v>
      </c>
    </row>
    <row r="2087" spans="1:4" x14ac:dyDescent="0.2">
      <c r="A2087" t="s">
        <v>4806</v>
      </c>
      <c r="B2087" t="s">
        <v>4807</v>
      </c>
      <c r="C2087" t="s">
        <v>190</v>
      </c>
      <c r="D2087" t="s">
        <v>191</v>
      </c>
    </row>
    <row r="2088" spans="1:4" x14ac:dyDescent="0.2">
      <c r="A2088" t="s">
        <v>4808</v>
      </c>
      <c r="B2088" t="s">
        <v>4809</v>
      </c>
      <c r="C2088" t="s">
        <v>4810</v>
      </c>
      <c r="D2088" t="s">
        <v>195</v>
      </c>
    </row>
    <row r="2089" spans="1:4" x14ac:dyDescent="0.2">
      <c r="A2089" t="s">
        <v>4811</v>
      </c>
      <c r="B2089" t="s">
        <v>4812</v>
      </c>
      <c r="C2089" t="s">
        <v>190</v>
      </c>
      <c r="D2089" t="s">
        <v>191</v>
      </c>
    </row>
    <row r="2090" spans="1:4" x14ac:dyDescent="0.2">
      <c r="A2090" t="s">
        <v>4813</v>
      </c>
      <c r="B2090" t="s">
        <v>4814</v>
      </c>
      <c r="C2090" t="s">
        <v>190</v>
      </c>
      <c r="D2090" t="s">
        <v>191</v>
      </c>
    </row>
    <row r="2091" spans="1:4" x14ac:dyDescent="0.2">
      <c r="A2091" t="s">
        <v>4815</v>
      </c>
      <c r="B2091" t="s">
        <v>4816</v>
      </c>
      <c r="C2091" t="s">
        <v>190</v>
      </c>
      <c r="D2091" t="s">
        <v>191</v>
      </c>
    </row>
    <row r="2092" spans="1:4" x14ac:dyDescent="0.2">
      <c r="A2092" t="s">
        <v>4817</v>
      </c>
      <c r="B2092" t="s">
        <v>4818</v>
      </c>
      <c r="C2092" t="s">
        <v>4819</v>
      </c>
      <c r="D2092" t="s">
        <v>195</v>
      </c>
    </row>
    <row r="2093" spans="1:4" x14ac:dyDescent="0.2">
      <c r="A2093" t="s">
        <v>4820</v>
      </c>
      <c r="B2093" t="s">
        <v>4821</v>
      </c>
      <c r="C2093" t="s">
        <v>4822</v>
      </c>
      <c r="D2093" t="s">
        <v>195</v>
      </c>
    </row>
    <row r="2094" spans="1:4" x14ac:dyDescent="0.2">
      <c r="A2094" t="s">
        <v>4823</v>
      </c>
      <c r="B2094" t="s">
        <v>4824</v>
      </c>
      <c r="C2094" t="s">
        <v>190</v>
      </c>
      <c r="D2094" t="s">
        <v>191</v>
      </c>
    </row>
    <row r="2095" spans="1:4" x14ac:dyDescent="0.2">
      <c r="A2095" t="s">
        <v>4825</v>
      </c>
      <c r="B2095" t="s">
        <v>4826</v>
      </c>
      <c r="C2095" t="s">
        <v>4827</v>
      </c>
      <c r="D2095" t="s">
        <v>187</v>
      </c>
    </row>
    <row r="2096" spans="1:4" x14ac:dyDescent="0.2">
      <c r="A2096" t="s">
        <v>4828</v>
      </c>
      <c r="B2096" t="s">
        <v>4829</v>
      </c>
      <c r="C2096" t="s">
        <v>4830</v>
      </c>
      <c r="D2096" t="s">
        <v>187</v>
      </c>
    </row>
    <row r="2097" spans="1:4" x14ac:dyDescent="0.2">
      <c r="A2097" t="s">
        <v>4831</v>
      </c>
      <c r="B2097" t="s">
        <v>4832</v>
      </c>
      <c r="C2097" t="s">
        <v>190</v>
      </c>
      <c r="D2097" t="s">
        <v>191</v>
      </c>
    </row>
    <row r="2098" spans="1:4" x14ac:dyDescent="0.2">
      <c r="A2098" t="s">
        <v>4833</v>
      </c>
      <c r="B2098" t="s">
        <v>4834</v>
      </c>
      <c r="C2098" t="s">
        <v>190</v>
      </c>
      <c r="D2098" t="s">
        <v>191</v>
      </c>
    </row>
    <row r="2099" spans="1:4" x14ac:dyDescent="0.2">
      <c r="A2099" t="s">
        <v>4835</v>
      </c>
      <c r="B2099" t="s">
        <v>4836</v>
      </c>
      <c r="C2099" t="s">
        <v>190</v>
      </c>
      <c r="D2099" t="s">
        <v>191</v>
      </c>
    </row>
    <row r="2100" spans="1:4" x14ac:dyDescent="0.2">
      <c r="A2100" t="s">
        <v>4837</v>
      </c>
      <c r="B2100" t="s">
        <v>4838</v>
      </c>
      <c r="C2100" t="s">
        <v>190</v>
      </c>
      <c r="D2100" t="s">
        <v>191</v>
      </c>
    </row>
    <row r="2101" spans="1:4" x14ac:dyDescent="0.2">
      <c r="A2101" t="s">
        <v>4837</v>
      </c>
      <c r="B2101" t="s">
        <v>4839</v>
      </c>
      <c r="C2101" t="s">
        <v>190</v>
      </c>
      <c r="D2101" t="s">
        <v>191</v>
      </c>
    </row>
    <row r="2102" spans="1:4" x14ac:dyDescent="0.2">
      <c r="A2102" t="s">
        <v>4840</v>
      </c>
      <c r="B2102" t="s">
        <v>4841</v>
      </c>
      <c r="C2102" t="s">
        <v>190</v>
      </c>
      <c r="D2102" t="s">
        <v>191</v>
      </c>
    </row>
    <row r="2103" spans="1:4" x14ac:dyDescent="0.2">
      <c r="A2103" t="s">
        <v>4842</v>
      </c>
      <c r="B2103" t="s">
        <v>4843</v>
      </c>
      <c r="C2103" t="s">
        <v>190</v>
      </c>
      <c r="D2103" t="s">
        <v>4844</v>
      </c>
    </row>
    <row r="2104" spans="1:4" x14ac:dyDescent="0.2">
      <c r="A2104" t="s">
        <v>4842</v>
      </c>
      <c r="B2104" t="s">
        <v>4845</v>
      </c>
      <c r="C2104" t="s">
        <v>190</v>
      </c>
      <c r="D2104" t="s">
        <v>191</v>
      </c>
    </row>
    <row r="2105" spans="1:4" x14ac:dyDescent="0.2">
      <c r="A2105" t="s">
        <v>4846</v>
      </c>
      <c r="B2105" t="s">
        <v>4847</v>
      </c>
      <c r="C2105" t="s">
        <v>4848</v>
      </c>
      <c r="D2105" t="s">
        <v>195</v>
      </c>
    </row>
    <row r="2106" spans="1:4" x14ac:dyDescent="0.2">
      <c r="A2106" t="s">
        <v>4849</v>
      </c>
      <c r="B2106" t="s">
        <v>4850</v>
      </c>
      <c r="C2106" t="s">
        <v>190</v>
      </c>
      <c r="D2106" t="s">
        <v>191</v>
      </c>
    </row>
    <row r="2107" spans="1:4" x14ac:dyDescent="0.2">
      <c r="A2107" t="s">
        <v>4851</v>
      </c>
      <c r="B2107" t="s">
        <v>4852</v>
      </c>
      <c r="C2107" t="s">
        <v>190</v>
      </c>
      <c r="D2107" t="s">
        <v>191</v>
      </c>
    </row>
    <row r="2108" spans="1:4" x14ac:dyDescent="0.2">
      <c r="A2108" t="s">
        <v>4853</v>
      </c>
      <c r="B2108" t="s">
        <v>4854</v>
      </c>
      <c r="C2108" t="s">
        <v>4855</v>
      </c>
      <c r="D2108" t="s">
        <v>195</v>
      </c>
    </row>
    <row r="2109" spans="1:4" x14ac:dyDescent="0.2">
      <c r="A2109" t="s">
        <v>4856</v>
      </c>
      <c r="B2109" t="s">
        <v>4857</v>
      </c>
      <c r="C2109" t="s">
        <v>4858</v>
      </c>
      <c r="D2109" t="s">
        <v>195</v>
      </c>
    </row>
    <row r="2110" spans="1:4" x14ac:dyDescent="0.2">
      <c r="A2110" t="s">
        <v>4859</v>
      </c>
      <c r="B2110" t="s">
        <v>4860</v>
      </c>
      <c r="C2110" t="s">
        <v>4861</v>
      </c>
      <c r="D2110" t="s">
        <v>187</v>
      </c>
    </row>
    <row r="2111" spans="1:4" x14ac:dyDescent="0.2">
      <c r="A2111" t="s">
        <v>4862</v>
      </c>
      <c r="B2111" t="s">
        <v>4863</v>
      </c>
      <c r="C2111" t="s">
        <v>4864</v>
      </c>
      <c r="D2111" t="s">
        <v>195</v>
      </c>
    </row>
    <row r="2112" spans="1:4" x14ac:dyDescent="0.2">
      <c r="A2112" t="s">
        <v>4862</v>
      </c>
      <c r="B2112" t="s">
        <v>4865</v>
      </c>
      <c r="C2112" t="s">
        <v>4866</v>
      </c>
      <c r="D2112" t="s">
        <v>195</v>
      </c>
    </row>
    <row r="2113" spans="1:4" x14ac:dyDescent="0.2">
      <c r="A2113" t="s">
        <v>4867</v>
      </c>
      <c r="B2113" t="s">
        <v>4868</v>
      </c>
      <c r="C2113" t="s">
        <v>4869</v>
      </c>
      <c r="D2113" t="s">
        <v>195</v>
      </c>
    </row>
    <row r="2114" spans="1:4" x14ac:dyDescent="0.2">
      <c r="A2114" t="s">
        <v>4867</v>
      </c>
      <c r="B2114" t="s">
        <v>4870</v>
      </c>
      <c r="C2114" t="s">
        <v>4871</v>
      </c>
      <c r="D2114" t="s">
        <v>195</v>
      </c>
    </row>
    <row r="2115" spans="1:4" x14ac:dyDescent="0.2">
      <c r="A2115" t="s">
        <v>4872</v>
      </c>
      <c r="B2115" t="s">
        <v>4873</v>
      </c>
      <c r="C2115" t="s">
        <v>4874</v>
      </c>
      <c r="D2115" t="s">
        <v>195</v>
      </c>
    </row>
    <row r="2116" spans="1:4" x14ac:dyDescent="0.2">
      <c r="A2116" t="s">
        <v>4872</v>
      </c>
      <c r="B2116" t="s">
        <v>4875</v>
      </c>
      <c r="C2116" t="s">
        <v>4876</v>
      </c>
      <c r="D2116" t="s">
        <v>195</v>
      </c>
    </row>
    <row r="2117" spans="1:4" x14ac:dyDescent="0.2">
      <c r="A2117" t="s">
        <v>4877</v>
      </c>
      <c r="B2117" t="s">
        <v>4878</v>
      </c>
      <c r="C2117" t="s">
        <v>190</v>
      </c>
      <c r="D2117" t="s">
        <v>191</v>
      </c>
    </row>
    <row r="2118" spans="1:4" x14ac:dyDescent="0.2">
      <c r="A2118" t="s">
        <v>4879</v>
      </c>
      <c r="B2118" t="s">
        <v>4880</v>
      </c>
      <c r="C2118" t="s">
        <v>190</v>
      </c>
      <c r="D2118" t="s">
        <v>191</v>
      </c>
    </row>
    <row r="2119" spans="1:4" x14ac:dyDescent="0.2">
      <c r="A2119" t="s">
        <v>4881</v>
      </c>
      <c r="B2119" t="s">
        <v>4882</v>
      </c>
      <c r="C2119" t="s">
        <v>190</v>
      </c>
      <c r="D2119" t="s">
        <v>191</v>
      </c>
    </row>
    <row r="2120" spans="1:4" x14ac:dyDescent="0.2">
      <c r="A2120" t="s">
        <v>4881</v>
      </c>
      <c r="B2120" t="s">
        <v>4883</v>
      </c>
      <c r="C2120" t="s">
        <v>190</v>
      </c>
      <c r="D2120" t="s">
        <v>191</v>
      </c>
    </row>
    <row r="2121" spans="1:4" x14ac:dyDescent="0.2">
      <c r="A2121" t="s">
        <v>4884</v>
      </c>
      <c r="B2121" t="s">
        <v>4885</v>
      </c>
      <c r="C2121" t="s">
        <v>190</v>
      </c>
      <c r="D2121" t="s">
        <v>191</v>
      </c>
    </row>
    <row r="2122" spans="1:4" x14ac:dyDescent="0.2">
      <c r="A2122" t="s">
        <v>4886</v>
      </c>
      <c r="B2122" t="s">
        <v>4887</v>
      </c>
      <c r="C2122" t="s">
        <v>190</v>
      </c>
      <c r="D2122" t="s">
        <v>191</v>
      </c>
    </row>
    <row r="2123" spans="1:4" x14ac:dyDescent="0.2">
      <c r="A2123" t="s">
        <v>4888</v>
      </c>
      <c r="B2123" t="s">
        <v>4889</v>
      </c>
      <c r="C2123" t="s">
        <v>190</v>
      </c>
      <c r="D2123" t="s">
        <v>191</v>
      </c>
    </row>
    <row r="2124" spans="1:4" x14ac:dyDescent="0.2">
      <c r="A2124" t="s">
        <v>4890</v>
      </c>
      <c r="B2124" t="s">
        <v>4891</v>
      </c>
      <c r="C2124" t="s">
        <v>4892</v>
      </c>
      <c r="D2124" t="s">
        <v>195</v>
      </c>
    </row>
    <row r="2125" spans="1:4" x14ac:dyDescent="0.2">
      <c r="A2125" t="s">
        <v>4893</v>
      </c>
      <c r="B2125" t="s">
        <v>4894</v>
      </c>
      <c r="C2125" t="s">
        <v>190</v>
      </c>
      <c r="D2125" t="s">
        <v>191</v>
      </c>
    </row>
    <row r="2126" spans="1:4" x14ac:dyDescent="0.2">
      <c r="A2126" t="s">
        <v>4895</v>
      </c>
      <c r="B2126" t="s">
        <v>4896</v>
      </c>
      <c r="C2126" t="s">
        <v>190</v>
      </c>
      <c r="D2126" t="s">
        <v>191</v>
      </c>
    </row>
    <row r="2127" spans="1:4" x14ac:dyDescent="0.2">
      <c r="A2127" t="s">
        <v>4897</v>
      </c>
      <c r="B2127" t="s">
        <v>4898</v>
      </c>
      <c r="C2127" t="s">
        <v>4899</v>
      </c>
      <c r="D2127" t="s">
        <v>195</v>
      </c>
    </row>
    <row r="2128" spans="1:4" x14ac:dyDescent="0.2">
      <c r="A2128" t="s">
        <v>4900</v>
      </c>
      <c r="B2128" t="s">
        <v>4901</v>
      </c>
      <c r="C2128" t="s">
        <v>190</v>
      </c>
      <c r="D2128" t="s">
        <v>191</v>
      </c>
    </row>
    <row r="2129" spans="1:4" x14ac:dyDescent="0.2">
      <c r="A2129" t="s">
        <v>4902</v>
      </c>
      <c r="B2129" t="s">
        <v>4903</v>
      </c>
      <c r="C2129" t="s">
        <v>190</v>
      </c>
      <c r="D2129" t="s">
        <v>191</v>
      </c>
    </row>
    <row r="2130" spans="1:4" x14ac:dyDescent="0.2">
      <c r="A2130" t="s">
        <v>4904</v>
      </c>
      <c r="B2130" t="s">
        <v>4905</v>
      </c>
      <c r="C2130" t="s">
        <v>190</v>
      </c>
      <c r="D2130" t="s">
        <v>191</v>
      </c>
    </row>
    <row r="2131" spans="1:4" x14ac:dyDescent="0.2">
      <c r="A2131" t="s">
        <v>4906</v>
      </c>
      <c r="B2131" t="s">
        <v>4907</v>
      </c>
      <c r="C2131" t="s">
        <v>190</v>
      </c>
      <c r="D2131" t="s">
        <v>191</v>
      </c>
    </row>
    <row r="2132" spans="1:4" x14ac:dyDescent="0.2">
      <c r="A2132" t="s">
        <v>4906</v>
      </c>
      <c r="B2132" t="s">
        <v>4908</v>
      </c>
      <c r="C2132" t="s">
        <v>190</v>
      </c>
      <c r="D2132" t="s">
        <v>191</v>
      </c>
    </row>
    <row r="2133" spans="1:4" x14ac:dyDescent="0.2">
      <c r="A2133" t="s">
        <v>4906</v>
      </c>
      <c r="B2133" t="s">
        <v>4909</v>
      </c>
      <c r="C2133" t="s">
        <v>4910</v>
      </c>
      <c r="D2133" t="s">
        <v>195</v>
      </c>
    </row>
    <row r="2134" spans="1:4" x14ac:dyDescent="0.2">
      <c r="A2134" t="s">
        <v>4906</v>
      </c>
      <c r="B2134" t="s">
        <v>4911</v>
      </c>
      <c r="C2134" t="s">
        <v>190</v>
      </c>
      <c r="D2134" t="s">
        <v>191</v>
      </c>
    </row>
    <row r="2135" spans="1:4" x14ac:dyDescent="0.2">
      <c r="A2135" t="s">
        <v>4906</v>
      </c>
      <c r="B2135" t="s">
        <v>4912</v>
      </c>
      <c r="C2135" t="s">
        <v>190</v>
      </c>
      <c r="D2135" t="s">
        <v>191</v>
      </c>
    </row>
    <row r="2136" spans="1:4" x14ac:dyDescent="0.2">
      <c r="A2136" t="s">
        <v>4906</v>
      </c>
      <c r="B2136" t="s">
        <v>4913</v>
      </c>
      <c r="C2136" t="s">
        <v>190</v>
      </c>
      <c r="D2136" t="s">
        <v>191</v>
      </c>
    </row>
    <row r="2137" spans="1:4" x14ac:dyDescent="0.2">
      <c r="A2137" t="s">
        <v>4906</v>
      </c>
      <c r="B2137" t="s">
        <v>4914</v>
      </c>
      <c r="C2137" t="s">
        <v>190</v>
      </c>
      <c r="D2137" t="s">
        <v>191</v>
      </c>
    </row>
    <row r="2138" spans="1:4" x14ac:dyDescent="0.2">
      <c r="A2138" t="s">
        <v>4906</v>
      </c>
      <c r="B2138" t="s">
        <v>4915</v>
      </c>
      <c r="C2138" t="s">
        <v>190</v>
      </c>
      <c r="D2138" t="s">
        <v>191</v>
      </c>
    </row>
    <row r="2139" spans="1:4" x14ac:dyDescent="0.2">
      <c r="A2139" t="s">
        <v>4906</v>
      </c>
      <c r="B2139" t="s">
        <v>4916</v>
      </c>
      <c r="C2139" t="s">
        <v>190</v>
      </c>
      <c r="D2139" t="s">
        <v>191</v>
      </c>
    </row>
    <row r="2140" spans="1:4" x14ac:dyDescent="0.2">
      <c r="A2140" t="s">
        <v>4906</v>
      </c>
      <c r="B2140" t="s">
        <v>4917</v>
      </c>
      <c r="C2140" t="s">
        <v>190</v>
      </c>
      <c r="D2140" t="s">
        <v>191</v>
      </c>
    </row>
    <row r="2141" spans="1:4" x14ac:dyDescent="0.2">
      <c r="A2141" t="s">
        <v>4906</v>
      </c>
      <c r="B2141" t="s">
        <v>4918</v>
      </c>
      <c r="C2141" t="s">
        <v>190</v>
      </c>
      <c r="D2141" t="s">
        <v>191</v>
      </c>
    </row>
    <row r="2142" spans="1:4" x14ac:dyDescent="0.2">
      <c r="A2142" t="s">
        <v>4906</v>
      </c>
      <c r="B2142" t="s">
        <v>4919</v>
      </c>
      <c r="C2142" t="s">
        <v>190</v>
      </c>
      <c r="D2142" t="s">
        <v>191</v>
      </c>
    </row>
    <row r="2143" spans="1:4" x14ac:dyDescent="0.2">
      <c r="A2143" t="s">
        <v>4906</v>
      </c>
      <c r="B2143" t="s">
        <v>4920</v>
      </c>
      <c r="C2143" t="s">
        <v>190</v>
      </c>
      <c r="D2143" t="s">
        <v>191</v>
      </c>
    </row>
    <row r="2144" spans="1:4" x14ac:dyDescent="0.2">
      <c r="A2144" t="s">
        <v>4906</v>
      </c>
      <c r="B2144" t="s">
        <v>4921</v>
      </c>
      <c r="C2144" t="s">
        <v>190</v>
      </c>
      <c r="D2144" t="s">
        <v>191</v>
      </c>
    </row>
    <row r="2145" spans="1:4" x14ac:dyDescent="0.2">
      <c r="A2145" t="s">
        <v>4906</v>
      </c>
      <c r="B2145" t="s">
        <v>4922</v>
      </c>
      <c r="C2145" t="s">
        <v>190</v>
      </c>
      <c r="D2145" t="s">
        <v>191</v>
      </c>
    </row>
    <row r="2146" spans="1:4" x14ac:dyDescent="0.2">
      <c r="A2146" t="s">
        <v>4906</v>
      </c>
      <c r="B2146" t="s">
        <v>4923</v>
      </c>
      <c r="C2146" t="s">
        <v>190</v>
      </c>
      <c r="D2146" t="s">
        <v>191</v>
      </c>
    </row>
    <row r="2147" spans="1:4" x14ac:dyDescent="0.2">
      <c r="A2147" t="s">
        <v>4924</v>
      </c>
      <c r="B2147" t="s">
        <v>4925</v>
      </c>
      <c r="C2147" t="s">
        <v>4926</v>
      </c>
      <c r="D2147" t="s">
        <v>195</v>
      </c>
    </row>
    <row r="2148" spans="1:4" x14ac:dyDescent="0.2">
      <c r="A2148" t="s">
        <v>4927</v>
      </c>
      <c r="B2148" t="s">
        <v>4928</v>
      </c>
      <c r="C2148" t="s">
        <v>190</v>
      </c>
      <c r="D2148" t="s">
        <v>191</v>
      </c>
    </row>
    <row r="2149" spans="1:4" x14ac:dyDescent="0.2">
      <c r="A2149" t="s">
        <v>4929</v>
      </c>
      <c r="B2149" t="s">
        <v>4930</v>
      </c>
      <c r="C2149" t="s">
        <v>190</v>
      </c>
      <c r="D2149" t="s">
        <v>191</v>
      </c>
    </row>
    <row r="2150" spans="1:4" x14ac:dyDescent="0.2">
      <c r="A2150" t="s">
        <v>4931</v>
      </c>
      <c r="B2150" t="s">
        <v>4932</v>
      </c>
      <c r="C2150" t="s">
        <v>190</v>
      </c>
      <c r="D2150" t="s">
        <v>191</v>
      </c>
    </row>
    <row r="2151" spans="1:4" x14ac:dyDescent="0.2">
      <c r="A2151" t="s">
        <v>4933</v>
      </c>
      <c r="B2151" t="s">
        <v>4934</v>
      </c>
      <c r="C2151" t="s">
        <v>190</v>
      </c>
      <c r="D2151" t="s">
        <v>191</v>
      </c>
    </row>
    <row r="2152" spans="1:4" x14ac:dyDescent="0.2">
      <c r="A2152" t="s">
        <v>4935</v>
      </c>
      <c r="B2152" t="s">
        <v>4936</v>
      </c>
      <c r="C2152" t="s">
        <v>190</v>
      </c>
      <c r="D2152" t="s">
        <v>191</v>
      </c>
    </row>
    <row r="2153" spans="1:4" x14ac:dyDescent="0.2">
      <c r="A2153" t="s">
        <v>4935</v>
      </c>
      <c r="B2153" t="s">
        <v>4937</v>
      </c>
      <c r="C2153" t="s">
        <v>190</v>
      </c>
      <c r="D2153" t="s">
        <v>191</v>
      </c>
    </row>
    <row r="2154" spans="1:4" x14ac:dyDescent="0.2">
      <c r="A2154" t="s">
        <v>4938</v>
      </c>
      <c r="B2154" t="s">
        <v>4939</v>
      </c>
      <c r="C2154" t="s">
        <v>4940</v>
      </c>
      <c r="D2154" t="s">
        <v>187</v>
      </c>
    </row>
    <row r="2155" spans="1:4" x14ac:dyDescent="0.2">
      <c r="A2155" t="s">
        <v>4941</v>
      </c>
      <c r="B2155" t="s">
        <v>4942</v>
      </c>
      <c r="C2155" t="s">
        <v>4943</v>
      </c>
      <c r="D2155" t="s">
        <v>195</v>
      </c>
    </row>
    <row r="2156" spans="1:4" x14ac:dyDescent="0.2">
      <c r="A2156" t="s">
        <v>4944</v>
      </c>
      <c r="B2156" t="s">
        <v>4945</v>
      </c>
      <c r="C2156" t="s">
        <v>190</v>
      </c>
      <c r="D2156" t="s">
        <v>191</v>
      </c>
    </row>
    <row r="2157" spans="1:4" x14ac:dyDescent="0.2">
      <c r="A2157" t="s">
        <v>4946</v>
      </c>
      <c r="B2157" t="s">
        <v>4947</v>
      </c>
      <c r="C2157" t="s">
        <v>4948</v>
      </c>
      <c r="D2157" t="s">
        <v>187</v>
      </c>
    </row>
    <row r="2158" spans="1:4" x14ac:dyDescent="0.2">
      <c r="A2158" t="s">
        <v>4949</v>
      </c>
      <c r="B2158" t="s">
        <v>4950</v>
      </c>
      <c r="C2158" t="s">
        <v>190</v>
      </c>
      <c r="D2158" t="s">
        <v>191</v>
      </c>
    </row>
    <row r="2159" spans="1:4" x14ac:dyDescent="0.2">
      <c r="A2159" t="s">
        <v>4951</v>
      </c>
      <c r="B2159" t="s">
        <v>4952</v>
      </c>
      <c r="C2159" t="s">
        <v>190</v>
      </c>
      <c r="D2159" t="s">
        <v>4953</v>
      </c>
    </row>
    <row r="2160" spans="1:4" x14ac:dyDescent="0.2">
      <c r="A2160" t="s">
        <v>4954</v>
      </c>
      <c r="B2160" t="s">
        <v>4955</v>
      </c>
      <c r="C2160" t="s">
        <v>190</v>
      </c>
      <c r="D2160" t="s">
        <v>191</v>
      </c>
    </row>
    <row r="2161" spans="1:4" x14ac:dyDescent="0.2">
      <c r="A2161" t="s">
        <v>4956</v>
      </c>
      <c r="B2161" t="s">
        <v>4957</v>
      </c>
      <c r="C2161" t="s">
        <v>4958</v>
      </c>
      <c r="D2161" t="s">
        <v>195</v>
      </c>
    </row>
    <row r="2162" spans="1:4" x14ac:dyDescent="0.2">
      <c r="A2162" t="s">
        <v>4959</v>
      </c>
      <c r="B2162" t="s">
        <v>4960</v>
      </c>
      <c r="C2162" t="s">
        <v>4961</v>
      </c>
      <c r="D2162" t="s">
        <v>195</v>
      </c>
    </row>
    <row r="2163" spans="1:4" x14ac:dyDescent="0.2">
      <c r="A2163" t="s">
        <v>4962</v>
      </c>
      <c r="B2163" t="s">
        <v>4963</v>
      </c>
      <c r="C2163" t="s">
        <v>4964</v>
      </c>
      <c r="D2163" t="s">
        <v>195</v>
      </c>
    </row>
    <row r="2164" spans="1:4" x14ac:dyDescent="0.2">
      <c r="A2164" t="s">
        <v>4965</v>
      </c>
      <c r="B2164" t="s">
        <v>4966</v>
      </c>
      <c r="C2164" t="s">
        <v>190</v>
      </c>
      <c r="D2164" t="s">
        <v>191</v>
      </c>
    </row>
    <row r="2165" spans="1:4" x14ac:dyDescent="0.2">
      <c r="A2165" t="s">
        <v>4965</v>
      </c>
      <c r="B2165" t="s">
        <v>4963</v>
      </c>
      <c r="C2165" t="s">
        <v>4964</v>
      </c>
      <c r="D2165" t="s">
        <v>195</v>
      </c>
    </row>
    <row r="2166" spans="1:4" x14ac:dyDescent="0.2">
      <c r="A2166" t="s">
        <v>4965</v>
      </c>
      <c r="B2166" t="s">
        <v>4967</v>
      </c>
      <c r="C2166" t="s">
        <v>190</v>
      </c>
      <c r="D2166" t="s">
        <v>4968</v>
      </c>
    </row>
    <row r="2167" spans="1:4" x14ac:dyDescent="0.2">
      <c r="A2167" t="s">
        <v>4969</v>
      </c>
      <c r="B2167" t="s">
        <v>4970</v>
      </c>
      <c r="C2167" t="s">
        <v>190</v>
      </c>
      <c r="D2167" t="s">
        <v>191</v>
      </c>
    </row>
    <row r="2168" spans="1:4" x14ac:dyDescent="0.2">
      <c r="A2168" t="s">
        <v>4971</v>
      </c>
      <c r="B2168" t="s">
        <v>4972</v>
      </c>
      <c r="C2168" t="s">
        <v>190</v>
      </c>
      <c r="D2168" t="s">
        <v>191</v>
      </c>
    </row>
    <row r="2169" spans="1:4" x14ac:dyDescent="0.2">
      <c r="A2169" t="s">
        <v>4973</v>
      </c>
      <c r="B2169" t="s">
        <v>4974</v>
      </c>
      <c r="C2169" t="s">
        <v>4975</v>
      </c>
      <c r="D2169" t="s">
        <v>195</v>
      </c>
    </row>
    <row r="2170" spans="1:4" x14ac:dyDescent="0.2">
      <c r="A2170" t="s">
        <v>4976</v>
      </c>
      <c r="B2170" t="s">
        <v>4977</v>
      </c>
      <c r="C2170" t="s">
        <v>190</v>
      </c>
      <c r="D2170" t="s">
        <v>191</v>
      </c>
    </row>
    <row r="2171" spans="1:4" x14ac:dyDescent="0.2">
      <c r="A2171" t="s">
        <v>4976</v>
      </c>
      <c r="B2171" t="s">
        <v>4978</v>
      </c>
      <c r="C2171" t="s">
        <v>190</v>
      </c>
      <c r="D2171" t="s">
        <v>191</v>
      </c>
    </row>
    <row r="2172" spans="1:4" x14ac:dyDescent="0.2">
      <c r="A2172" t="s">
        <v>4976</v>
      </c>
      <c r="B2172" t="s">
        <v>4979</v>
      </c>
      <c r="C2172" t="s">
        <v>190</v>
      </c>
      <c r="D2172" t="s">
        <v>191</v>
      </c>
    </row>
    <row r="2173" spans="1:4" x14ac:dyDescent="0.2">
      <c r="A2173" t="s">
        <v>4976</v>
      </c>
      <c r="B2173" t="s">
        <v>4980</v>
      </c>
      <c r="C2173" t="s">
        <v>190</v>
      </c>
      <c r="D2173" t="s">
        <v>191</v>
      </c>
    </row>
    <row r="2174" spans="1:4" x14ac:dyDescent="0.2">
      <c r="A2174" t="s">
        <v>4981</v>
      </c>
      <c r="B2174" t="s">
        <v>4982</v>
      </c>
      <c r="C2174" t="s">
        <v>190</v>
      </c>
      <c r="D2174" t="s">
        <v>191</v>
      </c>
    </row>
    <row r="2175" spans="1:4" x14ac:dyDescent="0.2">
      <c r="A2175" t="s">
        <v>4983</v>
      </c>
      <c r="B2175" t="s">
        <v>4984</v>
      </c>
      <c r="C2175" t="s">
        <v>4985</v>
      </c>
      <c r="D2175" t="s">
        <v>195</v>
      </c>
    </row>
    <row r="2176" spans="1:4" x14ac:dyDescent="0.2">
      <c r="A2176" t="s">
        <v>4986</v>
      </c>
      <c r="B2176" t="s">
        <v>4987</v>
      </c>
      <c r="C2176" t="s">
        <v>190</v>
      </c>
      <c r="D2176" t="s">
        <v>191</v>
      </c>
    </row>
    <row r="2177" spans="1:4" x14ac:dyDescent="0.2">
      <c r="A2177" t="s">
        <v>4988</v>
      </c>
      <c r="B2177" t="s">
        <v>4989</v>
      </c>
      <c r="C2177" t="s">
        <v>4990</v>
      </c>
      <c r="D2177" t="s">
        <v>195</v>
      </c>
    </row>
    <row r="2178" spans="1:4" x14ac:dyDescent="0.2">
      <c r="A2178" t="s">
        <v>4991</v>
      </c>
      <c r="B2178" t="s">
        <v>4992</v>
      </c>
      <c r="C2178" t="s">
        <v>4993</v>
      </c>
      <c r="D2178" t="s">
        <v>195</v>
      </c>
    </row>
    <row r="2179" spans="1:4" x14ac:dyDescent="0.2">
      <c r="A2179" t="s">
        <v>4994</v>
      </c>
      <c r="B2179" t="s">
        <v>4995</v>
      </c>
      <c r="C2179" t="s">
        <v>4996</v>
      </c>
      <c r="D2179" t="s">
        <v>187</v>
      </c>
    </row>
    <row r="2180" spans="1:4" x14ac:dyDescent="0.2">
      <c r="A2180" t="s">
        <v>4997</v>
      </c>
      <c r="B2180" t="s">
        <v>4998</v>
      </c>
      <c r="C2180" t="s">
        <v>190</v>
      </c>
      <c r="D2180" t="s">
        <v>191</v>
      </c>
    </row>
    <row r="2181" spans="1:4" x14ac:dyDescent="0.2">
      <c r="A2181" t="s">
        <v>4999</v>
      </c>
      <c r="B2181" t="s">
        <v>5000</v>
      </c>
      <c r="C2181" t="s">
        <v>190</v>
      </c>
      <c r="D2181" t="s">
        <v>191</v>
      </c>
    </row>
    <row r="2182" spans="1:4" x14ac:dyDescent="0.2">
      <c r="A2182" t="s">
        <v>5001</v>
      </c>
      <c r="B2182" t="s">
        <v>5002</v>
      </c>
      <c r="C2182" t="s">
        <v>5003</v>
      </c>
      <c r="D2182" t="s">
        <v>195</v>
      </c>
    </row>
    <row r="2183" spans="1:4" x14ac:dyDescent="0.2">
      <c r="A2183" t="s">
        <v>5004</v>
      </c>
      <c r="B2183" t="s">
        <v>5005</v>
      </c>
      <c r="C2183" t="s">
        <v>5006</v>
      </c>
      <c r="D2183" t="s">
        <v>187</v>
      </c>
    </row>
    <row r="2184" spans="1:4" x14ac:dyDescent="0.2">
      <c r="A2184" t="s">
        <v>5007</v>
      </c>
      <c r="B2184" t="s">
        <v>5008</v>
      </c>
      <c r="C2184" t="s">
        <v>5009</v>
      </c>
      <c r="D2184" t="s">
        <v>195</v>
      </c>
    </row>
    <row r="2185" spans="1:4" x14ac:dyDescent="0.2">
      <c r="A2185" t="s">
        <v>5010</v>
      </c>
      <c r="B2185" t="s">
        <v>5011</v>
      </c>
      <c r="C2185" t="s">
        <v>190</v>
      </c>
      <c r="D2185" t="s">
        <v>191</v>
      </c>
    </row>
    <row r="2186" spans="1:4" x14ac:dyDescent="0.2">
      <c r="A2186" t="s">
        <v>5012</v>
      </c>
      <c r="B2186" t="s">
        <v>5013</v>
      </c>
      <c r="C2186" t="s">
        <v>190</v>
      </c>
      <c r="D2186" t="s">
        <v>191</v>
      </c>
    </row>
    <row r="2187" spans="1:4" x14ac:dyDescent="0.2">
      <c r="A2187" t="s">
        <v>5014</v>
      </c>
      <c r="B2187" t="s">
        <v>5015</v>
      </c>
      <c r="C2187" t="s">
        <v>190</v>
      </c>
      <c r="D2187" t="s">
        <v>191</v>
      </c>
    </row>
    <row r="2188" spans="1:4" x14ac:dyDescent="0.2">
      <c r="A2188" t="s">
        <v>5016</v>
      </c>
      <c r="B2188" t="s">
        <v>5017</v>
      </c>
      <c r="C2188" t="s">
        <v>5018</v>
      </c>
      <c r="D2188" t="s">
        <v>187</v>
      </c>
    </row>
    <row r="2189" spans="1:4" x14ac:dyDescent="0.2">
      <c r="A2189" t="s">
        <v>5019</v>
      </c>
      <c r="B2189" t="s">
        <v>5020</v>
      </c>
      <c r="C2189" t="s">
        <v>5021</v>
      </c>
      <c r="D2189" t="s">
        <v>195</v>
      </c>
    </row>
    <row r="2190" spans="1:4" x14ac:dyDescent="0.2">
      <c r="A2190" t="s">
        <v>5022</v>
      </c>
      <c r="B2190" t="s">
        <v>5023</v>
      </c>
      <c r="C2190" t="s">
        <v>5024</v>
      </c>
      <c r="D2190" t="s">
        <v>187</v>
      </c>
    </row>
    <row r="2191" spans="1:4" x14ac:dyDescent="0.2">
      <c r="A2191" t="s">
        <v>5025</v>
      </c>
      <c r="B2191" t="s">
        <v>5026</v>
      </c>
      <c r="C2191" t="s">
        <v>190</v>
      </c>
      <c r="D2191" t="s">
        <v>191</v>
      </c>
    </row>
    <row r="2192" spans="1:4" x14ac:dyDescent="0.2">
      <c r="A2192" t="s">
        <v>5027</v>
      </c>
      <c r="B2192" t="s">
        <v>5028</v>
      </c>
      <c r="C2192" t="s">
        <v>5029</v>
      </c>
      <c r="D2192" t="s">
        <v>187</v>
      </c>
    </row>
    <row r="2193" spans="1:4" x14ac:dyDescent="0.2">
      <c r="A2193" t="s">
        <v>5027</v>
      </c>
      <c r="B2193" t="s">
        <v>5030</v>
      </c>
      <c r="C2193" t="s">
        <v>190</v>
      </c>
      <c r="D2193" t="s">
        <v>5031</v>
      </c>
    </row>
    <row r="2194" spans="1:4" x14ac:dyDescent="0.2">
      <c r="A2194" t="s">
        <v>5027</v>
      </c>
      <c r="B2194" t="s">
        <v>5032</v>
      </c>
      <c r="C2194" t="s">
        <v>190</v>
      </c>
      <c r="D2194" t="s">
        <v>5033</v>
      </c>
    </row>
    <row r="2195" spans="1:4" x14ac:dyDescent="0.2">
      <c r="A2195" t="s">
        <v>5034</v>
      </c>
      <c r="B2195" t="s">
        <v>5035</v>
      </c>
      <c r="C2195" t="s">
        <v>190</v>
      </c>
      <c r="D2195" t="s">
        <v>191</v>
      </c>
    </row>
    <row r="2196" spans="1:4" x14ac:dyDescent="0.2">
      <c r="A2196" t="s">
        <v>5036</v>
      </c>
      <c r="B2196" t="s">
        <v>5037</v>
      </c>
      <c r="C2196" t="s">
        <v>5038</v>
      </c>
      <c r="D2196" t="s">
        <v>195</v>
      </c>
    </row>
    <row r="2197" spans="1:4" x14ac:dyDescent="0.2">
      <c r="A2197" t="s">
        <v>5039</v>
      </c>
      <c r="B2197" t="s">
        <v>5040</v>
      </c>
      <c r="C2197" t="s">
        <v>5041</v>
      </c>
      <c r="D2197" t="s">
        <v>195</v>
      </c>
    </row>
    <row r="2198" spans="1:4" x14ac:dyDescent="0.2">
      <c r="A2198" t="s">
        <v>5042</v>
      </c>
      <c r="B2198" t="s">
        <v>5043</v>
      </c>
      <c r="C2198" t="s">
        <v>5044</v>
      </c>
      <c r="D2198" t="s">
        <v>187</v>
      </c>
    </row>
    <row r="2199" spans="1:4" x14ac:dyDescent="0.2">
      <c r="A2199" t="s">
        <v>5045</v>
      </c>
      <c r="B2199" t="s">
        <v>5046</v>
      </c>
      <c r="C2199" t="s">
        <v>5047</v>
      </c>
      <c r="D2199" t="s">
        <v>195</v>
      </c>
    </row>
    <row r="2200" spans="1:4" x14ac:dyDescent="0.2">
      <c r="A2200" t="s">
        <v>5048</v>
      </c>
      <c r="B2200" t="s">
        <v>5049</v>
      </c>
      <c r="C2200" t="s">
        <v>190</v>
      </c>
      <c r="D2200" t="s">
        <v>191</v>
      </c>
    </row>
    <row r="2201" spans="1:4" x14ac:dyDescent="0.2">
      <c r="A2201" t="s">
        <v>5050</v>
      </c>
      <c r="B2201" t="s">
        <v>5051</v>
      </c>
      <c r="C2201" t="s">
        <v>190</v>
      </c>
      <c r="D2201" t="s">
        <v>191</v>
      </c>
    </row>
    <row r="2202" spans="1:4" x14ac:dyDescent="0.2">
      <c r="A2202" t="s">
        <v>5052</v>
      </c>
      <c r="B2202" t="s">
        <v>5053</v>
      </c>
      <c r="C2202" t="s">
        <v>190</v>
      </c>
      <c r="D2202" t="s">
        <v>191</v>
      </c>
    </row>
    <row r="2203" spans="1:4" x14ac:dyDescent="0.2">
      <c r="A2203" t="s">
        <v>5054</v>
      </c>
      <c r="B2203" t="s">
        <v>5055</v>
      </c>
      <c r="C2203" t="s">
        <v>5056</v>
      </c>
      <c r="D2203" t="s">
        <v>187</v>
      </c>
    </row>
    <row r="2204" spans="1:4" x14ac:dyDescent="0.2">
      <c r="A2204" t="s">
        <v>5057</v>
      </c>
      <c r="B2204" t="s">
        <v>5058</v>
      </c>
      <c r="C2204" t="s">
        <v>190</v>
      </c>
      <c r="D2204" t="s">
        <v>191</v>
      </c>
    </row>
    <row r="2205" spans="1:4" x14ac:dyDescent="0.2">
      <c r="A2205" t="s">
        <v>5059</v>
      </c>
      <c r="B2205" t="s">
        <v>5060</v>
      </c>
      <c r="C2205" t="s">
        <v>5061</v>
      </c>
      <c r="D2205" t="s">
        <v>187</v>
      </c>
    </row>
    <row r="2206" spans="1:4" x14ac:dyDescent="0.2">
      <c r="A2206" t="s">
        <v>5062</v>
      </c>
      <c r="B2206" t="s">
        <v>5063</v>
      </c>
      <c r="C2206" t="s">
        <v>5064</v>
      </c>
      <c r="D2206" t="s">
        <v>195</v>
      </c>
    </row>
    <row r="2207" spans="1:4" x14ac:dyDescent="0.2">
      <c r="A2207" t="s">
        <v>5065</v>
      </c>
      <c r="B2207" t="s">
        <v>5066</v>
      </c>
      <c r="C2207" t="s">
        <v>190</v>
      </c>
      <c r="D2207" t="s">
        <v>191</v>
      </c>
    </row>
    <row r="2208" spans="1:4" x14ac:dyDescent="0.2">
      <c r="A2208" t="s">
        <v>5067</v>
      </c>
      <c r="B2208" t="s">
        <v>5068</v>
      </c>
      <c r="C2208" t="s">
        <v>190</v>
      </c>
      <c r="D2208" t="s">
        <v>191</v>
      </c>
    </row>
    <row r="2209" spans="1:4" x14ac:dyDescent="0.2">
      <c r="A2209" t="s">
        <v>5069</v>
      </c>
      <c r="B2209" t="s">
        <v>5070</v>
      </c>
      <c r="C2209" t="s">
        <v>190</v>
      </c>
      <c r="D2209" t="s">
        <v>191</v>
      </c>
    </row>
    <row r="2210" spans="1:4" x14ac:dyDescent="0.2">
      <c r="A2210" t="s">
        <v>5071</v>
      </c>
      <c r="B2210" t="s">
        <v>5072</v>
      </c>
      <c r="C2210" t="s">
        <v>5073</v>
      </c>
      <c r="D2210" t="s">
        <v>187</v>
      </c>
    </row>
    <row r="2211" spans="1:4" x14ac:dyDescent="0.2">
      <c r="A2211" t="s">
        <v>5074</v>
      </c>
      <c r="B2211" t="s">
        <v>5075</v>
      </c>
      <c r="C2211" t="s">
        <v>5076</v>
      </c>
      <c r="D2211" t="s">
        <v>195</v>
      </c>
    </row>
    <row r="2212" spans="1:4" x14ac:dyDescent="0.2">
      <c r="A2212" t="s">
        <v>5077</v>
      </c>
      <c r="B2212" t="s">
        <v>5078</v>
      </c>
      <c r="C2212" t="s">
        <v>5079</v>
      </c>
      <c r="D2212" t="s">
        <v>187</v>
      </c>
    </row>
    <row r="2213" spans="1:4" x14ac:dyDescent="0.2">
      <c r="A2213" t="s">
        <v>5080</v>
      </c>
      <c r="B2213" t="s">
        <v>5081</v>
      </c>
      <c r="C2213" t="s">
        <v>190</v>
      </c>
      <c r="D2213" t="s">
        <v>191</v>
      </c>
    </row>
    <row r="2214" spans="1:4" x14ac:dyDescent="0.2">
      <c r="A2214" t="s">
        <v>5082</v>
      </c>
      <c r="B2214" t="s">
        <v>5083</v>
      </c>
      <c r="C2214" t="s">
        <v>190</v>
      </c>
      <c r="D2214" t="s">
        <v>191</v>
      </c>
    </row>
    <row r="2215" spans="1:4" x14ac:dyDescent="0.2">
      <c r="A2215" t="s">
        <v>5084</v>
      </c>
      <c r="B2215" t="s">
        <v>5085</v>
      </c>
      <c r="C2215" t="s">
        <v>190</v>
      </c>
      <c r="D2215" t="s">
        <v>191</v>
      </c>
    </row>
    <row r="2216" spans="1:4" x14ac:dyDescent="0.2">
      <c r="A2216" t="s">
        <v>5086</v>
      </c>
      <c r="B2216" t="s">
        <v>5087</v>
      </c>
      <c r="C2216" t="s">
        <v>190</v>
      </c>
      <c r="D2216" t="s">
        <v>191</v>
      </c>
    </row>
    <row r="2217" spans="1:4" x14ac:dyDescent="0.2">
      <c r="A2217" t="s">
        <v>5088</v>
      </c>
      <c r="B2217" t="s">
        <v>5089</v>
      </c>
      <c r="C2217" t="s">
        <v>190</v>
      </c>
      <c r="D2217" t="s">
        <v>191</v>
      </c>
    </row>
    <row r="2218" spans="1:4" x14ac:dyDescent="0.2">
      <c r="A2218" t="s">
        <v>5090</v>
      </c>
      <c r="B2218" t="s">
        <v>5091</v>
      </c>
      <c r="C2218" t="s">
        <v>190</v>
      </c>
      <c r="D2218" t="s">
        <v>191</v>
      </c>
    </row>
    <row r="2219" spans="1:4" x14ac:dyDescent="0.2">
      <c r="A2219" t="s">
        <v>5092</v>
      </c>
      <c r="B2219" t="s">
        <v>5093</v>
      </c>
      <c r="C2219" t="s">
        <v>190</v>
      </c>
      <c r="D2219" t="s">
        <v>191</v>
      </c>
    </row>
    <row r="2220" spans="1:4" x14ac:dyDescent="0.2">
      <c r="A2220" t="s">
        <v>5094</v>
      </c>
      <c r="B2220" t="s">
        <v>5095</v>
      </c>
      <c r="C2220" t="s">
        <v>5096</v>
      </c>
      <c r="D2220" t="s">
        <v>195</v>
      </c>
    </row>
    <row r="2221" spans="1:4" x14ac:dyDescent="0.2">
      <c r="A2221" t="s">
        <v>5097</v>
      </c>
      <c r="B2221" t="s">
        <v>5098</v>
      </c>
      <c r="C2221" t="s">
        <v>190</v>
      </c>
      <c r="D2221" t="s">
        <v>191</v>
      </c>
    </row>
    <row r="2222" spans="1:4" x14ac:dyDescent="0.2">
      <c r="A2222" t="s">
        <v>5099</v>
      </c>
      <c r="B2222" t="s">
        <v>5100</v>
      </c>
      <c r="C2222" t="s">
        <v>5101</v>
      </c>
      <c r="D2222" t="s">
        <v>195</v>
      </c>
    </row>
    <row r="2223" spans="1:4" x14ac:dyDescent="0.2">
      <c r="A2223" t="s">
        <v>5102</v>
      </c>
      <c r="B2223" t="s">
        <v>5103</v>
      </c>
      <c r="C2223" t="s">
        <v>190</v>
      </c>
      <c r="D2223" t="s">
        <v>191</v>
      </c>
    </row>
    <row r="2224" spans="1:4" x14ac:dyDescent="0.2">
      <c r="A2224" t="s">
        <v>5104</v>
      </c>
      <c r="B2224" t="s">
        <v>5105</v>
      </c>
      <c r="C2224" t="s">
        <v>5106</v>
      </c>
      <c r="D2224" t="s">
        <v>195</v>
      </c>
    </row>
    <row r="2225" spans="1:4" x14ac:dyDescent="0.2">
      <c r="A2225" t="s">
        <v>5107</v>
      </c>
      <c r="B2225" t="s">
        <v>5108</v>
      </c>
      <c r="C2225" t="s">
        <v>190</v>
      </c>
      <c r="D2225" t="s">
        <v>191</v>
      </c>
    </row>
    <row r="2226" spans="1:4" x14ac:dyDescent="0.2">
      <c r="A2226" t="s">
        <v>5109</v>
      </c>
      <c r="B2226" t="s">
        <v>5110</v>
      </c>
      <c r="C2226" t="s">
        <v>190</v>
      </c>
      <c r="D2226" t="s">
        <v>191</v>
      </c>
    </row>
    <row r="2227" spans="1:4" x14ac:dyDescent="0.2">
      <c r="A2227" t="s">
        <v>5111</v>
      </c>
      <c r="B2227" t="s">
        <v>5112</v>
      </c>
      <c r="C2227" t="s">
        <v>190</v>
      </c>
      <c r="D2227" t="s">
        <v>191</v>
      </c>
    </row>
    <row r="2228" spans="1:4" x14ac:dyDescent="0.2">
      <c r="A2228" t="s">
        <v>5113</v>
      </c>
      <c r="B2228" t="s">
        <v>5114</v>
      </c>
      <c r="C2228" t="s">
        <v>5115</v>
      </c>
      <c r="D2228" t="s">
        <v>187</v>
      </c>
    </row>
    <row r="2229" spans="1:4" x14ac:dyDescent="0.2">
      <c r="A2229" t="s">
        <v>5116</v>
      </c>
      <c r="B2229" t="s">
        <v>5117</v>
      </c>
      <c r="C2229" t="s">
        <v>190</v>
      </c>
      <c r="D2229" t="s">
        <v>280</v>
      </c>
    </row>
    <row r="2230" spans="1:4" x14ac:dyDescent="0.2">
      <c r="A2230" t="s">
        <v>5116</v>
      </c>
      <c r="B2230" t="s">
        <v>5118</v>
      </c>
      <c r="C2230" t="s">
        <v>190</v>
      </c>
      <c r="D2230" t="s">
        <v>5119</v>
      </c>
    </row>
    <row r="2231" spans="1:4" x14ac:dyDescent="0.2">
      <c r="A2231" t="s">
        <v>5120</v>
      </c>
      <c r="B2231" t="s">
        <v>5121</v>
      </c>
      <c r="C2231" t="s">
        <v>190</v>
      </c>
      <c r="D2231" t="s">
        <v>191</v>
      </c>
    </row>
    <row r="2232" spans="1:4" x14ac:dyDescent="0.2">
      <c r="A2232" t="s">
        <v>5122</v>
      </c>
      <c r="B2232" t="s">
        <v>5123</v>
      </c>
      <c r="C2232" t="s">
        <v>190</v>
      </c>
      <c r="D2232" t="s">
        <v>191</v>
      </c>
    </row>
    <row r="2233" spans="1:4" x14ac:dyDescent="0.2">
      <c r="A2233" t="s">
        <v>5124</v>
      </c>
      <c r="B2233" t="s">
        <v>5125</v>
      </c>
      <c r="C2233" t="s">
        <v>190</v>
      </c>
      <c r="D2233" t="s">
        <v>191</v>
      </c>
    </row>
    <row r="2234" spans="1:4" x14ac:dyDescent="0.2">
      <c r="A2234" t="s">
        <v>5126</v>
      </c>
      <c r="B2234" t="s">
        <v>5127</v>
      </c>
      <c r="C2234" t="s">
        <v>190</v>
      </c>
      <c r="D2234" t="s">
        <v>191</v>
      </c>
    </row>
    <row r="2235" spans="1:4" x14ac:dyDescent="0.2">
      <c r="A2235" t="s">
        <v>5128</v>
      </c>
      <c r="B2235" t="s">
        <v>5129</v>
      </c>
      <c r="C2235" t="s">
        <v>190</v>
      </c>
      <c r="D2235" t="s">
        <v>191</v>
      </c>
    </row>
    <row r="2236" spans="1:4" x14ac:dyDescent="0.2">
      <c r="A2236" t="s">
        <v>5128</v>
      </c>
      <c r="B2236" t="s">
        <v>5130</v>
      </c>
      <c r="C2236" t="s">
        <v>190</v>
      </c>
      <c r="D2236" t="s">
        <v>191</v>
      </c>
    </row>
    <row r="2237" spans="1:4" x14ac:dyDescent="0.2">
      <c r="A2237" t="s">
        <v>5131</v>
      </c>
      <c r="B2237" t="s">
        <v>5132</v>
      </c>
      <c r="C2237" t="s">
        <v>190</v>
      </c>
      <c r="D2237" t="s">
        <v>191</v>
      </c>
    </row>
    <row r="2238" spans="1:4" x14ac:dyDescent="0.2">
      <c r="A2238" t="s">
        <v>5133</v>
      </c>
      <c r="B2238" t="s">
        <v>5134</v>
      </c>
      <c r="C2238" t="s">
        <v>5135</v>
      </c>
      <c r="D2238" t="s">
        <v>195</v>
      </c>
    </row>
    <row r="2239" spans="1:4" x14ac:dyDescent="0.2">
      <c r="A2239" t="s">
        <v>5136</v>
      </c>
      <c r="B2239" t="s">
        <v>5137</v>
      </c>
      <c r="C2239" t="s">
        <v>190</v>
      </c>
      <c r="D2239" t="s">
        <v>191</v>
      </c>
    </row>
    <row r="2240" spans="1:4" x14ac:dyDescent="0.2">
      <c r="A2240" t="s">
        <v>5138</v>
      </c>
      <c r="B2240" t="s">
        <v>5139</v>
      </c>
      <c r="C2240" t="s">
        <v>5140</v>
      </c>
      <c r="D2240" t="s">
        <v>195</v>
      </c>
    </row>
    <row r="2241" spans="1:4" x14ac:dyDescent="0.2">
      <c r="A2241" t="s">
        <v>5138</v>
      </c>
      <c r="B2241" t="s">
        <v>5141</v>
      </c>
      <c r="C2241" t="s">
        <v>190</v>
      </c>
      <c r="D2241" t="s">
        <v>191</v>
      </c>
    </row>
    <row r="2242" spans="1:4" x14ac:dyDescent="0.2">
      <c r="A2242" t="s">
        <v>5142</v>
      </c>
      <c r="B2242" t="s">
        <v>5143</v>
      </c>
      <c r="C2242" t="s">
        <v>190</v>
      </c>
      <c r="D2242" t="s">
        <v>191</v>
      </c>
    </row>
    <row r="2243" spans="1:4" x14ac:dyDescent="0.2">
      <c r="A2243" t="s">
        <v>5144</v>
      </c>
      <c r="B2243" t="s">
        <v>5145</v>
      </c>
      <c r="C2243" t="s">
        <v>5146</v>
      </c>
      <c r="D2243" t="s">
        <v>195</v>
      </c>
    </row>
    <row r="2244" spans="1:4" x14ac:dyDescent="0.2">
      <c r="A2244" t="s">
        <v>5147</v>
      </c>
      <c r="B2244" t="s">
        <v>5148</v>
      </c>
      <c r="C2244" t="s">
        <v>190</v>
      </c>
      <c r="D2244" t="s">
        <v>5149</v>
      </c>
    </row>
    <row r="2245" spans="1:4" x14ac:dyDescent="0.2">
      <c r="A2245" t="s">
        <v>5147</v>
      </c>
      <c r="B2245" t="s">
        <v>5150</v>
      </c>
      <c r="C2245" t="s">
        <v>190</v>
      </c>
      <c r="D2245" t="s">
        <v>5151</v>
      </c>
    </row>
    <row r="2246" spans="1:4" x14ac:dyDescent="0.2">
      <c r="A2246" t="s">
        <v>5152</v>
      </c>
      <c r="B2246" t="s">
        <v>5153</v>
      </c>
      <c r="C2246" t="s">
        <v>190</v>
      </c>
      <c r="D2246" t="s">
        <v>191</v>
      </c>
    </row>
    <row r="2247" spans="1:4" x14ac:dyDescent="0.2">
      <c r="A2247" t="s">
        <v>5154</v>
      </c>
      <c r="B2247" t="s">
        <v>5155</v>
      </c>
      <c r="C2247" t="s">
        <v>190</v>
      </c>
      <c r="D2247" t="s">
        <v>191</v>
      </c>
    </row>
    <row r="2248" spans="1:4" x14ac:dyDescent="0.2">
      <c r="A2248" t="s">
        <v>5156</v>
      </c>
      <c r="B2248" t="s">
        <v>5157</v>
      </c>
      <c r="C2248" t="s">
        <v>190</v>
      </c>
      <c r="D2248" t="s">
        <v>191</v>
      </c>
    </row>
    <row r="2249" spans="1:4" x14ac:dyDescent="0.2">
      <c r="A2249" t="s">
        <v>5158</v>
      </c>
      <c r="B2249" t="s">
        <v>5159</v>
      </c>
      <c r="C2249" t="s">
        <v>190</v>
      </c>
      <c r="D2249" t="s">
        <v>191</v>
      </c>
    </row>
    <row r="2250" spans="1:4" x14ac:dyDescent="0.2">
      <c r="A2250" t="s">
        <v>5160</v>
      </c>
      <c r="B2250" t="s">
        <v>5161</v>
      </c>
      <c r="C2250" t="s">
        <v>190</v>
      </c>
      <c r="D2250" t="s">
        <v>191</v>
      </c>
    </row>
    <row r="2251" spans="1:4" x14ac:dyDescent="0.2">
      <c r="A2251" t="s">
        <v>5162</v>
      </c>
      <c r="B2251" t="s">
        <v>5163</v>
      </c>
      <c r="C2251" t="s">
        <v>5164</v>
      </c>
      <c r="D2251" t="s">
        <v>187</v>
      </c>
    </row>
    <row r="2252" spans="1:4" x14ac:dyDescent="0.2">
      <c r="A2252" t="s">
        <v>5165</v>
      </c>
      <c r="B2252" t="s">
        <v>5166</v>
      </c>
      <c r="C2252" t="s">
        <v>5167</v>
      </c>
      <c r="D2252" t="s">
        <v>187</v>
      </c>
    </row>
    <row r="2253" spans="1:4" x14ac:dyDescent="0.2">
      <c r="A2253" t="s">
        <v>5168</v>
      </c>
      <c r="B2253" t="s">
        <v>5169</v>
      </c>
      <c r="C2253" t="s">
        <v>5170</v>
      </c>
      <c r="D2253" t="s">
        <v>195</v>
      </c>
    </row>
    <row r="2254" spans="1:4" x14ac:dyDescent="0.2">
      <c r="A2254" t="s">
        <v>5168</v>
      </c>
      <c r="B2254" t="s">
        <v>5171</v>
      </c>
      <c r="C2254" t="s">
        <v>190</v>
      </c>
      <c r="D2254" t="s">
        <v>280</v>
      </c>
    </row>
    <row r="2255" spans="1:4" x14ac:dyDescent="0.2">
      <c r="A2255" t="s">
        <v>5172</v>
      </c>
      <c r="B2255" t="s">
        <v>5173</v>
      </c>
      <c r="C2255" t="s">
        <v>190</v>
      </c>
      <c r="D2255" t="s">
        <v>191</v>
      </c>
    </row>
    <row r="2256" spans="1:4" x14ac:dyDescent="0.2">
      <c r="A2256" t="s">
        <v>5174</v>
      </c>
      <c r="B2256" t="s">
        <v>5175</v>
      </c>
      <c r="C2256" t="s">
        <v>5176</v>
      </c>
      <c r="D2256" t="s">
        <v>195</v>
      </c>
    </row>
    <row r="2257" spans="1:4" x14ac:dyDescent="0.2">
      <c r="A2257" t="s">
        <v>5177</v>
      </c>
      <c r="B2257" t="s">
        <v>5178</v>
      </c>
      <c r="C2257" t="s">
        <v>190</v>
      </c>
      <c r="D2257" t="s">
        <v>191</v>
      </c>
    </row>
    <row r="2258" spans="1:4" x14ac:dyDescent="0.2">
      <c r="A2258" t="s">
        <v>5179</v>
      </c>
      <c r="B2258" t="s">
        <v>5180</v>
      </c>
      <c r="C2258" t="s">
        <v>190</v>
      </c>
      <c r="D2258" t="s">
        <v>191</v>
      </c>
    </row>
    <row r="2259" spans="1:4" x14ac:dyDescent="0.2">
      <c r="A2259" t="s">
        <v>5181</v>
      </c>
      <c r="B2259" t="s">
        <v>5182</v>
      </c>
      <c r="C2259" t="s">
        <v>190</v>
      </c>
      <c r="D2259" t="s">
        <v>191</v>
      </c>
    </row>
    <row r="2260" spans="1:4" x14ac:dyDescent="0.2">
      <c r="A2260" t="s">
        <v>5183</v>
      </c>
      <c r="B2260" t="s">
        <v>5184</v>
      </c>
      <c r="C2260" t="s">
        <v>5185</v>
      </c>
      <c r="D2260" t="s">
        <v>187</v>
      </c>
    </row>
    <row r="2261" spans="1:4" x14ac:dyDescent="0.2">
      <c r="A2261" t="s">
        <v>5186</v>
      </c>
      <c r="B2261" t="s">
        <v>5187</v>
      </c>
      <c r="C2261" t="s">
        <v>190</v>
      </c>
      <c r="D2261" t="s">
        <v>191</v>
      </c>
    </row>
    <row r="2262" spans="1:4" x14ac:dyDescent="0.2">
      <c r="A2262" t="s">
        <v>5188</v>
      </c>
      <c r="B2262" t="s">
        <v>5189</v>
      </c>
      <c r="C2262" t="s">
        <v>5190</v>
      </c>
      <c r="D2262" t="s">
        <v>195</v>
      </c>
    </row>
    <row r="2263" spans="1:4" x14ac:dyDescent="0.2">
      <c r="A2263" t="s">
        <v>5188</v>
      </c>
      <c r="B2263" t="s">
        <v>5191</v>
      </c>
      <c r="C2263" t="s">
        <v>190</v>
      </c>
      <c r="D2263" t="s">
        <v>280</v>
      </c>
    </row>
    <row r="2264" spans="1:4" x14ac:dyDescent="0.2">
      <c r="A2264" t="s">
        <v>5192</v>
      </c>
      <c r="B2264" t="s">
        <v>5193</v>
      </c>
      <c r="C2264" t="s">
        <v>5194</v>
      </c>
      <c r="D2264" t="s">
        <v>187</v>
      </c>
    </row>
    <row r="2265" spans="1:4" x14ac:dyDescent="0.2">
      <c r="A2265" t="s">
        <v>5195</v>
      </c>
      <c r="B2265" t="s">
        <v>5196</v>
      </c>
      <c r="C2265" t="s">
        <v>190</v>
      </c>
      <c r="D2265" t="s">
        <v>191</v>
      </c>
    </row>
    <row r="2266" spans="1:4" x14ac:dyDescent="0.2">
      <c r="A2266" t="s">
        <v>5197</v>
      </c>
      <c r="B2266" t="s">
        <v>5198</v>
      </c>
      <c r="C2266" t="s">
        <v>190</v>
      </c>
      <c r="D2266" t="s">
        <v>191</v>
      </c>
    </row>
    <row r="2267" spans="1:4" x14ac:dyDescent="0.2">
      <c r="A2267" t="s">
        <v>5197</v>
      </c>
      <c r="B2267" t="s">
        <v>5199</v>
      </c>
      <c r="C2267" t="s">
        <v>5200</v>
      </c>
      <c r="D2267" t="s">
        <v>195</v>
      </c>
    </row>
    <row r="2268" spans="1:4" x14ac:dyDescent="0.2">
      <c r="A2268" t="s">
        <v>5201</v>
      </c>
      <c r="B2268" t="s">
        <v>5202</v>
      </c>
      <c r="C2268" t="s">
        <v>5203</v>
      </c>
      <c r="D2268" t="s">
        <v>195</v>
      </c>
    </row>
    <row r="2269" spans="1:4" x14ac:dyDescent="0.2">
      <c r="A2269" t="s">
        <v>5204</v>
      </c>
      <c r="B2269" t="s">
        <v>5205</v>
      </c>
      <c r="C2269" t="s">
        <v>190</v>
      </c>
      <c r="D2269" t="s">
        <v>191</v>
      </c>
    </row>
    <row r="2270" spans="1:4" x14ac:dyDescent="0.2">
      <c r="A2270" t="s">
        <v>5206</v>
      </c>
      <c r="B2270" t="s">
        <v>5207</v>
      </c>
      <c r="C2270" t="s">
        <v>190</v>
      </c>
      <c r="D2270" t="s">
        <v>191</v>
      </c>
    </row>
    <row r="2271" spans="1:4" x14ac:dyDescent="0.2">
      <c r="A2271" t="s">
        <v>5208</v>
      </c>
      <c r="B2271" t="s">
        <v>5209</v>
      </c>
      <c r="C2271" t="s">
        <v>190</v>
      </c>
      <c r="D2271" t="s">
        <v>191</v>
      </c>
    </row>
    <row r="2272" spans="1:4" x14ac:dyDescent="0.2">
      <c r="A2272" t="s">
        <v>5210</v>
      </c>
      <c r="B2272" t="s">
        <v>5211</v>
      </c>
      <c r="C2272" t="s">
        <v>190</v>
      </c>
      <c r="D2272" t="s">
        <v>191</v>
      </c>
    </row>
    <row r="2273" spans="1:4" x14ac:dyDescent="0.2">
      <c r="A2273" t="s">
        <v>5212</v>
      </c>
      <c r="B2273" t="s">
        <v>5213</v>
      </c>
      <c r="C2273" t="s">
        <v>190</v>
      </c>
      <c r="D2273" t="s">
        <v>5214</v>
      </c>
    </row>
    <row r="2274" spans="1:4" x14ac:dyDescent="0.2">
      <c r="A2274" t="s">
        <v>5212</v>
      </c>
      <c r="B2274" t="s">
        <v>5211</v>
      </c>
      <c r="C2274" t="s">
        <v>190</v>
      </c>
      <c r="D2274" t="s">
        <v>5215</v>
      </c>
    </row>
    <row r="2275" spans="1:4" x14ac:dyDescent="0.2">
      <c r="A2275" t="s">
        <v>5216</v>
      </c>
      <c r="B2275" t="s">
        <v>5217</v>
      </c>
      <c r="C2275" t="s">
        <v>190</v>
      </c>
      <c r="D2275" t="s">
        <v>191</v>
      </c>
    </row>
    <row r="2276" spans="1:4" x14ac:dyDescent="0.2">
      <c r="A2276" t="s">
        <v>5218</v>
      </c>
      <c r="B2276" t="s">
        <v>5219</v>
      </c>
      <c r="C2276" t="s">
        <v>190</v>
      </c>
      <c r="D2276" t="s">
        <v>5220</v>
      </c>
    </row>
    <row r="2277" spans="1:4" x14ac:dyDescent="0.2">
      <c r="A2277" t="s">
        <v>5218</v>
      </c>
      <c r="B2277" t="s">
        <v>5221</v>
      </c>
      <c r="C2277" t="s">
        <v>5222</v>
      </c>
      <c r="D2277" t="s">
        <v>195</v>
      </c>
    </row>
    <row r="2278" spans="1:4" x14ac:dyDescent="0.2">
      <c r="A2278" t="s">
        <v>5218</v>
      </c>
      <c r="B2278" t="s">
        <v>5223</v>
      </c>
      <c r="C2278" t="s">
        <v>190</v>
      </c>
      <c r="D2278" t="s">
        <v>191</v>
      </c>
    </row>
    <row r="2279" spans="1:4" x14ac:dyDescent="0.2">
      <c r="A2279" t="s">
        <v>5224</v>
      </c>
      <c r="B2279" t="s">
        <v>5225</v>
      </c>
      <c r="C2279" t="s">
        <v>5226</v>
      </c>
      <c r="D2279" t="s">
        <v>187</v>
      </c>
    </row>
    <row r="2280" spans="1:4" x14ac:dyDescent="0.2">
      <c r="A2280" t="s">
        <v>5227</v>
      </c>
      <c r="B2280" t="s">
        <v>5228</v>
      </c>
      <c r="C2280" t="s">
        <v>190</v>
      </c>
      <c r="D2280" t="s">
        <v>191</v>
      </c>
    </row>
    <row r="2281" spans="1:4" x14ac:dyDescent="0.2">
      <c r="A2281" t="s">
        <v>5229</v>
      </c>
      <c r="B2281" t="s">
        <v>5230</v>
      </c>
      <c r="C2281" t="s">
        <v>5231</v>
      </c>
      <c r="D2281" t="s">
        <v>195</v>
      </c>
    </row>
    <row r="2282" spans="1:4" x14ac:dyDescent="0.2">
      <c r="A2282" t="s">
        <v>5232</v>
      </c>
      <c r="B2282" t="s">
        <v>5233</v>
      </c>
      <c r="C2282" t="s">
        <v>190</v>
      </c>
      <c r="D2282" t="s">
        <v>191</v>
      </c>
    </row>
    <row r="2283" spans="1:4" x14ac:dyDescent="0.2">
      <c r="A2283" t="s">
        <v>5234</v>
      </c>
      <c r="B2283" t="s">
        <v>5235</v>
      </c>
      <c r="C2283" t="s">
        <v>190</v>
      </c>
      <c r="D2283" t="s">
        <v>191</v>
      </c>
    </row>
    <row r="2284" spans="1:4" x14ac:dyDescent="0.2">
      <c r="A2284" t="s">
        <v>5234</v>
      </c>
      <c r="B2284" t="s">
        <v>5233</v>
      </c>
      <c r="C2284" t="s">
        <v>190</v>
      </c>
      <c r="D2284" t="s">
        <v>5236</v>
      </c>
    </row>
    <row r="2285" spans="1:4" x14ac:dyDescent="0.2">
      <c r="A2285" t="s">
        <v>5237</v>
      </c>
      <c r="B2285" t="s">
        <v>5238</v>
      </c>
      <c r="C2285" t="s">
        <v>5239</v>
      </c>
      <c r="D2285" t="s">
        <v>195</v>
      </c>
    </row>
    <row r="2286" spans="1:4" x14ac:dyDescent="0.2">
      <c r="A2286" t="s">
        <v>5240</v>
      </c>
      <c r="B2286" t="s">
        <v>5241</v>
      </c>
      <c r="C2286" t="s">
        <v>5242</v>
      </c>
      <c r="D2286" t="s">
        <v>195</v>
      </c>
    </row>
    <row r="2287" spans="1:4" x14ac:dyDescent="0.2">
      <c r="A2287" t="s">
        <v>5243</v>
      </c>
      <c r="B2287" t="s">
        <v>5244</v>
      </c>
      <c r="C2287" t="s">
        <v>5245</v>
      </c>
      <c r="D2287" t="s">
        <v>187</v>
      </c>
    </row>
    <row r="2288" spans="1:4" x14ac:dyDescent="0.2">
      <c r="A2288" t="s">
        <v>5243</v>
      </c>
      <c r="B2288" t="s">
        <v>5246</v>
      </c>
      <c r="C2288" t="s">
        <v>190</v>
      </c>
      <c r="D2288" t="s">
        <v>5247</v>
      </c>
    </row>
    <row r="2289" spans="1:4" x14ac:dyDescent="0.2">
      <c r="A2289" t="s">
        <v>5243</v>
      </c>
      <c r="B2289" t="s">
        <v>5248</v>
      </c>
      <c r="C2289" t="s">
        <v>190</v>
      </c>
      <c r="D2289" t="s">
        <v>5247</v>
      </c>
    </row>
    <row r="2290" spans="1:4" x14ac:dyDescent="0.2">
      <c r="A2290" t="s">
        <v>5243</v>
      </c>
      <c r="B2290" t="s">
        <v>5249</v>
      </c>
      <c r="C2290" t="s">
        <v>5250</v>
      </c>
      <c r="D2290" t="s">
        <v>187</v>
      </c>
    </row>
    <row r="2291" spans="1:4" x14ac:dyDescent="0.2">
      <c r="A2291" t="s">
        <v>5243</v>
      </c>
      <c r="B2291" t="s">
        <v>5251</v>
      </c>
      <c r="C2291" t="s">
        <v>5252</v>
      </c>
      <c r="D2291" t="s">
        <v>195</v>
      </c>
    </row>
    <row r="2292" spans="1:4" x14ac:dyDescent="0.2">
      <c r="A2292" t="s">
        <v>5253</v>
      </c>
      <c r="B2292" t="s">
        <v>5254</v>
      </c>
      <c r="C2292" t="s">
        <v>190</v>
      </c>
      <c r="D2292" t="s">
        <v>5255</v>
      </c>
    </row>
    <row r="2293" spans="1:4" x14ac:dyDescent="0.2">
      <c r="A2293" t="s">
        <v>5253</v>
      </c>
      <c r="B2293" t="s">
        <v>5256</v>
      </c>
      <c r="C2293" t="s">
        <v>190</v>
      </c>
      <c r="D2293" t="s">
        <v>5255</v>
      </c>
    </row>
    <row r="2294" spans="1:4" x14ac:dyDescent="0.2">
      <c r="A2294" t="s">
        <v>5253</v>
      </c>
      <c r="B2294" t="s">
        <v>5257</v>
      </c>
      <c r="C2294" t="s">
        <v>190</v>
      </c>
      <c r="D2294" t="s">
        <v>5255</v>
      </c>
    </row>
    <row r="2295" spans="1:4" x14ac:dyDescent="0.2">
      <c r="A2295" t="s">
        <v>5258</v>
      </c>
      <c r="B2295" t="s">
        <v>5259</v>
      </c>
      <c r="C2295" t="s">
        <v>5260</v>
      </c>
      <c r="D2295" t="s">
        <v>195</v>
      </c>
    </row>
    <row r="2296" spans="1:4" x14ac:dyDescent="0.2">
      <c r="A2296" t="s">
        <v>5261</v>
      </c>
      <c r="B2296" t="s">
        <v>5262</v>
      </c>
      <c r="C2296" t="s">
        <v>190</v>
      </c>
      <c r="D2296" t="s">
        <v>191</v>
      </c>
    </row>
    <row r="2297" spans="1:4" x14ac:dyDescent="0.2">
      <c r="A2297" t="s">
        <v>5263</v>
      </c>
      <c r="B2297" t="s">
        <v>5264</v>
      </c>
      <c r="C2297" t="s">
        <v>190</v>
      </c>
      <c r="D2297" t="s">
        <v>191</v>
      </c>
    </row>
    <row r="2298" spans="1:4" x14ac:dyDescent="0.2">
      <c r="A2298" t="s">
        <v>5265</v>
      </c>
      <c r="B2298" t="s">
        <v>5266</v>
      </c>
      <c r="C2298" t="s">
        <v>190</v>
      </c>
      <c r="D2298" t="s">
        <v>191</v>
      </c>
    </row>
    <row r="2299" spans="1:4" x14ac:dyDescent="0.2">
      <c r="A2299" t="s">
        <v>5267</v>
      </c>
      <c r="B2299" t="s">
        <v>5268</v>
      </c>
      <c r="C2299" t="s">
        <v>5269</v>
      </c>
      <c r="D2299" t="s">
        <v>195</v>
      </c>
    </row>
    <row r="2300" spans="1:4" x14ac:dyDescent="0.2">
      <c r="A2300" t="s">
        <v>5270</v>
      </c>
      <c r="B2300" t="s">
        <v>5271</v>
      </c>
      <c r="C2300" t="s">
        <v>190</v>
      </c>
      <c r="D2300" t="s">
        <v>191</v>
      </c>
    </row>
    <row r="2301" spans="1:4" x14ac:dyDescent="0.2">
      <c r="A2301" t="s">
        <v>5270</v>
      </c>
      <c r="B2301" t="s">
        <v>5272</v>
      </c>
      <c r="C2301" t="s">
        <v>190</v>
      </c>
      <c r="D2301" t="s">
        <v>191</v>
      </c>
    </row>
    <row r="2302" spans="1:4" x14ac:dyDescent="0.2">
      <c r="A2302" t="s">
        <v>5273</v>
      </c>
      <c r="B2302" t="s">
        <v>5274</v>
      </c>
      <c r="C2302" t="s">
        <v>190</v>
      </c>
      <c r="D2302" t="s">
        <v>191</v>
      </c>
    </row>
    <row r="2303" spans="1:4" x14ac:dyDescent="0.2">
      <c r="A2303" t="s">
        <v>5275</v>
      </c>
      <c r="B2303" t="s">
        <v>5276</v>
      </c>
      <c r="C2303" t="s">
        <v>190</v>
      </c>
      <c r="D2303" t="s">
        <v>191</v>
      </c>
    </row>
    <row r="2304" spans="1:4" x14ac:dyDescent="0.2">
      <c r="A2304" t="s">
        <v>5277</v>
      </c>
      <c r="B2304" t="s">
        <v>5278</v>
      </c>
      <c r="C2304" t="s">
        <v>190</v>
      </c>
      <c r="D2304" t="s">
        <v>191</v>
      </c>
    </row>
    <row r="2305" spans="1:4" x14ac:dyDescent="0.2">
      <c r="A2305" t="s">
        <v>5279</v>
      </c>
      <c r="B2305" t="s">
        <v>5280</v>
      </c>
      <c r="C2305" t="s">
        <v>5281</v>
      </c>
      <c r="D2305" t="s">
        <v>195</v>
      </c>
    </row>
    <row r="2306" spans="1:4" x14ac:dyDescent="0.2">
      <c r="A2306" t="s">
        <v>5282</v>
      </c>
      <c r="B2306" t="s">
        <v>5283</v>
      </c>
      <c r="C2306" t="s">
        <v>190</v>
      </c>
      <c r="D2306" t="s">
        <v>191</v>
      </c>
    </row>
    <row r="2307" spans="1:4" x14ac:dyDescent="0.2">
      <c r="A2307" t="s">
        <v>5284</v>
      </c>
      <c r="B2307" t="s">
        <v>5285</v>
      </c>
      <c r="C2307" t="s">
        <v>190</v>
      </c>
      <c r="D2307" t="s">
        <v>191</v>
      </c>
    </row>
    <row r="2308" spans="1:4" x14ac:dyDescent="0.2">
      <c r="A2308" t="s">
        <v>5286</v>
      </c>
      <c r="B2308" t="s">
        <v>5287</v>
      </c>
      <c r="C2308" t="s">
        <v>190</v>
      </c>
      <c r="D2308" t="s">
        <v>191</v>
      </c>
    </row>
    <row r="2309" spans="1:4" x14ac:dyDescent="0.2">
      <c r="A2309" t="s">
        <v>5288</v>
      </c>
      <c r="B2309" t="s">
        <v>5289</v>
      </c>
      <c r="C2309" t="s">
        <v>5290</v>
      </c>
      <c r="D2309" t="s">
        <v>195</v>
      </c>
    </row>
    <row r="2310" spans="1:4" x14ac:dyDescent="0.2">
      <c r="A2310" t="s">
        <v>5291</v>
      </c>
      <c r="B2310" t="s">
        <v>5292</v>
      </c>
      <c r="C2310" t="s">
        <v>190</v>
      </c>
      <c r="D2310" t="s">
        <v>191</v>
      </c>
    </row>
    <row r="2311" spans="1:4" x14ac:dyDescent="0.2">
      <c r="A2311" t="s">
        <v>5291</v>
      </c>
      <c r="B2311" t="s">
        <v>5293</v>
      </c>
      <c r="C2311" t="s">
        <v>190</v>
      </c>
      <c r="D2311" t="s">
        <v>5294</v>
      </c>
    </row>
    <row r="2312" spans="1:4" x14ac:dyDescent="0.2">
      <c r="A2312" t="s">
        <v>5295</v>
      </c>
      <c r="B2312" t="s">
        <v>5296</v>
      </c>
      <c r="C2312" t="s">
        <v>190</v>
      </c>
      <c r="D2312" t="s">
        <v>191</v>
      </c>
    </row>
    <row r="2313" spans="1:4" x14ac:dyDescent="0.2">
      <c r="A2313" t="s">
        <v>5297</v>
      </c>
      <c r="B2313" t="s">
        <v>5298</v>
      </c>
      <c r="C2313" t="s">
        <v>190</v>
      </c>
      <c r="D2313" t="s">
        <v>191</v>
      </c>
    </row>
    <row r="2314" spans="1:4" x14ac:dyDescent="0.2">
      <c r="A2314" t="s">
        <v>5299</v>
      </c>
      <c r="B2314" t="s">
        <v>5300</v>
      </c>
      <c r="C2314" t="s">
        <v>5301</v>
      </c>
      <c r="D2314" t="s">
        <v>187</v>
      </c>
    </row>
    <row r="2315" spans="1:4" x14ac:dyDescent="0.2">
      <c r="A2315" t="s">
        <v>5302</v>
      </c>
      <c r="B2315" t="s">
        <v>5303</v>
      </c>
      <c r="C2315" t="s">
        <v>5304</v>
      </c>
      <c r="D2315" t="s">
        <v>195</v>
      </c>
    </row>
    <row r="2316" spans="1:4" x14ac:dyDescent="0.2">
      <c r="A2316" t="s">
        <v>5305</v>
      </c>
      <c r="B2316" t="s">
        <v>5306</v>
      </c>
      <c r="C2316" t="s">
        <v>190</v>
      </c>
      <c r="D2316" t="s">
        <v>191</v>
      </c>
    </row>
    <row r="2317" spans="1:4" x14ac:dyDescent="0.2">
      <c r="A2317" t="s">
        <v>5307</v>
      </c>
      <c r="B2317" t="s">
        <v>5308</v>
      </c>
      <c r="C2317" t="s">
        <v>190</v>
      </c>
      <c r="D2317" t="s">
        <v>191</v>
      </c>
    </row>
    <row r="2318" spans="1:4" x14ac:dyDescent="0.2">
      <c r="A2318" t="s">
        <v>5309</v>
      </c>
      <c r="B2318" t="s">
        <v>5310</v>
      </c>
      <c r="C2318" t="s">
        <v>5311</v>
      </c>
      <c r="D2318" t="s">
        <v>187</v>
      </c>
    </row>
    <row r="2319" spans="1:4" x14ac:dyDescent="0.2">
      <c r="A2319" t="s">
        <v>5312</v>
      </c>
      <c r="B2319" t="s">
        <v>5313</v>
      </c>
      <c r="C2319" t="s">
        <v>190</v>
      </c>
      <c r="D2319" t="s">
        <v>191</v>
      </c>
    </row>
    <row r="2320" spans="1:4" x14ac:dyDescent="0.2">
      <c r="A2320" t="s">
        <v>5314</v>
      </c>
      <c r="B2320" t="s">
        <v>5315</v>
      </c>
      <c r="C2320" t="s">
        <v>190</v>
      </c>
      <c r="D2320" t="s">
        <v>191</v>
      </c>
    </row>
    <row r="2321" spans="1:4" x14ac:dyDescent="0.2">
      <c r="A2321" t="s">
        <v>5316</v>
      </c>
      <c r="B2321" t="s">
        <v>5317</v>
      </c>
      <c r="C2321" t="s">
        <v>5318</v>
      </c>
      <c r="D2321" t="s">
        <v>195</v>
      </c>
    </row>
    <row r="2322" spans="1:4" x14ac:dyDescent="0.2">
      <c r="A2322" t="s">
        <v>5319</v>
      </c>
      <c r="B2322" t="s">
        <v>5320</v>
      </c>
      <c r="C2322" t="s">
        <v>190</v>
      </c>
      <c r="D2322" t="s">
        <v>191</v>
      </c>
    </row>
    <row r="2323" spans="1:4" x14ac:dyDescent="0.2">
      <c r="A2323" t="s">
        <v>5321</v>
      </c>
      <c r="B2323" t="s">
        <v>5322</v>
      </c>
      <c r="C2323" t="s">
        <v>190</v>
      </c>
      <c r="D2323" t="s">
        <v>191</v>
      </c>
    </row>
    <row r="2324" spans="1:4" x14ac:dyDescent="0.2">
      <c r="A2324" t="s">
        <v>5323</v>
      </c>
      <c r="B2324" t="s">
        <v>5324</v>
      </c>
      <c r="C2324" t="s">
        <v>5325</v>
      </c>
      <c r="D2324" t="s">
        <v>195</v>
      </c>
    </row>
    <row r="2325" spans="1:4" x14ac:dyDescent="0.2">
      <c r="A2325" t="s">
        <v>5326</v>
      </c>
      <c r="B2325" t="s">
        <v>5327</v>
      </c>
      <c r="C2325" t="s">
        <v>190</v>
      </c>
      <c r="D2325" t="s">
        <v>191</v>
      </c>
    </row>
    <row r="2326" spans="1:4" x14ac:dyDescent="0.2">
      <c r="A2326" t="s">
        <v>5326</v>
      </c>
      <c r="B2326" t="s">
        <v>5328</v>
      </c>
      <c r="C2326" t="s">
        <v>190</v>
      </c>
      <c r="D2326" t="s">
        <v>280</v>
      </c>
    </row>
    <row r="2327" spans="1:4" x14ac:dyDescent="0.2">
      <c r="A2327" t="s">
        <v>5329</v>
      </c>
      <c r="B2327" t="s">
        <v>5330</v>
      </c>
      <c r="C2327" t="s">
        <v>190</v>
      </c>
      <c r="D2327" t="s">
        <v>191</v>
      </c>
    </row>
    <row r="2328" spans="1:4" x14ac:dyDescent="0.2">
      <c r="A2328" t="s">
        <v>5331</v>
      </c>
      <c r="B2328" t="s">
        <v>5332</v>
      </c>
      <c r="C2328" t="s">
        <v>190</v>
      </c>
      <c r="D2328" t="s">
        <v>191</v>
      </c>
    </row>
    <row r="2329" spans="1:4" x14ac:dyDescent="0.2">
      <c r="A2329" t="s">
        <v>5333</v>
      </c>
      <c r="B2329" t="s">
        <v>5334</v>
      </c>
      <c r="C2329" t="s">
        <v>190</v>
      </c>
      <c r="D2329" t="s">
        <v>5335</v>
      </c>
    </row>
    <row r="2330" spans="1:4" x14ac:dyDescent="0.2">
      <c r="A2330" t="s">
        <v>5333</v>
      </c>
      <c r="B2330" t="s">
        <v>5336</v>
      </c>
      <c r="C2330" t="s">
        <v>5337</v>
      </c>
      <c r="D2330" t="s">
        <v>187</v>
      </c>
    </row>
    <row r="2331" spans="1:4" x14ac:dyDescent="0.2">
      <c r="A2331" t="s">
        <v>5338</v>
      </c>
      <c r="B2331" t="s">
        <v>5339</v>
      </c>
      <c r="C2331" t="s">
        <v>190</v>
      </c>
      <c r="D2331" t="s">
        <v>191</v>
      </c>
    </row>
    <row r="2332" spans="1:4" x14ac:dyDescent="0.2">
      <c r="A2332" t="s">
        <v>5340</v>
      </c>
      <c r="B2332" t="s">
        <v>5341</v>
      </c>
      <c r="C2332" t="s">
        <v>190</v>
      </c>
      <c r="D2332" t="s">
        <v>191</v>
      </c>
    </row>
    <row r="2333" spans="1:4" x14ac:dyDescent="0.2">
      <c r="A2333" t="s">
        <v>5342</v>
      </c>
      <c r="B2333" t="s">
        <v>5343</v>
      </c>
      <c r="C2333" t="s">
        <v>190</v>
      </c>
      <c r="D2333" t="s">
        <v>191</v>
      </c>
    </row>
    <row r="2334" spans="1:4" x14ac:dyDescent="0.2">
      <c r="A2334" t="s">
        <v>5344</v>
      </c>
      <c r="B2334" t="s">
        <v>5345</v>
      </c>
      <c r="C2334" t="s">
        <v>190</v>
      </c>
      <c r="D2334" t="s">
        <v>5346</v>
      </c>
    </row>
    <row r="2335" spans="1:4" x14ac:dyDescent="0.2">
      <c r="A2335" t="s">
        <v>5347</v>
      </c>
      <c r="B2335" t="s">
        <v>5348</v>
      </c>
      <c r="C2335" t="s">
        <v>5349</v>
      </c>
      <c r="D2335" t="s">
        <v>195</v>
      </c>
    </row>
    <row r="2336" spans="1:4" x14ac:dyDescent="0.2">
      <c r="A2336" t="s">
        <v>5350</v>
      </c>
      <c r="B2336" t="s">
        <v>5351</v>
      </c>
      <c r="C2336" t="s">
        <v>5352</v>
      </c>
      <c r="D2336" t="s">
        <v>187</v>
      </c>
    </row>
    <row r="2337" spans="1:4" x14ac:dyDescent="0.2">
      <c r="A2337" t="s">
        <v>5353</v>
      </c>
      <c r="B2337" t="s">
        <v>5354</v>
      </c>
      <c r="C2337" t="s">
        <v>190</v>
      </c>
      <c r="D2337" t="s">
        <v>191</v>
      </c>
    </row>
    <row r="2338" spans="1:4" x14ac:dyDescent="0.2">
      <c r="A2338" t="s">
        <v>5355</v>
      </c>
      <c r="B2338" t="s">
        <v>5356</v>
      </c>
      <c r="C2338" t="s">
        <v>190</v>
      </c>
      <c r="D2338" t="s">
        <v>5357</v>
      </c>
    </row>
    <row r="2339" spans="1:4" x14ac:dyDescent="0.2">
      <c r="A2339" t="s">
        <v>5355</v>
      </c>
      <c r="B2339" t="s">
        <v>5358</v>
      </c>
      <c r="C2339" t="s">
        <v>190</v>
      </c>
      <c r="D2339" t="s">
        <v>191</v>
      </c>
    </row>
    <row r="2340" spans="1:4" x14ac:dyDescent="0.2">
      <c r="A2340" t="s">
        <v>5355</v>
      </c>
      <c r="B2340" t="s">
        <v>5359</v>
      </c>
      <c r="C2340" t="s">
        <v>190</v>
      </c>
      <c r="D2340" t="s">
        <v>191</v>
      </c>
    </row>
    <row r="2341" spans="1:4" x14ac:dyDescent="0.2">
      <c r="A2341" t="s">
        <v>5355</v>
      </c>
      <c r="B2341" t="s">
        <v>5360</v>
      </c>
      <c r="C2341" t="s">
        <v>190</v>
      </c>
      <c r="D2341" t="s">
        <v>191</v>
      </c>
    </row>
    <row r="2342" spans="1:4" x14ac:dyDescent="0.2">
      <c r="A2342" t="s">
        <v>5355</v>
      </c>
      <c r="B2342" t="s">
        <v>5361</v>
      </c>
      <c r="C2342" t="s">
        <v>190</v>
      </c>
      <c r="D2342" t="s">
        <v>191</v>
      </c>
    </row>
    <row r="2343" spans="1:4" x14ac:dyDescent="0.2">
      <c r="A2343" t="s">
        <v>5362</v>
      </c>
      <c r="B2343" t="s">
        <v>5363</v>
      </c>
      <c r="C2343" t="s">
        <v>190</v>
      </c>
      <c r="D2343" t="s">
        <v>191</v>
      </c>
    </row>
    <row r="2344" spans="1:4" x14ac:dyDescent="0.2">
      <c r="A2344" t="s">
        <v>5364</v>
      </c>
      <c r="B2344" t="s">
        <v>5365</v>
      </c>
      <c r="C2344" t="s">
        <v>190</v>
      </c>
      <c r="D2344" t="s">
        <v>191</v>
      </c>
    </row>
    <row r="2345" spans="1:4" x14ac:dyDescent="0.2">
      <c r="A2345" t="s">
        <v>5366</v>
      </c>
      <c r="B2345" t="s">
        <v>5367</v>
      </c>
      <c r="C2345" t="s">
        <v>190</v>
      </c>
      <c r="D2345" t="s">
        <v>191</v>
      </c>
    </row>
    <row r="2346" spans="1:4" x14ac:dyDescent="0.2">
      <c r="A2346" t="s">
        <v>5368</v>
      </c>
      <c r="B2346" t="s">
        <v>5369</v>
      </c>
      <c r="C2346" t="s">
        <v>190</v>
      </c>
      <c r="D2346" t="s">
        <v>191</v>
      </c>
    </row>
    <row r="2347" spans="1:4" x14ac:dyDescent="0.2">
      <c r="A2347" t="s">
        <v>5370</v>
      </c>
      <c r="B2347" t="s">
        <v>5371</v>
      </c>
      <c r="C2347" t="s">
        <v>5372</v>
      </c>
      <c r="D2347" t="s">
        <v>187</v>
      </c>
    </row>
    <row r="2348" spans="1:4" x14ac:dyDescent="0.2">
      <c r="A2348" t="s">
        <v>5373</v>
      </c>
      <c r="B2348" t="s">
        <v>5374</v>
      </c>
      <c r="C2348" t="s">
        <v>5375</v>
      </c>
      <c r="D2348" t="s">
        <v>187</v>
      </c>
    </row>
    <row r="2349" spans="1:4" x14ac:dyDescent="0.2">
      <c r="A2349" t="s">
        <v>5376</v>
      </c>
      <c r="B2349" t="s">
        <v>5377</v>
      </c>
      <c r="C2349" t="s">
        <v>190</v>
      </c>
      <c r="D2349" t="s">
        <v>191</v>
      </c>
    </row>
    <row r="2350" spans="1:4" x14ac:dyDescent="0.2">
      <c r="A2350" t="s">
        <v>5378</v>
      </c>
      <c r="B2350" t="s">
        <v>5379</v>
      </c>
      <c r="C2350" t="s">
        <v>190</v>
      </c>
      <c r="D2350" t="s">
        <v>191</v>
      </c>
    </row>
    <row r="2351" spans="1:4" x14ac:dyDescent="0.2">
      <c r="A2351" t="s">
        <v>5380</v>
      </c>
      <c r="B2351" t="s">
        <v>5381</v>
      </c>
      <c r="C2351" t="s">
        <v>5382</v>
      </c>
      <c r="D2351" t="s">
        <v>195</v>
      </c>
    </row>
    <row r="2352" spans="1:4" x14ac:dyDescent="0.2">
      <c r="A2352" t="s">
        <v>5383</v>
      </c>
      <c r="B2352" t="s">
        <v>5384</v>
      </c>
      <c r="C2352" t="s">
        <v>190</v>
      </c>
      <c r="D2352" t="s">
        <v>191</v>
      </c>
    </row>
    <row r="2353" spans="1:4" x14ac:dyDescent="0.2">
      <c r="A2353" t="s">
        <v>5385</v>
      </c>
      <c r="B2353" t="s">
        <v>5386</v>
      </c>
      <c r="C2353" t="s">
        <v>5387</v>
      </c>
      <c r="D2353" t="s">
        <v>195</v>
      </c>
    </row>
    <row r="2354" spans="1:4" x14ac:dyDescent="0.2">
      <c r="A2354" t="s">
        <v>5388</v>
      </c>
      <c r="B2354" t="s">
        <v>5389</v>
      </c>
      <c r="C2354" t="s">
        <v>190</v>
      </c>
      <c r="D2354" t="s">
        <v>191</v>
      </c>
    </row>
    <row r="2355" spans="1:4" x14ac:dyDescent="0.2">
      <c r="A2355" t="s">
        <v>5390</v>
      </c>
      <c r="B2355" t="s">
        <v>5391</v>
      </c>
      <c r="C2355" t="s">
        <v>190</v>
      </c>
      <c r="D2355" t="s">
        <v>191</v>
      </c>
    </row>
    <row r="2356" spans="1:4" x14ac:dyDescent="0.2">
      <c r="A2356" t="s">
        <v>5392</v>
      </c>
      <c r="B2356" t="s">
        <v>5393</v>
      </c>
      <c r="C2356" t="s">
        <v>190</v>
      </c>
      <c r="D2356" t="s">
        <v>191</v>
      </c>
    </row>
    <row r="2357" spans="1:4" x14ac:dyDescent="0.2">
      <c r="A2357" t="s">
        <v>5394</v>
      </c>
      <c r="B2357" t="s">
        <v>5395</v>
      </c>
      <c r="C2357" t="s">
        <v>5396</v>
      </c>
      <c r="D2357" t="s">
        <v>187</v>
      </c>
    </row>
    <row r="2358" spans="1:4" x14ac:dyDescent="0.2">
      <c r="A2358" t="s">
        <v>5397</v>
      </c>
      <c r="B2358" t="s">
        <v>5398</v>
      </c>
      <c r="C2358" t="s">
        <v>5399</v>
      </c>
      <c r="D2358" t="s">
        <v>195</v>
      </c>
    </row>
    <row r="2359" spans="1:4" x14ac:dyDescent="0.2">
      <c r="A2359" t="s">
        <v>5400</v>
      </c>
      <c r="B2359" t="s">
        <v>5401</v>
      </c>
      <c r="C2359" t="s">
        <v>190</v>
      </c>
      <c r="D2359" t="s">
        <v>191</v>
      </c>
    </row>
    <row r="2360" spans="1:4" x14ac:dyDescent="0.2">
      <c r="A2360" t="s">
        <v>5402</v>
      </c>
      <c r="B2360" t="s">
        <v>5403</v>
      </c>
      <c r="C2360" t="s">
        <v>190</v>
      </c>
      <c r="D2360" t="s">
        <v>191</v>
      </c>
    </row>
    <row r="2361" spans="1:4" x14ac:dyDescent="0.2">
      <c r="A2361" t="s">
        <v>5404</v>
      </c>
      <c r="B2361" t="s">
        <v>5405</v>
      </c>
      <c r="C2361" t="s">
        <v>190</v>
      </c>
      <c r="D2361" t="s">
        <v>191</v>
      </c>
    </row>
    <row r="2362" spans="1:4" x14ac:dyDescent="0.2">
      <c r="A2362" t="s">
        <v>5406</v>
      </c>
      <c r="B2362" t="s">
        <v>5407</v>
      </c>
      <c r="C2362" t="s">
        <v>5408</v>
      </c>
      <c r="D2362" t="s">
        <v>195</v>
      </c>
    </row>
    <row r="2363" spans="1:4" x14ac:dyDescent="0.2">
      <c r="A2363" t="s">
        <v>5409</v>
      </c>
      <c r="B2363" t="s">
        <v>5410</v>
      </c>
      <c r="C2363" t="s">
        <v>5411</v>
      </c>
      <c r="D2363" t="s">
        <v>195</v>
      </c>
    </row>
    <row r="2364" spans="1:4" x14ac:dyDescent="0.2">
      <c r="A2364" t="s">
        <v>5412</v>
      </c>
      <c r="B2364" t="s">
        <v>5413</v>
      </c>
      <c r="C2364" t="s">
        <v>190</v>
      </c>
      <c r="D2364" t="s">
        <v>191</v>
      </c>
    </row>
    <row r="2365" spans="1:4" x14ac:dyDescent="0.2">
      <c r="A2365" t="s">
        <v>5414</v>
      </c>
      <c r="B2365" t="s">
        <v>5415</v>
      </c>
      <c r="C2365" t="s">
        <v>5416</v>
      </c>
      <c r="D2365" t="s">
        <v>195</v>
      </c>
    </row>
    <row r="2366" spans="1:4" x14ac:dyDescent="0.2">
      <c r="A2366" t="s">
        <v>5417</v>
      </c>
      <c r="B2366" t="s">
        <v>5418</v>
      </c>
      <c r="C2366" t="s">
        <v>190</v>
      </c>
      <c r="D2366" t="s">
        <v>191</v>
      </c>
    </row>
    <row r="2367" spans="1:4" x14ac:dyDescent="0.2">
      <c r="A2367" t="s">
        <v>5419</v>
      </c>
      <c r="B2367" t="s">
        <v>5420</v>
      </c>
      <c r="C2367" t="s">
        <v>190</v>
      </c>
      <c r="D2367" t="s">
        <v>191</v>
      </c>
    </row>
    <row r="2368" spans="1:4" x14ac:dyDescent="0.2">
      <c r="A2368" t="s">
        <v>5421</v>
      </c>
      <c r="B2368" t="s">
        <v>5422</v>
      </c>
      <c r="C2368" t="s">
        <v>190</v>
      </c>
      <c r="D2368" t="s">
        <v>191</v>
      </c>
    </row>
    <row r="2369" spans="1:4" x14ac:dyDescent="0.2">
      <c r="A2369" t="s">
        <v>5423</v>
      </c>
      <c r="B2369" t="s">
        <v>5424</v>
      </c>
      <c r="C2369" t="s">
        <v>190</v>
      </c>
      <c r="D2369" t="s">
        <v>191</v>
      </c>
    </row>
    <row r="2370" spans="1:4" x14ac:dyDescent="0.2">
      <c r="A2370" t="s">
        <v>5425</v>
      </c>
      <c r="B2370" t="s">
        <v>5426</v>
      </c>
      <c r="C2370" t="s">
        <v>190</v>
      </c>
      <c r="D2370" t="s">
        <v>191</v>
      </c>
    </row>
    <row r="2371" spans="1:4" x14ac:dyDescent="0.2">
      <c r="A2371" t="s">
        <v>5427</v>
      </c>
      <c r="B2371" t="s">
        <v>5428</v>
      </c>
      <c r="C2371" t="s">
        <v>190</v>
      </c>
      <c r="D2371" t="s">
        <v>191</v>
      </c>
    </row>
    <row r="2372" spans="1:4" x14ac:dyDescent="0.2">
      <c r="A2372" t="s">
        <v>5429</v>
      </c>
      <c r="B2372" t="s">
        <v>5430</v>
      </c>
      <c r="C2372" t="s">
        <v>190</v>
      </c>
      <c r="D2372" t="s">
        <v>191</v>
      </c>
    </row>
    <row r="2373" spans="1:4" x14ac:dyDescent="0.2">
      <c r="A2373" t="s">
        <v>5431</v>
      </c>
      <c r="B2373" t="s">
        <v>5432</v>
      </c>
      <c r="C2373" t="s">
        <v>5433</v>
      </c>
      <c r="D2373" t="s">
        <v>195</v>
      </c>
    </row>
    <row r="2374" spans="1:4" x14ac:dyDescent="0.2">
      <c r="A2374" t="s">
        <v>5434</v>
      </c>
      <c r="B2374" t="s">
        <v>5435</v>
      </c>
      <c r="C2374" t="s">
        <v>190</v>
      </c>
      <c r="D2374" t="s">
        <v>191</v>
      </c>
    </row>
    <row r="2375" spans="1:4" x14ac:dyDescent="0.2">
      <c r="A2375" t="s">
        <v>5436</v>
      </c>
      <c r="B2375" t="s">
        <v>5437</v>
      </c>
      <c r="C2375" t="s">
        <v>190</v>
      </c>
      <c r="D2375" t="s">
        <v>191</v>
      </c>
    </row>
    <row r="2376" spans="1:4" x14ac:dyDescent="0.2">
      <c r="A2376" t="s">
        <v>5438</v>
      </c>
      <c r="B2376" t="s">
        <v>5439</v>
      </c>
      <c r="C2376" t="s">
        <v>190</v>
      </c>
      <c r="D2376" t="s">
        <v>191</v>
      </c>
    </row>
    <row r="2377" spans="1:4" x14ac:dyDescent="0.2">
      <c r="A2377" t="s">
        <v>5440</v>
      </c>
      <c r="B2377" t="s">
        <v>5441</v>
      </c>
      <c r="C2377" t="s">
        <v>190</v>
      </c>
      <c r="D2377" t="s">
        <v>191</v>
      </c>
    </row>
    <row r="2378" spans="1:4" x14ac:dyDescent="0.2">
      <c r="A2378" t="s">
        <v>5442</v>
      </c>
      <c r="B2378" t="s">
        <v>5443</v>
      </c>
      <c r="C2378" t="s">
        <v>190</v>
      </c>
      <c r="D2378" t="s">
        <v>191</v>
      </c>
    </row>
    <row r="2379" spans="1:4" x14ac:dyDescent="0.2">
      <c r="A2379" t="s">
        <v>5444</v>
      </c>
      <c r="B2379" t="s">
        <v>5445</v>
      </c>
      <c r="C2379" t="s">
        <v>5446</v>
      </c>
      <c r="D2379" t="s">
        <v>187</v>
      </c>
    </row>
    <row r="2380" spans="1:4" x14ac:dyDescent="0.2">
      <c r="A2380" t="s">
        <v>5447</v>
      </c>
      <c r="B2380" t="s">
        <v>5448</v>
      </c>
      <c r="C2380" t="s">
        <v>5449</v>
      </c>
      <c r="D2380" t="s">
        <v>187</v>
      </c>
    </row>
    <row r="2381" spans="1:4" x14ac:dyDescent="0.2">
      <c r="A2381" t="s">
        <v>5450</v>
      </c>
      <c r="B2381" t="s">
        <v>5451</v>
      </c>
      <c r="C2381" t="s">
        <v>190</v>
      </c>
      <c r="D2381" t="s">
        <v>191</v>
      </c>
    </row>
    <row r="2382" spans="1:4" x14ac:dyDescent="0.2">
      <c r="A2382" t="s">
        <v>5452</v>
      </c>
      <c r="B2382" t="s">
        <v>5453</v>
      </c>
      <c r="C2382" t="s">
        <v>5454</v>
      </c>
      <c r="D2382" t="s">
        <v>187</v>
      </c>
    </row>
    <row r="2383" spans="1:4" x14ac:dyDescent="0.2">
      <c r="A2383" t="s">
        <v>5455</v>
      </c>
      <c r="B2383" t="s">
        <v>5456</v>
      </c>
      <c r="C2383" t="s">
        <v>190</v>
      </c>
      <c r="D2383" t="s">
        <v>191</v>
      </c>
    </row>
    <row r="2384" spans="1:4" x14ac:dyDescent="0.2">
      <c r="A2384" t="s">
        <v>5457</v>
      </c>
      <c r="B2384" t="s">
        <v>5458</v>
      </c>
      <c r="C2384" t="s">
        <v>190</v>
      </c>
      <c r="D2384" t="s">
        <v>191</v>
      </c>
    </row>
    <row r="2385" spans="1:4" x14ac:dyDescent="0.2">
      <c r="A2385" t="s">
        <v>5459</v>
      </c>
      <c r="B2385" t="s">
        <v>5460</v>
      </c>
      <c r="C2385" t="s">
        <v>5461</v>
      </c>
      <c r="D2385" t="s">
        <v>195</v>
      </c>
    </row>
    <row r="2386" spans="1:4" x14ac:dyDescent="0.2">
      <c r="A2386" t="s">
        <v>5462</v>
      </c>
      <c r="B2386" t="s">
        <v>5463</v>
      </c>
      <c r="C2386" t="s">
        <v>5464</v>
      </c>
      <c r="D2386" t="s">
        <v>187</v>
      </c>
    </row>
    <row r="2387" spans="1:4" x14ac:dyDescent="0.2">
      <c r="A2387" t="s">
        <v>5465</v>
      </c>
      <c r="B2387" t="s">
        <v>5466</v>
      </c>
      <c r="C2387" t="s">
        <v>190</v>
      </c>
      <c r="D2387" t="s">
        <v>191</v>
      </c>
    </row>
    <row r="2388" spans="1:4" x14ac:dyDescent="0.2">
      <c r="A2388" t="s">
        <v>5465</v>
      </c>
      <c r="B2388" t="s">
        <v>5467</v>
      </c>
      <c r="C2388" t="s">
        <v>190</v>
      </c>
      <c r="D2388" t="s">
        <v>191</v>
      </c>
    </row>
    <row r="2389" spans="1:4" x14ac:dyDescent="0.2">
      <c r="A2389" t="s">
        <v>5468</v>
      </c>
      <c r="B2389" t="s">
        <v>5469</v>
      </c>
      <c r="C2389" t="s">
        <v>5470</v>
      </c>
      <c r="D2389" t="s">
        <v>195</v>
      </c>
    </row>
    <row r="2390" spans="1:4" x14ac:dyDescent="0.2">
      <c r="A2390" t="s">
        <v>5471</v>
      </c>
      <c r="B2390" t="s">
        <v>5472</v>
      </c>
      <c r="C2390" t="s">
        <v>190</v>
      </c>
      <c r="D2390" t="s">
        <v>5473</v>
      </c>
    </row>
    <row r="2391" spans="1:4" x14ac:dyDescent="0.2">
      <c r="A2391" t="s">
        <v>5474</v>
      </c>
      <c r="B2391" t="s">
        <v>5475</v>
      </c>
      <c r="C2391" t="s">
        <v>5476</v>
      </c>
      <c r="D2391" t="s">
        <v>187</v>
      </c>
    </row>
    <row r="2392" spans="1:4" x14ac:dyDescent="0.2">
      <c r="A2392" t="s">
        <v>5477</v>
      </c>
      <c r="B2392" t="s">
        <v>5478</v>
      </c>
      <c r="C2392" t="s">
        <v>190</v>
      </c>
      <c r="D2392" t="s">
        <v>191</v>
      </c>
    </row>
    <row r="2393" spans="1:4" x14ac:dyDescent="0.2">
      <c r="A2393" t="s">
        <v>5479</v>
      </c>
      <c r="B2393" t="s">
        <v>5480</v>
      </c>
      <c r="C2393" t="s">
        <v>190</v>
      </c>
      <c r="D2393" t="s">
        <v>191</v>
      </c>
    </row>
    <row r="2394" spans="1:4" x14ac:dyDescent="0.2">
      <c r="A2394" t="s">
        <v>5481</v>
      </c>
      <c r="B2394" t="s">
        <v>5482</v>
      </c>
      <c r="C2394" t="s">
        <v>190</v>
      </c>
      <c r="D2394" t="s">
        <v>191</v>
      </c>
    </row>
    <row r="2395" spans="1:4" x14ac:dyDescent="0.2">
      <c r="A2395" t="s">
        <v>5481</v>
      </c>
      <c r="B2395" t="s">
        <v>5483</v>
      </c>
      <c r="C2395" t="s">
        <v>190</v>
      </c>
      <c r="D2395" t="s">
        <v>191</v>
      </c>
    </row>
    <row r="2396" spans="1:4" x14ac:dyDescent="0.2">
      <c r="A2396" t="s">
        <v>5484</v>
      </c>
      <c r="B2396" t="s">
        <v>5485</v>
      </c>
      <c r="C2396" t="s">
        <v>190</v>
      </c>
      <c r="D2396" t="s">
        <v>191</v>
      </c>
    </row>
    <row r="2397" spans="1:4" x14ac:dyDescent="0.2">
      <c r="A2397" t="s">
        <v>5486</v>
      </c>
      <c r="B2397" t="s">
        <v>5487</v>
      </c>
      <c r="C2397" t="s">
        <v>190</v>
      </c>
      <c r="D2397" t="s">
        <v>191</v>
      </c>
    </row>
    <row r="2398" spans="1:4" x14ac:dyDescent="0.2">
      <c r="A2398" t="s">
        <v>5486</v>
      </c>
      <c r="B2398" t="s">
        <v>5488</v>
      </c>
      <c r="C2398" t="s">
        <v>190</v>
      </c>
      <c r="D2398" t="s">
        <v>191</v>
      </c>
    </row>
    <row r="2399" spans="1:4" x14ac:dyDescent="0.2">
      <c r="A2399" t="s">
        <v>5489</v>
      </c>
      <c r="B2399" t="s">
        <v>5490</v>
      </c>
      <c r="C2399" t="s">
        <v>190</v>
      </c>
      <c r="D2399" t="s">
        <v>191</v>
      </c>
    </row>
    <row r="2400" spans="1:4" x14ac:dyDescent="0.2">
      <c r="A2400" t="s">
        <v>5491</v>
      </c>
      <c r="B2400" t="s">
        <v>5492</v>
      </c>
      <c r="C2400" t="s">
        <v>5493</v>
      </c>
      <c r="D2400" t="s">
        <v>195</v>
      </c>
    </row>
    <row r="2401" spans="1:4" x14ac:dyDescent="0.2">
      <c r="A2401" t="s">
        <v>5494</v>
      </c>
      <c r="B2401" t="s">
        <v>5495</v>
      </c>
      <c r="C2401" t="s">
        <v>5496</v>
      </c>
      <c r="D2401" t="s">
        <v>195</v>
      </c>
    </row>
    <row r="2402" spans="1:4" x14ac:dyDescent="0.2">
      <c r="A2402" t="s">
        <v>5494</v>
      </c>
      <c r="B2402" t="s">
        <v>5497</v>
      </c>
      <c r="C2402" t="s">
        <v>190</v>
      </c>
      <c r="D2402" t="s">
        <v>5498</v>
      </c>
    </row>
    <row r="2403" spans="1:4" x14ac:dyDescent="0.2">
      <c r="A2403" t="s">
        <v>5499</v>
      </c>
      <c r="B2403" t="s">
        <v>5500</v>
      </c>
      <c r="C2403" t="s">
        <v>190</v>
      </c>
      <c r="D2403" t="s">
        <v>191</v>
      </c>
    </row>
    <row r="2404" spans="1:4" x14ac:dyDescent="0.2">
      <c r="A2404" t="s">
        <v>5501</v>
      </c>
      <c r="B2404" t="s">
        <v>5502</v>
      </c>
      <c r="C2404" t="s">
        <v>5503</v>
      </c>
      <c r="D2404" t="s">
        <v>195</v>
      </c>
    </row>
    <row r="2405" spans="1:4" x14ac:dyDescent="0.2">
      <c r="A2405" t="s">
        <v>5504</v>
      </c>
      <c r="B2405" t="s">
        <v>5505</v>
      </c>
      <c r="C2405" t="s">
        <v>5506</v>
      </c>
      <c r="D2405" t="s">
        <v>195</v>
      </c>
    </row>
    <row r="2406" spans="1:4" x14ac:dyDescent="0.2">
      <c r="A2406" t="s">
        <v>5507</v>
      </c>
      <c r="B2406" t="s">
        <v>5508</v>
      </c>
      <c r="C2406" t="s">
        <v>5509</v>
      </c>
      <c r="D2406" t="s">
        <v>195</v>
      </c>
    </row>
    <row r="2407" spans="1:4" x14ac:dyDescent="0.2">
      <c r="A2407" t="s">
        <v>5510</v>
      </c>
      <c r="B2407" t="s">
        <v>5511</v>
      </c>
      <c r="C2407" t="s">
        <v>190</v>
      </c>
      <c r="D2407" t="s">
        <v>191</v>
      </c>
    </row>
    <row r="2408" spans="1:4" x14ac:dyDescent="0.2">
      <c r="A2408" t="s">
        <v>5512</v>
      </c>
      <c r="B2408" t="s">
        <v>5513</v>
      </c>
      <c r="C2408" t="s">
        <v>190</v>
      </c>
      <c r="D2408" t="s">
        <v>280</v>
      </c>
    </row>
    <row r="2409" spans="1:4" x14ac:dyDescent="0.2">
      <c r="A2409" t="s">
        <v>5514</v>
      </c>
      <c r="B2409" t="s">
        <v>5515</v>
      </c>
      <c r="C2409" t="s">
        <v>5516</v>
      </c>
      <c r="D2409" t="s">
        <v>187</v>
      </c>
    </row>
    <row r="2410" spans="1:4" x14ac:dyDescent="0.2">
      <c r="A2410" t="s">
        <v>5517</v>
      </c>
      <c r="B2410" t="s">
        <v>5518</v>
      </c>
      <c r="C2410" t="s">
        <v>190</v>
      </c>
      <c r="D2410" t="s">
        <v>191</v>
      </c>
    </row>
    <row r="2411" spans="1:4" x14ac:dyDescent="0.2">
      <c r="A2411" t="s">
        <v>5519</v>
      </c>
      <c r="B2411" t="s">
        <v>5520</v>
      </c>
      <c r="C2411" t="s">
        <v>190</v>
      </c>
      <c r="D2411" t="s">
        <v>191</v>
      </c>
    </row>
    <row r="2412" spans="1:4" x14ac:dyDescent="0.2">
      <c r="A2412" t="s">
        <v>5521</v>
      </c>
      <c r="B2412" t="s">
        <v>5522</v>
      </c>
      <c r="C2412" t="s">
        <v>5523</v>
      </c>
      <c r="D2412" t="s">
        <v>187</v>
      </c>
    </row>
    <row r="2413" spans="1:4" x14ac:dyDescent="0.2">
      <c r="A2413" t="s">
        <v>5524</v>
      </c>
      <c r="B2413" t="s">
        <v>5525</v>
      </c>
      <c r="C2413" t="s">
        <v>190</v>
      </c>
      <c r="D2413" t="s">
        <v>5526</v>
      </c>
    </row>
    <row r="2414" spans="1:4" x14ac:dyDescent="0.2">
      <c r="A2414" t="s">
        <v>5527</v>
      </c>
      <c r="B2414" t="s">
        <v>5528</v>
      </c>
      <c r="C2414" t="s">
        <v>190</v>
      </c>
      <c r="D2414" t="s">
        <v>280</v>
      </c>
    </row>
    <row r="2415" spans="1:4" x14ac:dyDescent="0.2">
      <c r="A2415" t="s">
        <v>5529</v>
      </c>
      <c r="B2415" t="s">
        <v>5530</v>
      </c>
      <c r="C2415" t="s">
        <v>190</v>
      </c>
      <c r="D2415" t="s">
        <v>191</v>
      </c>
    </row>
    <row r="2416" spans="1:4" x14ac:dyDescent="0.2">
      <c r="A2416" t="s">
        <v>5531</v>
      </c>
      <c r="B2416" t="s">
        <v>5532</v>
      </c>
      <c r="C2416" t="s">
        <v>5533</v>
      </c>
      <c r="D2416" t="s">
        <v>195</v>
      </c>
    </row>
    <row r="2417" spans="1:4" x14ac:dyDescent="0.2">
      <c r="A2417" t="s">
        <v>5534</v>
      </c>
      <c r="B2417" t="s">
        <v>5535</v>
      </c>
      <c r="C2417" t="s">
        <v>190</v>
      </c>
      <c r="D2417" t="s">
        <v>191</v>
      </c>
    </row>
    <row r="2418" spans="1:4" x14ac:dyDescent="0.2">
      <c r="A2418" t="s">
        <v>5536</v>
      </c>
      <c r="B2418" t="s">
        <v>5537</v>
      </c>
      <c r="C2418" t="s">
        <v>5538</v>
      </c>
      <c r="D2418" t="s">
        <v>187</v>
      </c>
    </row>
    <row r="2419" spans="1:4" x14ac:dyDescent="0.2">
      <c r="A2419" t="s">
        <v>5539</v>
      </c>
      <c r="B2419" t="s">
        <v>5540</v>
      </c>
      <c r="C2419" t="s">
        <v>190</v>
      </c>
      <c r="D2419" t="s">
        <v>191</v>
      </c>
    </row>
    <row r="2420" spans="1:4" x14ac:dyDescent="0.2">
      <c r="A2420" t="s">
        <v>5541</v>
      </c>
      <c r="B2420" t="s">
        <v>5542</v>
      </c>
      <c r="C2420" t="s">
        <v>190</v>
      </c>
      <c r="D2420" t="s">
        <v>191</v>
      </c>
    </row>
    <row r="2421" spans="1:4" x14ac:dyDescent="0.2">
      <c r="A2421" t="s">
        <v>5543</v>
      </c>
      <c r="B2421" t="s">
        <v>5544</v>
      </c>
      <c r="C2421" t="s">
        <v>5545</v>
      </c>
      <c r="D2421" t="s">
        <v>195</v>
      </c>
    </row>
    <row r="2422" spans="1:4" x14ac:dyDescent="0.2">
      <c r="A2422" t="s">
        <v>5546</v>
      </c>
      <c r="B2422" t="s">
        <v>5547</v>
      </c>
      <c r="C2422" t="s">
        <v>190</v>
      </c>
      <c r="D2422" t="s">
        <v>5548</v>
      </c>
    </row>
    <row r="2423" spans="1:4" x14ac:dyDescent="0.2">
      <c r="A2423" t="s">
        <v>5546</v>
      </c>
      <c r="B2423" t="s">
        <v>5549</v>
      </c>
      <c r="C2423" t="s">
        <v>190</v>
      </c>
      <c r="D2423" t="s">
        <v>191</v>
      </c>
    </row>
    <row r="2424" spans="1:4" x14ac:dyDescent="0.2">
      <c r="A2424" t="s">
        <v>5550</v>
      </c>
      <c r="B2424" t="s">
        <v>5551</v>
      </c>
      <c r="C2424" t="s">
        <v>190</v>
      </c>
      <c r="D2424" t="s">
        <v>191</v>
      </c>
    </row>
    <row r="2425" spans="1:4" x14ac:dyDescent="0.2">
      <c r="A2425" t="s">
        <v>5550</v>
      </c>
      <c r="B2425" t="s">
        <v>5552</v>
      </c>
      <c r="C2425" t="s">
        <v>190</v>
      </c>
      <c r="D2425" t="s">
        <v>191</v>
      </c>
    </row>
    <row r="2426" spans="1:4" x14ac:dyDescent="0.2">
      <c r="A2426" t="s">
        <v>5553</v>
      </c>
      <c r="B2426" t="s">
        <v>5554</v>
      </c>
      <c r="C2426" t="s">
        <v>5555</v>
      </c>
      <c r="D2426" t="s">
        <v>195</v>
      </c>
    </row>
    <row r="2427" spans="1:4" x14ac:dyDescent="0.2">
      <c r="A2427" t="s">
        <v>5556</v>
      </c>
      <c r="B2427" t="s">
        <v>5557</v>
      </c>
      <c r="C2427" t="s">
        <v>5558</v>
      </c>
      <c r="D2427" t="s">
        <v>195</v>
      </c>
    </row>
    <row r="2428" spans="1:4" x14ac:dyDescent="0.2">
      <c r="A2428" t="s">
        <v>5559</v>
      </c>
      <c r="B2428" t="s">
        <v>5560</v>
      </c>
      <c r="C2428" t="s">
        <v>190</v>
      </c>
      <c r="D2428" t="s">
        <v>191</v>
      </c>
    </row>
    <row r="2429" spans="1:4" x14ac:dyDescent="0.2">
      <c r="A2429" t="s">
        <v>5561</v>
      </c>
      <c r="B2429" t="s">
        <v>5562</v>
      </c>
      <c r="C2429" t="s">
        <v>5563</v>
      </c>
      <c r="D2429" t="s">
        <v>187</v>
      </c>
    </row>
    <row r="2430" spans="1:4" x14ac:dyDescent="0.2">
      <c r="A2430" t="s">
        <v>5564</v>
      </c>
      <c r="B2430" t="s">
        <v>5565</v>
      </c>
      <c r="C2430" t="s">
        <v>5566</v>
      </c>
      <c r="D2430" t="s">
        <v>187</v>
      </c>
    </row>
    <row r="2431" spans="1:4" x14ac:dyDescent="0.2">
      <c r="A2431" t="s">
        <v>5567</v>
      </c>
      <c r="B2431" t="s">
        <v>5568</v>
      </c>
      <c r="C2431" t="s">
        <v>190</v>
      </c>
      <c r="D2431" t="s">
        <v>191</v>
      </c>
    </row>
    <row r="2432" spans="1:4" x14ac:dyDescent="0.2">
      <c r="A2432" t="s">
        <v>5569</v>
      </c>
      <c r="B2432" t="s">
        <v>5570</v>
      </c>
      <c r="C2432" t="s">
        <v>5571</v>
      </c>
      <c r="D2432" t="s">
        <v>195</v>
      </c>
    </row>
    <row r="2433" spans="1:4" x14ac:dyDescent="0.2">
      <c r="A2433" t="s">
        <v>5572</v>
      </c>
      <c r="B2433" t="s">
        <v>5573</v>
      </c>
      <c r="C2433" t="s">
        <v>5574</v>
      </c>
      <c r="D2433" t="s">
        <v>187</v>
      </c>
    </row>
    <row r="2434" spans="1:4" x14ac:dyDescent="0.2">
      <c r="A2434" t="s">
        <v>5575</v>
      </c>
      <c r="B2434" t="s">
        <v>5576</v>
      </c>
      <c r="C2434" t="s">
        <v>190</v>
      </c>
      <c r="D2434" t="s">
        <v>5577</v>
      </c>
    </row>
    <row r="2435" spans="1:4" x14ac:dyDescent="0.2">
      <c r="A2435" t="s">
        <v>5578</v>
      </c>
      <c r="B2435" t="s">
        <v>5579</v>
      </c>
      <c r="C2435" t="s">
        <v>5580</v>
      </c>
      <c r="D2435" t="s">
        <v>195</v>
      </c>
    </row>
    <row r="2436" spans="1:4" x14ac:dyDescent="0.2">
      <c r="A2436" t="s">
        <v>5581</v>
      </c>
      <c r="B2436" t="s">
        <v>5582</v>
      </c>
      <c r="C2436" t="s">
        <v>5583</v>
      </c>
      <c r="D2436" t="s">
        <v>187</v>
      </c>
    </row>
    <row r="2437" spans="1:4" x14ac:dyDescent="0.2">
      <c r="A2437" t="s">
        <v>5584</v>
      </c>
      <c r="B2437" t="s">
        <v>5585</v>
      </c>
      <c r="C2437" t="s">
        <v>190</v>
      </c>
      <c r="D2437" t="s">
        <v>191</v>
      </c>
    </row>
    <row r="2438" spans="1:4" x14ac:dyDescent="0.2">
      <c r="A2438" t="s">
        <v>5584</v>
      </c>
      <c r="B2438" t="s">
        <v>5586</v>
      </c>
      <c r="C2438" t="s">
        <v>190</v>
      </c>
      <c r="D2438" t="s">
        <v>191</v>
      </c>
    </row>
    <row r="2439" spans="1:4" x14ac:dyDescent="0.2">
      <c r="A2439" t="s">
        <v>5587</v>
      </c>
      <c r="B2439" t="s">
        <v>5588</v>
      </c>
      <c r="C2439" t="s">
        <v>190</v>
      </c>
      <c r="D2439" t="s">
        <v>5589</v>
      </c>
    </row>
    <row r="2440" spans="1:4" x14ac:dyDescent="0.2">
      <c r="A2440" t="s">
        <v>5590</v>
      </c>
      <c r="B2440" t="s">
        <v>5591</v>
      </c>
      <c r="C2440" t="s">
        <v>190</v>
      </c>
      <c r="D2440" t="s">
        <v>280</v>
      </c>
    </row>
    <row r="2441" spans="1:4" x14ac:dyDescent="0.2">
      <c r="A2441" t="s">
        <v>5590</v>
      </c>
      <c r="B2441" t="s">
        <v>5592</v>
      </c>
      <c r="C2441" t="s">
        <v>190</v>
      </c>
      <c r="D2441" t="s">
        <v>5593</v>
      </c>
    </row>
    <row r="2442" spans="1:4" x14ac:dyDescent="0.2">
      <c r="A2442" t="s">
        <v>5590</v>
      </c>
      <c r="B2442" t="s">
        <v>5594</v>
      </c>
      <c r="C2442" t="s">
        <v>190</v>
      </c>
      <c r="D2442" t="s">
        <v>5593</v>
      </c>
    </row>
    <row r="2443" spans="1:4" x14ac:dyDescent="0.2">
      <c r="A2443" t="s">
        <v>5595</v>
      </c>
      <c r="B2443" t="s">
        <v>5596</v>
      </c>
      <c r="C2443" t="s">
        <v>190</v>
      </c>
      <c r="D2443" t="s">
        <v>191</v>
      </c>
    </row>
    <row r="2444" spans="1:4" x14ac:dyDescent="0.2">
      <c r="A2444" t="s">
        <v>5597</v>
      </c>
      <c r="B2444" t="s">
        <v>5598</v>
      </c>
      <c r="C2444" t="s">
        <v>190</v>
      </c>
      <c r="D2444" t="s">
        <v>191</v>
      </c>
    </row>
    <row r="2445" spans="1:4" x14ac:dyDescent="0.2">
      <c r="A2445" t="s">
        <v>5599</v>
      </c>
      <c r="B2445" t="s">
        <v>5600</v>
      </c>
      <c r="C2445" t="s">
        <v>5601</v>
      </c>
      <c r="D2445" t="s">
        <v>195</v>
      </c>
    </row>
    <row r="2446" spans="1:4" x14ac:dyDescent="0.2">
      <c r="A2446" t="s">
        <v>5602</v>
      </c>
      <c r="B2446" t="s">
        <v>5603</v>
      </c>
      <c r="C2446" t="s">
        <v>190</v>
      </c>
      <c r="D2446" t="s">
        <v>191</v>
      </c>
    </row>
    <row r="2447" spans="1:4" x14ac:dyDescent="0.2">
      <c r="A2447" t="s">
        <v>5604</v>
      </c>
      <c r="B2447" t="s">
        <v>5605</v>
      </c>
      <c r="C2447" t="s">
        <v>190</v>
      </c>
      <c r="D2447" t="s">
        <v>191</v>
      </c>
    </row>
    <row r="2448" spans="1:4" x14ac:dyDescent="0.2">
      <c r="A2448" t="s">
        <v>5606</v>
      </c>
      <c r="B2448" t="s">
        <v>5607</v>
      </c>
      <c r="C2448" t="s">
        <v>190</v>
      </c>
      <c r="D2448" t="s">
        <v>191</v>
      </c>
    </row>
    <row r="2449" spans="1:4" x14ac:dyDescent="0.2">
      <c r="A2449" t="s">
        <v>5608</v>
      </c>
      <c r="B2449" t="s">
        <v>5609</v>
      </c>
      <c r="C2449" t="s">
        <v>190</v>
      </c>
      <c r="D2449" t="s">
        <v>191</v>
      </c>
    </row>
    <row r="2450" spans="1:4" x14ac:dyDescent="0.2">
      <c r="A2450" t="s">
        <v>5610</v>
      </c>
      <c r="B2450" t="s">
        <v>5611</v>
      </c>
      <c r="C2450" t="s">
        <v>5612</v>
      </c>
      <c r="D2450" t="s">
        <v>195</v>
      </c>
    </row>
    <row r="2451" spans="1:4" x14ac:dyDescent="0.2">
      <c r="A2451" t="s">
        <v>5613</v>
      </c>
      <c r="B2451" t="s">
        <v>5614</v>
      </c>
      <c r="C2451" t="s">
        <v>5615</v>
      </c>
      <c r="D2451" t="s">
        <v>195</v>
      </c>
    </row>
    <row r="2452" spans="1:4" x14ac:dyDescent="0.2">
      <c r="A2452" t="s">
        <v>5616</v>
      </c>
      <c r="B2452" t="s">
        <v>5617</v>
      </c>
      <c r="C2452" t="s">
        <v>5618</v>
      </c>
      <c r="D2452" t="s">
        <v>187</v>
      </c>
    </row>
    <row r="2453" spans="1:4" x14ac:dyDescent="0.2">
      <c r="A2453" t="s">
        <v>5616</v>
      </c>
      <c r="B2453" t="s">
        <v>5619</v>
      </c>
      <c r="C2453" t="s">
        <v>190</v>
      </c>
      <c r="D2453" t="s">
        <v>191</v>
      </c>
    </row>
    <row r="2454" spans="1:4" x14ac:dyDescent="0.2">
      <c r="A2454" t="s">
        <v>5620</v>
      </c>
      <c r="B2454" t="s">
        <v>5621</v>
      </c>
      <c r="C2454" t="s">
        <v>190</v>
      </c>
      <c r="D2454" t="s">
        <v>280</v>
      </c>
    </row>
    <row r="2455" spans="1:4" x14ac:dyDescent="0.2">
      <c r="A2455" t="s">
        <v>5622</v>
      </c>
      <c r="B2455" t="s">
        <v>5623</v>
      </c>
      <c r="C2455" t="s">
        <v>5624</v>
      </c>
      <c r="D2455" t="s">
        <v>195</v>
      </c>
    </row>
    <row r="2456" spans="1:4" x14ac:dyDescent="0.2">
      <c r="A2456" t="s">
        <v>5625</v>
      </c>
      <c r="B2456" t="s">
        <v>5626</v>
      </c>
      <c r="C2456" t="s">
        <v>5627</v>
      </c>
      <c r="D2456" t="s">
        <v>187</v>
      </c>
    </row>
    <row r="2457" spans="1:4" x14ac:dyDescent="0.2">
      <c r="A2457" t="s">
        <v>5628</v>
      </c>
      <c r="B2457" t="s">
        <v>5629</v>
      </c>
      <c r="C2457" t="s">
        <v>190</v>
      </c>
      <c r="D2457" t="s">
        <v>191</v>
      </c>
    </row>
    <row r="2458" spans="1:4" x14ac:dyDescent="0.2">
      <c r="A2458" t="s">
        <v>5630</v>
      </c>
      <c r="B2458" t="s">
        <v>5631</v>
      </c>
      <c r="C2458" t="s">
        <v>190</v>
      </c>
      <c r="D2458" t="s">
        <v>191</v>
      </c>
    </row>
    <row r="2459" spans="1:4" x14ac:dyDescent="0.2">
      <c r="A2459" t="s">
        <v>5632</v>
      </c>
      <c r="B2459" t="s">
        <v>5633</v>
      </c>
      <c r="C2459" t="s">
        <v>5634</v>
      </c>
      <c r="D2459" t="s">
        <v>195</v>
      </c>
    </row>
    <row r="2460" spans="1:4" x14ac:dyDescent="0.2">
      <c r="A2460" t="s">
        <v>5635</v>
      </c>
      <c r="B2460" t="s">
        <v>5636</v>
      </c>
      <c r="C2460" t="s">
        <v>5637</v>
      </c>
      <c r="D2460" t="s">
        <v>187</v>
      </c>
    </row>
    <row r="2461" spans="1:4" x14ac:dyDescent="0.2">
      <c r="A2461" t="s">
        <v>5638</v>
      </c>
      <c r="B2461" t="s">
        <v>5639</v>
      </c>
      <c r="C2461" t="s">
        <v>190</v>
      </c>
      <c r="D2461" t="s">
        <v>191</v>
      </c>
    </row>
    <row r="2462" spans="1:4" x14ac:dyDescent="0.2">
      <c r="A2462" t="s">
        <v>5640</v>
      </c>
      <c r="B2462" t="s">
        <v>5641</v>
      </c>
      <c r="C2462" t="s">
        <v>190</v>
      </c>
      <c r="D2462" t="s">
        <v>191</v>
      </c>
    </row>
    <row r="2463" spans="1:4" x14ac:dyDescent="0.2">
      <c r="A2463" t="s">
        <v>5642</v>
      </c>
      <c r="B2463" t="s">
        <v>5643</v>
      </c>
      <c r="C2463" t="s">
        <v>190</v>
      </c>
      <c r="D2463" t="s">
        <v>191</v>
      </c>
    </row>
    <row r="2464" spans="1:4" x14ac:dyDescent="0.2">
      <c r="A2464" t="s">
        <v>5644</v>
      </c>
      <c r="B2464" t="s">
        <v>5645</v>
      </c>
      <c r="C2464" t="s">
        <v>190</v>
      </c>
      <c r="D2464" t="s">
        <v>191</v>
      </c>
    </row>
    <row r="2465" spans="1:4" x14ac:dyDescent="0.2">
      <c r="A2465" t="s">
        <v>5646</v>
      </c>
      <c r="B2465" t="s">
        <v>5647</v>
      </c>
      <c r="C2465" t="s">
        <v>5648</v>
      </c>
      <c r="D2465" t="s">
        <v>195</v>
      </c>
    </row>
    <row r="2466" spans="1:4" x14ac:dyDescent="0.2">
      <c r="A2466" t="s">
        <v>5649</v>
      </c>
      <c r="B2466" t="s">
        <v>5650</v>
      </c>
      <c r="C2466" t="s">
        <v>190</v>
      </c>
      <c r="D2466" t="s">
        <v>191</v>
      </c>
    </row>
    <row r="2467" spans="1:4" x14ac:dyDescent="0.2">
      <c r="A2467" t="s">
        <v>5651</v>
      </c>
      <c r="B2467" t="s">
        <v>5652</v>
      </c>
      <c r="C2467" t="s">
        <v>190</v>
      </c>
      <c r="D2467" t="s">
        <v>191</v>
      </c>
    </row>
    <row r="2468" spans="1:4" x14ac:dyDescent="0.2">
      <c r="A2468" t="s">
        <v>5653</v>
      </c>
      <c r="B2468" t="s">
        <v>5654</v>
      </c>
      <c r="C2468" t="s">
        <v>190</v>
      </c>
      <c r="D2468" t="s">
        <v>191</v>
      </c>
    </row>
    <row r="2469" spans="1:4" x14ac:dyDescent="0.2">
      <c r="A2469" t="s">
        <v>5655</v>
      </c>
      <c r="B2469" t="s">
        <v>5656</v>
      </c>
      <c r="C2469" t="s">
        <v>5657</v>
      </c>
      <c r="D2469" t="s">
        <v>195</v>
      </c>
    </row>
    <row r="2470" spans="1:4" x14ac:dyDescent="0.2">
      <c r="A2470" t="s">
        <v>5658</v>
      </c>
      <c r="B2470" t="s">
        <v>5659</v>
      </c>
      <c r="C2470" t="s">
        <v>5660</v>
      </c>
      <c r="D2470" t="s">
        <v>195</v>
      </c>
    </row>
    <row r="2471" spans="1:4" x14ac:dyDescent="0.2">
      <c r="A2471" t="s">
        <v>5661</v>
      </c>
      <c r="B2471" t="s">
        <v>5662</v>
      </c>
      <c r="C2471" t="s">
        <v>190</v>
      </c>
      <c r="D2471" t="s">
        <v>191</v>
      </c>
    </row>
    <row r="2472" spans="1:4" x14ac:dyDescent="0.2">
      <c r="A2472" t="s">
        <v>5663</v>
      </c>
      <c r="B2472" t="s">
        <v>5664</v>
      </c>
      <c r="C2472" t="s">
        <v>190</v>
      </c>
      <c r="D2472" t="s">
        <v>5665</v>
      </c>
    </row>
    <row r="2473" spans="1:4" x14ac:dyDescent="0.2">
      <c r="A2473" t="s">
        <v>5663</v>
      </c>
      <c r="B2473" t="s">
        <v>5666</v>
      </c>
      <c r="C2473" t="s">
        <v>5667</v>
      </c>
      <c r="D2473" t="s">
        <v>195</v>
      </c>
    </row>
    <row r="2474" spans="1:4" x14ac:dyDescent="0.2">
      <c r="A2474" t="s">
        <v>5668</v>
      </c>
      <c r="B2474" t="s">
        <v>5664</v>
      </c>
      <c r="C2474" t="s">
        <v>190</v>
      </c>
      <c r="D2474" t="s">
        <v>5665</v>
      </c>
    </row>
    <row r="2475" spans="1:4" x14ac:dyDescent="0.2">
      <c r="A2475" t="s">
        <v>5669</v>
      </c>
      <c r="B2475" t="s">
        <v>5670</v>
      </c>
      <c r="C2475" t="s">
        <v>190</v>
      </c>
      <c r="D2475" t="s">
        <v>191</v>
      </c>
    </row>
    <row r="2476" spans="1:4" x14ac:dyDescent="0.2">
      <c r="A2476" t="s">
        <v>5671</v>
      </c>
      <c r="B2476" t="s">
        <v>5672</v>
      </c>
      <c r="C2476" t="s">
        <v>5673</v>
      </c>
      <c r="D2476" t="s">
        <v>195</v>
      </c>
    </row>
    <row r="2477" spans="1:4" x14ac:dyDescent="0.2">
      <c r="A2477" t="s">
        <v>5674</v>
      </c>
      <c r="B2477" t="s">
        <v>5675</v>
      </c>
      <c r="C2477" t="s">
        <v>190</v>
      </c>
      <c r="D2477" t="s">
        <v>5676</v>
      </c>
    </row>
    <row r="2478" spans="1:4" x14ac:dyDescent="0.2">
      <c r="A2478" t="s">
        <v>5677</v>
      </c>
      <c r="B2478" t="s">
        <v>5678</v>
      </c>
      <c r="C2478" t="s">
        <v>190</v>
      </c>
      <c r="D2478" t="s">
        <v>191</v>
      </c>
    </row>
    <row r="2479" spans="1:4" x14ac:dyDescent="0.2">
      <c r="A2479" t="s">
        <v>5679</v>
      </c>
      <c r="B2479" t="s">
        <v>5680</v>
      </c>
      <c r="C2479" t="s">
        <v>190</v>
      </c>
      <c r="D2479" t="s">
        <v>191</v>
      </c>
    </row>
    <row r="2480" spans="1:4" x14ac:dyDescent="0.2">
      <c r="A2480" t="s">
        <v>5681</v>
      </c>
      <c r="B2480" t="s">
        <v>5682</v>
      </c>
      <c r="C2480" t="s">
        <v>5683</v>
      </c>
      <c r="D2480" t="s">
        <v>187</v>
      </c>
    </row>
    <row r="2481" spans="1:4" x14ac:dyDescent="0.2">
      <c r="A2481" t="s">
        <v>5684</v>
      </c>
      <c r="B2481" t="s">
        <v>5685</v>
      </c>
      <c r="C2481" t="s">
        <v>190</v>
      </c>
      <c r="D2481" t="s">
        <v>191</v>
      </c>
    </row>
    <row r="2482" spans="1:4" x14ac:dyDescent="0.2">
      <c r="A2482" t="s">
        <v>5686</v>
      </c>
      <c r="B2482" t="s">
        <v>5687</v>
      </c>
      <c r="C2482" t="s">
        <v>5688</v>
      </c>
      <c r="D2482" t="s">
        <v>187</v>
      </c>
    </row>
    <row r="2483" spans="1:4" x14ac:dyDescent="0.2">
      <c r="A2483" t="s">
        <v>5689</v>
      </c>
      <c r="B2483" t="s">
        <v>5690</v>
      </c>
      <c r="C2483" t="s">
        <v>190</v>
      </c>
      <c r="D2483" t="s">
        <v>191</v>
      </c>
    </row>
    <row r="2484" spans="1:4" x14ac:dyDescent="0.2">
      <c r="A2484" t="s">
        <v>5691</v>
      </c>
      <c r="B2484" t="s">
        <v>5692</v>
      </c>
      <c r="C2484" t="s">
        <v>190</v>
      </c>
      <c r="D2484" t="s">
        <v>191</v>
      </c>
    </row>
    <row r="2485" spans="1:4" x14ac:dyDescent="0.2">
      <c r="A2485" t="s">
        <v>5693</v>
      </c>
      <c r="B2485" t="s">
        <v>5694</v>
      </c>
      <c r="C2485" t="s">
        <v>5695</v>
      </c>
      <c r="D2485" t="s">
        <v>187</v>
      </c>
    </row>
    <row r="2486" spans="1:4" x14ac:dyDescent="0.2">
      <c r="A2486" t="s">
        <v>5696</v>
      </c>
      <c r="B2486" t="s">
        <v>5697</v>
      </c>
      <c r="C2486" t="s">
        <v>5698</v>
      </c>
      <c r="D2486" t="s">
        <v>195</v>
      </c>
    </row>
    <row r="2487" spans="1:4" x14ac:dyDescent="0.2">
      <c r="A2487" t="s">
        <v>5699</v>
      </c>
      <c r="B2487" t="s">
        <v>5700</v>
      </c>
      <c r="C2487" t="s">
        <v>5701</v>
      </c>
      <c r="D2487" t="s">
        <v>195</v>
      </c>
    </row>
    <row r="2488" spans="1:4" x14ac:dyDescent="0.2">
      <c r="A2488" t="s">
        <v>5702</v>
      </c>
      <c r="B2488" t="s">
        <v>5703</v>
      </c>
      <c r="C2488" t="s">
        <v>190</v>
      </c>
      <c r="D2488" t="s">
        <v>191</v>
      </c>
    </row>
    <row r="2489" spans="1:4" x14ac:dyDescent="0.2">
      <c r="A2489" t="s">
        <v>5704</v>
      </c>
      <c r="B2489" t="s">
        <v>5705</v>
      </c>
      <c r="C2489" t="s">
        <v>190</v>
      </c>
      <c r="D2489" t="s">
        <v>191</v>
      </c>
    </row>
    <row r="2490" spans="1:4" x14ac:dyDescent="0.2">
      <c r="A2490" t="s">
        <v>5706</v>
      </c>
      <c r="B2490" t="s">
        <v>5707</v>
      </c>
      <c r="C2490" t="s">
        <v>190</v>
      </c>
      <c r="D2490" t="s">
        <v>191</v>
      </c>
    </row>
    <row r="2491" spans="1:4" x14ac:dyDescent="0.2">
      <c r="A2491" t="s">
        <v>5708</v>
      </c>
      <c r="B2491" t="s">
        <v>5709</v>
      </c>
      <c r="C2491" t="s">
        <v>5710</v>
      </c>
      <c r="D2491" t="s">
        <v>195</v>
      </c>
    </row>
    <row r="2492" spans="1:4" x14ac:dyDescent="0.2">
      <c r="A2492" t="s">
        <v>5711</v>
      </c>
      <c r="B2492" t="s">
        <v>5712</v>
      </c>
      <c r="C2492" t="s">
        <v>190</v>
      </c>
      <c r="D2492" t="s">
        <v>191</v>
      </c>
    </row>
    <row r="2493" spans="1:4" x14ac:dyDescent="0.2">
      <c r="A2493" t="s">
        <v>5711</v>
      </c>
      <c r="B2493" t="s">
        <v>5713</v>
      </c>
      <c r="C2493" t="s">
        <v>190</v>
      </c>
      <c r="D2493" t="s">
        <v>191</v>
      </c>
    </row>
    <row r="2494" spans="1:4" x14ac:dyDescent="0.2">
      <c r="A2494" t="s">
        <v>5714</v>
      </c>
      <c r="B2494" t="s">
        <v>5715</v>
      </c>
      <c r="C2494" t="s">
        <v>190</v>
      </c>
      <c r="D2494" t="s">
        <v>191</v>
      </c>
    </row>
    <row r="2495" spans="1:4" x14ac:dyDescent="0.2">
      <c r="A2495" t="s">
        <v>5716</v>
      </c>
      <c r="B2495" t="s">
        <v>5717</v>
      </c>
      <c r="C2495" t="s">
        <v>5718</v>
      </c>
      <c r="D2495" t="s">
        <v>195</v>
      </c>
    </row>
    <row r="2496" spans="1:4" x14ac:dyDescent="0.2">
      <c r="A2496" t="s">
        <v>5719</v>
      </c>
      <c r="B2496" t="s">
        <v>5720</v>
      </c>
      <c r="C2496" t="s">
        <v>190</v>
      </c>
      <c r="D2496" t="s">
        <v>191</v>
      </c>
    </row>
    <row r="2497" spans="1:4" x14ac:dyDescent="0.2">
      <c r="A2497" t="s">
        <v>5719</v>
      </c>
      <c r="B2497" t="s">
        <v>5721</v>
      </c>
      <c r="C2497" t="s">
        <v>190</v>
      </c>
      <c r="D2497" t="s">
        <v>191</v>
      </c>
    </row>
    <row r="2498" spans="1:4" x14ac:dyDescent="0.2">
      <c r="A2498" t="s">
        <v>5719</v>
      </c>
      <c r="B2498" t="s">
        <v>5722</v>
      </c>
      <c r="C2498" t="s">
        <v>190</v>
      </c>
      <c r="D2498" t="s">
        <v>191</v>
      </c>
    </row>
    <row r="2499" spans="1:4" x14ac:dyDescent="0.2">
      <c r="A2499" t="s">
        <v>5719</v>
      </c>
      <c r="B2499" t="s">
        <v>5723</v>
      </c>
      <c r="C2499" t="s">
        <v>190</v>
      </c>
      <c r="D2499" t="s">
        <v>191</v>
      </c>
    </row>
    <row r="2500" spans="1:4" x14ac:dyDescent="0.2">
      <c r="A2500" t="s">
        <v>5719</v>
      </c>
      <c r="B2500" t="s">
        <v>5724</v>
      </c>
      <c r="C2500" t="s">
        <v>190</v>
      </c>
      <c r="D2500" t="s">
        <v>191</v>
      </c>
    </row>
    <row r="2501" spans="1:4" x14ac:dyDescent="0.2">
      <c r="A2501" t="s">
        <v>5725</v>
      </c>
      <c r="B2501" t="s">
        <v>5726</v>
      </c>
      <c r="C2501" t="s">
        <v>190</v>
      </c>
      <c r="D2501" t="s">
        <v>191</v>
      </c>
    </row>
    <row r="2502" spans="1:4" x14ac:dyDescent="0.2">
      <c r="A2502" t="s">
        <v>5727</v>
      </c>
      <c r="B2502" t="s">
        <v>5728</v>
      </c>
      <c r="C2502" t="s">
        <v>5729</v>
      </c>
      <c r="D2502" t="s">
        <v>195</v>
      </c>
    </row>
    <row r="2503" spans="1:4" x14ac:dyDescent="0.2">
      <c r="A2503" t="s">
        <v>5727</v>
      </c>
      <c r="B2503" t="s">
        <v>5730</v>
      </c>
      <c r="C2503" t="s">
        <v>190</v>
      </c>
      <c r="D2503" t="s">
        <v>191</v>
      </c>
    </row>
    <row r="2504" spans="1:4" x14ac:dyDescent="0.2">
      <c r="A2504" t="s">
        <v>5727</v>
      </c>
      <c r="B2504" t="s">
        <v>5731</v>
      </c>
      <c r="C2504" t="s">
        <v>190</v>
      </c>
      <c r="D2504" t="s">
        <v>191</v>
      </c>
    </row>
    <row r="2505" spans="1:4" x14ac:dyDescent="0.2">
      <c r="A2505" t="s">
        <v>5727</v>
      </c>
      <c r="B2505" t="s">
        <v>5732</v>
      </c>
      <c r="C2505" t="s">
        <v>5733</v>
      </c>
      <c r="D2505" t="s">
        <v>195</v>
      </c>
    </row>
    <row r="2506" spans="1:4" x14ac:dyDescent="0.2">
      <c r="A2506" t="s">
        <v>5727</v>
      </c>
      <c r="B2506" t="s">
        <v>5734</v>
      </c>
      <c r="C2506" t="s">
        <v>5735</v>
      </c>
      <c r="D2506" t="s">
        <v>195</v>
      </c>
    </row>
    <row r="2507" spans="1:4" x14ac:dyDescent="0.2">
      <c r="A2507" t="s">
        <v>5736</v>
      </c>
      <c r="B2507" t="s">
        <v>5737</v>
      </c>
      <c r="C2507" t="s">
        <v>190</v>
      </c>
      <c r="D2507" t="s">
        <v>191</v>
      </c>
    </row>
    <row r="2508" spans="1:4" x14ac:dyDescent="0.2">
      <c r="A2508" t="s">
        <v>5738</v>
      </c>
      <c r="B2508" t="s">
        <v>5739</v>
      </c>
      <c r="C2508" t="s">
        <v>190</v>
      </c>
      <c r="D2508" t="s">
        <v>191</v>
      </c>
    </row>
    <row r="2509" spans="1:4" x14ac:dyDescent="0.2">
      <c r="A2509" t="s">
        <v>5740</v>
      </c>
      <c r="B2509" t="s">
        <v>5741</v>
      </c>
      <c r="C2509" t="s">
        <v>5742</v>
      </c>
      <c r="D2509" t="s">
        <v>187</v>
      </c>
    </row>
    <row r="2510" spans="1:4" x14ac:dyDescent="0.2">
      <c r="A2510" t="s">
        <v>5740</v>
      </c>
      <c r="B2510" t="s">
        <v>5743</v>
      </c>
      <c r="C2510" t="s">
        <v>190</v>
      </c>
      <c r="D2510" t="s">
        <v>280</v>
      </c>
    </row>
    <row r="2511" spans="1:4" x14ac:dyDescent="0.2">
      <c r="A2511" t="s">
        <v>5744</v>
      </c>
      <c r="B2511" t="s">
        <v>5745</v>
      </c>
      <c r="C2511" t="s">
        <v>190</v>
      </c>
      <c r="D2511" t="s">
        <v>191</v>
      </c>
    </row>
    <row r="2512" spans="1:4" x14ac:dyDescent="0.2">
      <c r="A2512" t="s">
        <v>5746</v>
      </c>
      <c r="B2512" t="s">
        <v>5747</v>
      </c>
      <c r="C2512" t="s">
        <v>5748</v>
      </c>
      <c r="D2512" t="s">
        <v>195</v>
      </c>
    </row>
    <row r="2513" spans="1:4" x14ac:dyDescent="0.2">
      <c r="A2513" t="s">
        <v>5749</v>
      </c>
      <c r="B2513" t="s">
        <v>5750</v>
      </c>
      <c r="C2513" t="s">
        <v>190</v>
      </c>
      <c r="D2513" t="s">
        <v>191</v>
      </c>
    </row>
    <row r="2514" spans="1:4" x14ac:dyDescent="0.2">
      <c r="A2514" t="s">
        <v>5751</v>
      </c>
      <c r="B2514" t="s">
        <v>5752</v>
      </c>
      <c r="C2514" t="s">
        <v>190</v>
      </c>
      <c r="D2514" t="s">
        <v>191</v>
      </c>
    </row>
    <row r="2515" spans="1:4" x14ac:dyDescent="0.2">
      <c r="A2515" t="s">
        <v>5753</v>
      </c>
      <c r="B2515" t="s">
        <v>5754</v>
      </c>
      <c r="C2515" t="s">
        <v>190</v>
      </c>
      <c r="D2515" t="s">
        <v>191</v>
      </c>
    </row>
    <row r="2516" spans="1:4" x14ac:dyDescent="0.2">
      <c r="A2516" t="s">
        <v>5755</v>
      </c>
      <c r="B2516" t="s">
        <v>5756</v>
      </c>
      <c r="C2516" t="s">
        <v>190</v>
      </c>
      <c r="D2516" t="s">
        <v>191</v>
      </c>
    </row>
    <row r="2517" spans="1:4" x14ac:dyDescent="0.2">
      <c r="A2517" t="s">
        <v>5757</v>
      </c>
      <c r="B2517" t="s">
        <v>5758</v>
      </c>
      <c r="C2517" t="s">
        <v>5759</v>
      </c>
      <c r="D2517" t="s">
        <v>195</v>
      </c>
    </row>
    <row r="2518" spans="1:4" x14ac:dyDescent="0.2">
      <c r="A2518" t="s">
        <v>5760</v>
      </c>
      <c r="B2518" t="s">
        <v>5761</v>
      </c>
      <c r="C2518" t="s">
        <v>190</v>
      </c>
      <c r="D2518" t="s">
        <v>191</v>
      </c>
    </row>
    <row r="2519" spans="1:4" x14ac:dyDescent="0.2">
      <c r="A2519" t="s">
        <v>5762</v>
      </c>
      <c r="B2519" t="s">
        <v>5763</v>
      </c>
      <c r="C2519" t="s">
        <v>190</v>
      </c>
      <c r="D2519" t="s">
        <v>191</v>
      </c>
    </row>
    <row r="2520" spans="1:4" x14ac:dyDescent="0.2">
      <c r="A2520" t="s">
        <v>5764</v>
      </c>
      <c r="B2520" t="s">
        <v>5765</v>
      </c>
      <c r="C2520" t="s">
        <v>190</v>
      </c>
      <c r="D2520" t="s">
        <v>191</v>
      </c>
    </row>
    <row r="2521" spans="1:4" x14ac:dyDescent="0.2">
      <c r="A2521" t="s">
        <v>5766</v>
      </c>
      <c r="B2521" t="s">
        <v>5767</v>
      </c>
      <c r="C2521" t="s">
        <v>190</v>
      </c>
      <c r="D2521" t="s">
        <v>191</v>
      </c>
    </row>
    <row r="2522" spans="1:4" x14ac:dyDescent="0.2">
      <c r="A2522" t="s">
        <v>5768</v>
      </c>
      <c r="B2522" t="s">
        <v>5769</v>
      </c>
      <c r="C2522" t="s">
        <v>190</v>
      </c>
      <c r="D2522" t="s">
        <v>191</v>
      </c>
    </row>
    <row r="2523" spans="1:4" x14ac:dyDescent="0.2">
      <c r="A2523" t="s">
        <v>5770</v>
      </c>
      <c r="B2523" t="s">
        <v>5771</v>
      </c>
      <c r="C2523" t="s">
        <v>190</v>
      </c>
      <c r="D2523" t="s">
        <v>191</v>
      </c>
    </row>
    <row r="2524" spans="1:4" x14ac:dyDescent="0.2">
      <c r="A2524" t="s">
        <v>5772</v>
      </c>
      <c r="B2524" t="s">
        <v>5773</v>
      </c>
      <c r="C2524" t="s">
        <v>190</v>
      </c>
      <c r="D2524" t="s">
        <v>191</v>
      </c>
    </row>
    <row r="2525" spans="1:4" x14ac:dyDescent="0.2">
      <c r="A2525" t="s">
        <v>5774</v>
      </c>
      <c r="B2525" t="s">
        <v>5775</v>
      </c>
      <c r="C2525" t="s">
        <v>190</v>
      </c>
      <c r="D2525" t="s">
        <v>191</v>
      </c>
    </row>
    <row r="2526" spans="1:4" x14ac:dyDescent="0.2">
      <c r="A2526" t="s">
        <v>5776</v>
      </c>
      <c r="B2526" t="s">
        <v>5777</v>
      </c>
      <c r="C2526" t="s">
        <v>190</v>
      </c>
      <c r="D2526" t="s">
        <v>191</v>
      </c>
    </row>
    <row r="2527" spans="1:4" x14ac:dyDescent="0.2">
      <c r="A2527" t="s">
        <v>5778</v>
      </c>
      <c r="B2527" t="s">
        <v>5779</v>
      </c>
      <c r="C2527" t="s">
        <v>5780</v>
      </c>
      <c r="D2527" t="s">
        <v>195</v>
      </c>
    </row>
    <row r="2528" spans="1:4" x14ac:dyDescent="0.2">
      <c r="A2528" t="s">
        <v>5781</v>
      </c>
      <c r="B2528" t="s">
        <v>5782</v>
      </c>
      <c r="C2528" t="s">
        <v>5783</v>
      </c>
      <c r="D2528" t="s">
        <v>187</v>
      </c>
    </row>
    <row r="2529" spans="1:4" x14ac:dyDescent="0.2">
      <c r="A2529" t="s">
        <v>5784</v>
      </c>
      <c r="B2529" t="s">
        <v>5785</v>
      </c>
      <c r="C2529" t="s">
        <v>5786</v>
      </c>
      <c r="D2529" t="s">
        <v>195</v>
      </c>
    </row>
    <row r="2530" spans="1:4" x14ac:dyDescent="0.2">
      <c r="A2530" t="s">
        <v>5787</v>
      </c>
      <c r="B2530" t="s">
        <v>5788</v>
      </c>
      <c r="C2530" t="s">
        <v>190</v>
      </c>
      <c r="D2530" t="s">
        <v>5789</v>
      </c>
    </row>
    <row r="2531" spans="1:4" x14ac:dyDescent="0.2">
      <c r="A2531" t="s">
        <v>5790</v>
      </c>
      <c r="B2531" t="s">
        <v>5791</v>
      </c>
      <c r="C2531" t="s">
        <v>5792</v>
      </c>
      <c r="D2531" t="s">
        <v>195</v>
      </c>
    </row>
    <row r="2532" spans="1:4" x14ac:dyDescent="0.2">
      <c r="A2532" t="s">
        <v>5793</v>
      </c>
      <c r="B2532" t="s">
        <v>5794</v>
      </c>
      <c r="C2532" t="s">
        <v>5795</v>
      </c>
      <c r="D2532" t="s">
        <v>187</v>
      </c>
    </row>
    <row r="2533" spans="1:4" x14ac:dyDescent="0.2">
      <c r="A2533" t="s">
        <v>5796</v>
      </c>
      <c r="B2533" t="s">
        <v>5797</v>
      </c>
      <c r="C2533" t="s">
        <v>5798</v>
      </c>
      <c r="D2533" t="s">
        <v>195</v>
      </c>
    </row>
    <row r="2534" spans="1:4" x14ac:dyDescent="0.2">
      <c r="A2534" t="s">
        <v>5799</v>
      </c>
      <c r="B2534" t="s">
        <v>5800</v>
      </c>
      <c r="C2534" t="s">
        <v>190</v>
      </c>
      <c r="D2534" t="s">
        <v>191</v>
      </c>
    </row>
    <row r="2535" spans="1:4" x14ac:dyDescent="0.2">
      <c r="A2535" t="s">
        <v>5801</v>
      </c>
      <c r="B2535" t="s">
        <v>5802</v>
      </c>
      <c r="C2535" t="s">
        <v>190</v>
      </c>
      <c r="D2535" t="s">
        <v>191</v>
      </c>
    </row>
    <row r="2536" spans="1:4" x14ac:dyDescent="0.2">
      <c r="A2536" t="s">
        <v>5803</v>
      </c>
      <c r="B2536" t="s">
        <v>5804</v>
      </c>
      <c r="C2536" t="s">
        <v>190</v>
      </c>
      <c r="D2536" t="s">
        <v>191</v>
      </c>
    </row>
    <row r="2537" spans="1:4" x14ac:dyDescent="0.2">
      <c r="A2537" t="s">
        <v>5805</v>
      </c>
      <c r="B2537" t="s">
        <v>5806</v>
      </c>
      <c r="C2537" t="s">
        <v>5807</v>
      </c>
      <c r="D2537" t="s">
        <v>187</v>
      </c>
    </row>
    <row r="2538" spans="1:4" x14ac:dyDescent="0.2">
      <c r="A2538" t="s">
        <v>5808</v>
      </c>
      <c r="B2538" t="s">
        <v>5809</v>
      </c>
      <c r="C2538" t="s">
        <v>5810</v>
      </c>
      <c r="D2538" t="s">
        <v>187</v>
      </c>
    </row>
    <row r="2539" spans="1:4" x14ac:dyDescent="0.2">
      <c r="A2539" t="s">
        <v>5811</v>
      </c>
      <c r="B2539" t="s">
        <v>5812</v>
      </c>
      <c r="C2539" t="s">
        <v>190</v>
      </c>
      <c r="D2539" t="s">
        <v>191</v>
      </c>
    </row>
    <row r="2540" spans="1:4" x14ac:dyDescent="0.2">
      <c r="A2540" t="s">
        <v>5813</v>
      </c>
      <c r="B2540" t="s">
        <v>5814</v>
      </c>
      <c r="C2540" t="s">
        <v>190</v>
      </c>
      <c r="D2540" t="s">
        <v>191</v>
      </c>
    </row>
    <row r="2541" spans="1:4" x14ac:dyDescent="0.2">
      <c r="A2541" t="s">
        <v>5815</v>
      </c>
      <c r="B2541" t="s">
        <v>5816</v>
      </c>
      <c r="C2541" t="s">
        <v>190</v>
      </c>
      <c r="D2541" t="s">
        <v>191</v>
      </c>
    </row>
    <row r="2542" spans="1:4" x14ac:dyDescent="0.2">
      <c r="A2542" t="s">
        <v>5817</v>
      </c>
      <c r="B2542" t="s">
        <v>5818</v>
      </c>
      <c r="C2542" t="s">
        <v>5819</v>
      </c>
      <c r="D2542" t="s">
        <v>195</v>
      </c>
    </row>
    <row r="2543" spans="1:4" x14ac:dyDescent="0.2">
      <c r="A2543" t="s">
        <v>5820</v>
      </c>
      <c r="B2543" t="s">
        <v>5821</v>
      </c>
      <c r="C2543" t="s">
        <v>190</v>
      </c>
      <c r="D2543" t="s">
        <v>191</v>
      </c>
    </row>
    <row r="2544" spans="1:4" x14ac:dyDescent="0.2">
      <c r="A2544" t="s">
        <v>5822</v>
      </c>
      <c r="B2544" t="s">
        <v>5823</v>
      </c>
      <c r="C2544" t="s">
        <v>5824</v>
      </c>
      <c r="D2544" t="s">
        <v>195</v>
      </c>
    </row>
    <row r="2545" spans="1:4" x14ac:dyDescent="0.2">
      <c r="A2545" t="s">
        <v>5825</v>
      </c>
      <c r="B2545" t="s">
        <v>5826</v>
      </c>
      <c r="C2545" t="s">
        <v>5827</v>
      </c>
      <c r="D2545" t="s">
        <v>195</v>
      </c>
    </row>
    <row r="2546" spans="1:4" x14ac:dyDescent="0.2">
      <c r="A2546" t="s">
        <v>5828</v>
      </c>
      <c r="B2546" t="s">
        <v>5829</v>
      </c>
      <c r="C2546" t="s">
        <v>5830</v>
      </c>
      <c r="D2546" t="s">
        <v>187</v>
      </c>
    </row>
    <row r="2547" spans="1:4" x14ac:dyDescent="0.2">
      <c r="A2547" t="s">
        <v>5831</v>
      </c>
      <c r="B2547" t="s">
        <v>5832</v>
      </c>
      <c r="C2547" t="s">
        <v>190</v>
      </c>
      <c r="D2547" t="s">
        <v>191</v>
      </c>
    </row>
    <row r="2548" spans="1:4" x14ac:dyDescent="0.2">
      <c r="A2548" t="s">
        <v>5833</v>
      </c>
      <c r="B2548" t="s">
        <v>5834</v>
      </c>
      <c r="C2548" t="s">
        <v>5835</v>
      </c>
      <c r="D2548" t="s">
        <v>195</v>
      </c>
    </row>
    <row r="2549" spans="1:4" x14ac:dyDescent="0.2">
      <c r="A2549" t="s">
        <v>5836</v>
      </c>
      <c r="B2549" t="s">
        <v>5837</v>
      </c>
      <c r="C2549" t="s">
        <v>5838</v>
      </c>
      <c r="D2549" t="s">
        <v>187</v>
      </c>
    </row>
    <row r="2550" spans="1:4" x14ac:dyDescent="0.2">
      <c r="A2550" t="s">
        <v>5836</v>
      </c>
      <c r="B2550" t="s">
        <v>5839</v>
      </c>
      <c r="C2550" t="s">
        <v>190</v>
      </c>
      <c r="D2550" t="s">
        <v>191</v>
      </c>
    </row>
    <row r="2551" spans="1:4" x14ac:dyDescent="0.2">
      <c r="A2551" t="s">
        <v>5840</v>
      </c>
      <c r="B2551" t="s">
        <v>5841</v>
      </c>
      <c r="C2551" t="s">
        <v>190</v>
      </c>
      <c r="D2551" t="s">
        <v>191</v>
      </c>
    </row>
    <row r="2552" spans="1:4" x14ac:dyDescent="0.2">
      <c r="A2552" t="s">
        <v>5842</v>
      </c>
      <c r="B2552" t="s">
        <v>5843</v>
      </c>
      <c r="C2552" t="s">
        <v>5844</v>
      </c>
      <c r="D2552" t="s">
        <v>195</v>
      </c>
    </row>
    <row r="2553" spans="1:4" x14ac:dyDescent="0.2">
      <c r="A2553" t="s">
        <v>5845</v>
      </c>
      <c r="B2553" t="s">
        <v>5846</v>
      </c>
      <c r="C2553" t="s">
        <v>190</v>
      </c>
      <c r="D2553" t="s">
        <v>191</v>
      </c>
    </row>
    <row r="2554" spans="1:4" x14ac:dyDescent="0.2">
      <c r="A2554" t="s">
        <v>5847</v>
      </c>
      <c r="B2554" t="s">
        <v>5848</v>
      </c>
      <c r="C2554" t="s">
        <v>190</v>
      </c>
      <c r="D2554" t="s">
        <v>191</v>
      </c>
    </row>
    <row r="2555" spans="1:4" x14ac:dyDescent="0.2">
      <c r="A2555" t="s">
        <v>5849</v>
      </c>
      <c r="B2555" t="s">
        <v>5850</v>
      </c>
      <c r="C2555" t="s">
        <v>5851</v>
      </c>
      <c r="D2555" t="s">
        <v>187</v>
      </c>
    </row>
    <row r="2556" spans="1:4" x14ac:dyDescent="0.2">
      <c r="A2556" t="s">
        <v>5852</v>
      </c>
      <c r="B2556" t="s">
        <v>5853</v>
      </c>
      <c r="C2556" t="s">
        <v>190</v>
      </c>
      <c r="D2556" t="s">
        <v>191</v>
      </c>
    </row>
    <row r="2557" spans="1:4" x14ac:dyDescent="0.2">
      <c r="A2557" t="s">
        <v>5854</v>
      </c>
      <c r="B2557" t="s">
        <v>5855</v>
      </c>
      <c r="C2557" t="s">
        <v>5856</v>
      </c>
      <c r="D2557" t="s">
        <v>195</v>
      </c>
    </row>
    <row r="2558" spans="1:4" x14ac:dyDescent="0.2">
      <c r="A2558" t="s">
        <v>5857</v>
      </c>
      <c r="B2558" t="s">
        <v>5858</v>
      </c>
      <c r="C2558" t="s">
        <v>190</v>
      </c>
      <c r="D2558" t="s">
        <v>280</v>
      </c>
    </row>
    <row r="2559" spans="1:4" x14ac:dyDescent="0.2">
      <c r="A2559" t="s">
        <v>5859</v>
      </c>
      <c r="B2559" t="s">
        <v>5860</v>
      </c>
      <c r="C2559" t="s">
        <v>190</v>
      </c>
      <c r="D2559" t="s">
        <v>191</v>
      </c>
    </row>
    <row r="2560" spans="1:4" x14ac:dyDescent="0.2">
      <c r="A2560" t="s">
        <v>5861</v>
      </c>
      <c r="B2560" t="s">
        <v>5862</v>
      </c>
      <c r="C2560" t="s">
        <v>190</v>
      </c>
      <c r="D2560" t="s">
        <v>191</v>
      </c>
    </row>
    <row r="2561" spans="1:4" x14ac:dyDescent="0.2">
      <c r="A2561" t="s">
        <v>5863</v>
      </c>
      <c r="B2561" t="s">
        <v>5864</v>
      </c>
      <c r="C2561" t="s">
        <v>190</v>
      </c>
      <c r="D2561" t="s">
        <v>191</v>
      </c>
    </row>
    <row r="2562" spans="1:4" x14ac:dyDescent="0.2">
      <c r="A2562" t="s">
        <v>5865</v>
      </c>
      <c r="B2562" t="s">
        <v>5866</v>
      </c>
      <c r="C2562" t="s">
        <v>5867</v>
      </c>
      <c r="D2562" t="s">
        <v>187</v>
      </c>
    </row>
    <row r="2563" spans="1:4" x14ac:dyDescent="0.2">
      <c r="A2563" t="s">
        <v>5868</v>
      </c>
      <c r="B2563" t="s">
        <v>5869</v>
      </c>
      <c r="C2563" t="s">
        <v>190</v>
      </c>
      <c r="D2563" t="s">
        <v>191</v>
      </c>
    </row>
    <row r="2564" spans="1:4" x14ac:dyDescent="0.2">
      <c r="A2564" t="s">
        <v>5870</v>
      </c>
      <c r="B2564" t="s">
        <v>5871</v>
      </c>
      <c r="C2564" t="s">
        <v>190</v>
      </c>
      <c r="D2564" t="s">
        <v>191</v>
      </c>
    </row>
    <row r="2565" spans="1:4" x14ac:dyDescent="0.2">
      <c r="A2565" t="s">
        <v>5872</v>
      </c>
      <c r="B2565" t="s">
        <v>5873</v>
      </c>
      <c r="C2565" t="s">
        <v>190</v>
      </c>
      <c r="D2565" t="s">
        <v>280</v>
      </c>
    </row>
    <row r="2566" spans="1:4" x14ac:dyDescent="0.2">
      <c r="A2566" t="s">
        <v>5874</v>
      </c>
      <c r="B2566" t="s">
        <v>5875</v>
      </c>
      <c r="C2566" t="s">
        <v>190</v>
      </c>
      <c r="D2566" t="s">
        <v>191</v>
      </c>
    </row>
    <row r="2567" spans="1:4" x14ac:dyDescent="0.2">
      <c r="A2567" t="s">
        <v>5876</v>
      </c>
      <c r="B2567" t="s">
        <v>5877</v>
      </c>
      <c r="C2567" t="s">
        <v>190</v>
      </c>
      <c r="D2567" t="s">
        <v>5878</v>
      </c>
    </row>
    <row r="2568" spans="1:4" x14ac:dyDescent="0.2">
      <c r="A2568" t="s">
        <v>5876</v>
      </c>
      <c r="B2568" t="s">
        <v>5879</v>
      </c>
      <c r="C2568" t="s">
        <v>5880</v>
      </c>
      <c r="D2568" t="s">
        <v>195</v>
      </c>
    </row>
    <row r="2569" spans="1:4" x14ac:dyDescent="0.2">
      <c r="A2569" t="s">
        <v>5881</v>
      </c>
      <c r="B2569" t="s">
        <v>5882</v>
      </c>
      <c r="C2569" t="s">
        <v>5883</v>
      </c>
      <c r="D2569" t="s">
        <v>195</v>
      </c>
    </row>
    <row r="2570" spans="1:4" x14ac:dyDescent="0.2">
      <c r="A2570" t="s">
        <v>5884</v>
      </c>
      <c r="B2570" t="s">
        <v>5885</v>
      </c>
      <c r="C2570" t="s">
        <v>190</v>
      </c>
      <c r="D2570" t="s">
        <v>191</v>
      </c>
    </row>
    <row r="2571" spans="1:4" x14ac:dyDescent="0.2">
      <c r="A2571" t="s">
        <v>5886</v>
      </c>
      <c r="B2571" t="s">
        <v>5887</v>
      </c>
      <c r="C2571" t="s">
        <v>190</v>
      </c>
      <c r="D2571" t="s">
        <v>5888</v>
      </c>
    </row>
    <row r="2572" spans="1:4" x14ac:dyDescent="0.2">
      <c r="A2572" t="s">
        <v>5889</v>
      </c>
      <c r="B2572" t="s">
        <v>5890</v>
      </c>
      <c r="C2572" t="s">
        <v>190</v>
      </c>
      <c r="D2572" t="s">
        <v>191</v>
      </c>
    </row>
    <row r="2573" spans="1:4" x14ac:dyDescent="0.2">
      <c r="A2573" t="s">
        <v>5891</v>
      </c>
      <c r="B2573" t="s">
        <v>5892</v>
      </c>
      <c r="C2573" t="s">
        <v>5893</v>
      </c>
      <c r="D2573" t="s">
        <v>195</v>
      </c>
    </row>
    <row r="2574" spans="1:4" x14ac:dyDescent="0.2">
      <c r="A2574" t="s">
        <v>5894</v>
      </c>
      <c r="B2574" t="s">
        <v>5895</v>
      </c>
      <c r="C2574" t="s">
        <v>190</v>
      </c>
      <c r="D2574" t="s">
        <v>191</v>
      </c>
    </row>
    <row r="2575" spans="1:4" x14ac:dyDescent="0.2">
      <c r="A2575" t="s">
        <v>5896</v>
      </c>
      <c r="B2575" t="s">
        <v>5897</v>
      </c>
      <c r="C2575" t="s">
        <v>190</v>
      </c>
      <c r="D2575" t="s">
        <v>5898</v>
      </c>
    </row>
    <row r="2576" spans="1:4" x14ac:dyDescent="0.2">
      <c r="A2576" t="s">
        <v>5896</v>
      </c>
      <c r="B2576" t="s">
        <v>5899</v>
      </c>
      <c r="C2576" t="s">
        <v>5900</v>
      </c>
      <c r="D2576" t="s">
        <v>195</v>
      </c>
    </row>
    <row r="2577" spans="1:4" x14ac:dyDescent="0.2">
      <c r="A2577" t="s">
        <v>5901</v>
      </c>
      <c r="B2577" t="s">
        <v>5902</v>
      </c>
      <c r="C2577" t="s">
        <v>190</v>
      </c>
      <c r="D2577" t="s">
        <v>191</v>
      </c>
    </row>
    <row r="2578" spans="1:4" x14ac:dyDescent="0.2">
      <c r="A2578" t="s">
        <v>5903</v>
      </c>
      <c r="B2578" t="s">
        <v>5904</v>
      </c>
      <c r="C2578" t="s">
        <v>190</v>
      </c>
      <c r="D2578" t="s">
        <v>191</v>
      </c>
    </row>
    <row r="2579" spans="1:4" x14ac:dyDescent="0.2">
      <c r="A2579" t="s">
        <v>5905</v>
      </c>
      <c r="B2579" t="s">
        <v>5906</v>
      </c>
      <c r="C2579" t="s">
        <v>5907</v>
      </c>
      <c r="D2579" t="s">
        <v>187</v>
      </c>
    </row>
    <row r="2580" spans="1:4" x14ac:dyDescent="0.2">
      <c r="A2580" t="s">
        <v>5908</v>
      </c>
      <c r="B2580" t="s">
        <v>5909</v>
      </c>
      <c r="C2580" t="s">
        <v>5910</v>
      </c>
      <c r="D2580" t="s">
        <v>187</v>
      </c>
    </row>
    <row r="2581" spans="1:4" x14ac:dyDescent="0.2">
      <c r="A2581" t="s">
        <v>5911</v>
      </c>
      <c r="B2581" t="s">
        <v>5912</v>
      </c>
      <c r="C2581" t="s">
        <v>5913</v>
      </c>
      <c r="D2581" t="s">
        <v>195</v>
      </c>
    </row>
    <row r="2582" spans="1:4" x14ac:dyDescent="0.2">
      <c r="A2582" t="s">
        <v>5914</v>
      </c>
      <c r="B2582" t="s">
        <v>5915</v>
      </c>
      <c r="C2582" t="s">
        <v>190</v>
      </c>
      <c r="D2582" t="s">
        <v>191</v>
      </c>
    </row>
    <row r="2583" spans="1:4" x14ac:dyDescent="0.2">
      <c r="A2583" t="s">
        <v>5916</v>
      </c>
      <c r="B2583" t="s">
        <v>5917</v>
      </c>
      <c r="C2583" t="s">
        <v>190</v>
      </c>
      <c r="D2583" t="s">
        <v>191</v>
      </c>
    </row>
    <row r="2584" spans="1:4" x14ac:dyDescent="0.2">
      <c r="A2584" t="s">
        <v>5918</v>
      </c>
      <c r="B2584" t="s">
        <v>5919</v>
      </c>
      <c r="C2584" t="s">
        <v>5920</v>
      </c>
      <c r="D2584" t="s">
        <v>187</v>
      </c>
    </row>
    <row r="2585" spans="1:4" x14ac:dyDescent="0.2">
      <c r="A2585" t="s">
        <v>5921</v>
      </c>
      <c r="B2585" t="s">
        <v>5922</v>
      </c>
      <c r="C2585" t="s">
        <v>190</v>
      </c>
      <c r="D2585" t="s">
        <v>191</v>
      </c>
    </row>
    <row r="2586" spans="1:4" x14ac:dyDescent="0.2">
      <c r="A2586" t="s">
        <v>5923</v>
      </c>
      <c r="B2586" t="s">
        <v>5924</v>
      </c>
      <c r="C2586" t="s">
        <v>190</v>
      </c>
      <c r="D2586" t="s">
        <v>191</v>
      </c>
    </row>
    <row r="2587" spans="1:4" x14ac:dyDescent="0.2">
      <c r="A2587" t="s">
        <v>5923</v>
      </c>
      <c r="B2587" t="s">
        <v>5925</v>
      </c>
      <c r="C2587" t="s">
        <v>190</v>
      </c>
      <c r="D2587" t="s">
        <v>191</v>
      </c>
    </row>
    <row r="2588" spans="1:4" x14ac:dyDescent="0.2">
      <c r="A2588" t="s">
        <v>5923</v>
      </c>
      <c r="B2588" t="s">
        <v>5926</v>
      </c>
      <c r="C2588" t="s">
        <v>190</v>
      </c>
      <c r="D2588" t="s">
        <v>191</v>
      </c>
    </row>
    <row r="2589" spans="1:4" x14ac:dyDescent="0.2">
      <c r="A2589" t="s">
        <v>5927</v>
      </c>
      <c r="B2589" t="s">
        <v>5928</v>
      </c>
      <c r="C2589" t="s">
        <v>190</v>
      </c>
      <c r="D2589" t="s">
        <v>191</v>
      </c>
    </row>
    <row r="2590" spans="1:4" x14ac:dyDescent="0.2">
      <c r="A2590" t="s">
        <v>5929</v>
      </c>
      <c r="B2590" t="s">
        <v>5930</v>
      </c>
      <c r="C2590" t="s">
        <v>5931</v>
      </c>
      <c r="D2590" t="s">
        <v>195</v>
      </c>
    </row>
    <row r="2591" spans="1:4" x14ac:dyDescent="0.2">
      <c r="A2591" t="s">
        <v>5932</v>
      </c>
      <c r="B2591" t="s">
        <v>5933</v>
      </c>
      <c r="C2591" t="s">
        <v>5934</v>
      </c>
      <c r="D2591" t="s">
        <v>187</v>
      </c>
    </row>
    <row r="2592" spans="1:4" x14ac:dyDescent="0.2">
      <c r="A2592" t="s">
        <v>5935</v>
      </c>
      <c r="B2592" t="s">
        <v>5936</v>
      </c>
      <c r="C2592" t="s">
        <v>190</v>
      </c>
      <c r="D2592" t="s">
        <v>191</v>
      </c>
    </row>
    <row r="2593" spans="1:4" x14ac:dyDescent="0.2">
      <c r="A2593" t="s">
        <v>5937</v>
      </c>
      <c r="B2593" t="s">
        <v>5938</v>
      </c>
      <c r="C2593" t="s">
        <v>5939</v>
      </c>
      <c r="D2593" t="s">
        <v>187</v>
      </c>
    </row>
    <row r="2594" spans="1:4" x14ac:dyDescent="0.2">
      <c r="A2594" t="s">
        <v>5940</v>
      </c>
      <c r="B2594" t="s">
        <v>5941</v>
      </c>
      <c r="C2594" t="s">
        <v>190</v>
      </c>
      <c r="D2594" t="s">
        <v>191</v>
      </c>
    </row>
    <row r="2595" spans="1:4" x14ac:dyDescent="0.2">
      <c r="A2595" t="s">
        <v>5942</v>
      </c>
      <c r="B2595" t="s">
        <v>5943</v>
      </c>
      <c r="C2595" t="s">
        <v>190</v>
      </c>
      <c r="D2595" t="s">
        <v>191</v>
      </c>
    </row>
    <row r="2596" spans="1:4" x14ac:dyDescent="0.2">
      <c r="A2596" t="s">
        <v>5942</v>
      </c>
      <c r="B2596" t="s">
        <v>5944</v>
      </c>
      <c r="C2596" t="s">
        <v>190</v>
      </c>
      <c r="D2596" t="s">
        <v>191</v>
      </c>
    </row>
    <row r="2597" spans="1:4" x14ac:dyDescent="0.2">
      <c r="A2597" t="s">
        <v>5945</v>
      </c>
      <c r="B2597" t="s">
        <v>5946</v>
      </c>
      <c r="C2597" t="s">
        <v>5947</v>
      </c>
      <c r="D2597" t="s">
        <v>187</v>
      </c>
    </row>
    <row r="2598" spans="1:4" x14ac:dyDescent="0.2">
      <c r="A2598" t="s">
        <v>5948</v>
      </c>
      <c r="B2598" t="s">
        <v>5949</v>
      </c>
      <c r="C2598" t="s">
        <v>190</v>
      </c>
      <c r="D2598" t="s">
        <v>191</v>
      </c>
    </row>
    <row r="2599" spans="1:4" x14ac:dyDescent="0.2">
      <c r="A2599" t="s">
        <v>5950</v>
      </c>
      <c r="B2599" t="s">
        <v>5951</v>
      </c>
      <c r="C2599" t="s">
        <v>190</v>
      </c>
      <c r="D2599" t="s">
        <v>191</v>
      </c>
    </row>
    <row r="2600" spans="1:4" x14ac:dyDescent="0.2">
      <c r="A2600" t="s">
        <v>5952</v>
      </c>
      <c r="B2600" t="s">
        <v>5953</v>
      </c>
      <c r="C2600" t="s">
        <v>190</v>
      </c>
      <c r="D2600" t="s">
        <v>191</v>
      </c>
    </row>
    <row r="2601" spans="1:4" x14ac:dyDescent="0.2">
      <c r="A2601" t="s">
        <v>5954</v>
      </c>
      <c r="B2601" t="s">
        <v>5955</v>
      </c>
      <c r="C2601" t="s">
        <v>190</v>
      </c>
      <c r="D2601" t="s">
        <v>191</v>
      </c>
    </row>
    <row r="2602" spans="1:4" x14ac:dyDescent="0.2">
      <c r="A2602" t="s">
        <v>5956</v>
      </c>
      <c r="B2602" t="s">
        <v>5957</v>
      </c>
      <c r="C2602" t="s">
        <v>190</v>
      </c>
      <c r="D2602" t="s">
        <v>191</v>
      </c>
    </row>
    <row r="2603" spans="1:4" x14ac:dyDescent="0.2">
      <c r="A2603" t="s">
        <v>5958</v>
      </c>
      <c r="B2603" t="s">
        <v>5959</v>
      </c>
      <c r="C2603" t="s">
        <v>190</v>
      </c>
      <c r="D2603" t="s">
        <v>191</v>
      </c>
    </row>
    <row r="2604" spans="1:4" x14ac:dyDescent="0.2">
      <c r="A2604" t="s">
        <v>5960</v>
      </c>
      <c r="B2604" t="s">
        <v>5961</v>
      </c>
      <c r="C2604" t="s">
        <v>190</v>
      </c>
      <c r="D2604" t="s">
        <v>191</v>
      </c>
    </row>
    <row r="2605" spans="1:4" x14ac:dyDescent="0.2">
      <c r="A2605" t="s">
        <v>5962</v>
      </c>
      <c r="B2605" t="s">
        <v>5963</v>
      </c>
      <c r="C2605" t="s">
        <v>190</v>
      </c>
      <c r="D2605" t="s">
        <v>191</v>
      </c>
    </row>
    <row r="2606" spans="1:4" x14ac:dyDescent="0.2">
      <c r="A2606" t="s">
        <v>5964</v>
      </c>
      <c r="B2606" t="s">
        <v>5965</v>
      </c>
      <c r="C2606" t="s">
        <v>5966</v>
      </c>
      <c r="D2606" t="s">
        <v>195</v>
      </c>
    </row>
    <row r="2607" spans="1:4" x14ac:dyDescent="0.2">
      <c r="A2607" t="s">
        <v>5967</v>
      </c>
      <c r="B2607" t="s">
        <v>5968</v>
      </c>
      <c r="C2607" t="s">
        <v>190</v>
      </c>
      <c r="D2607" t="s">
        <v>191</v>
      </c>
    </row>
    <row r="2608" spans="1:4" x14ac:dyDescent="0.2">
      <c r="A2608" t="s">
        <v>5969</v>
      </c>
      <c r="B2608" t="s">
        <v>5970</v>
      </c>
      <c r="C2608" t="s">
        <v>190</v>
      </c>
      <c r="D2608" t="s">
        <v>191</v>
      </c>
    </row>
    <row r="2609" spans="1:4" x14ac:dyDescent="0.2">
      <c r="A2609" t="s">
        <v>5971</v>
      </c>
      <c r="B2609" t="s">
        <v>5972</v>
      </c>
      <c r="C2609" t="s">
        <v>190</v>
      </c>
      <c r="D2609" t="s">
        <v>191</v>
      </c>
    </row>
    <row r="2610" spans="1:4" x14ac:dyDescent="0.2">
      <c r="A2610" t="s">
        <v>5973</v>
      </c>
      <c r="B2610" t="s">
        <v>5974</v>
      </c>
      <c r="C2610" t="s">
        <v>190</v>
      </c>
      <c r="D2610" t="s">
        <v>191</v>
      </c>
    </row>
    <row r="2611" spans="1:4" x14ac:dyDescent="0.2">
      <c r="A2611" t="s">
        <v>5975</v>
      </c>
      <c r="B2611" t="s">
        <v>5976</v>
      </c>
      <c r="C2611" t="s">
        <v>190</v>
      </c>
      <c r="D2611" t="s">
        <v>191</v>
      </c>
    </row>
    <row r="2612" spans="1:4" x14ac:dyDescent="0.2">
      <c r="A2612" t="s">
        <v>5977</v>
      </c>
      <c r="B2612" t="s">
        <v>5978</v>
      </c>
      <c r="C2612" t="s">
        <v>190</v>
      </c>
      <c r="D2612" t="s">
        <v>191</v>
      </c>
    </row>
    <row r="2613" spans="1:4" x14ac:dyDescent="0.2">
      <c r="A2613" t="s">
        <v>5979</v>
      </c>
      <c r="B2613" t="s">
        <v>5980</v>
      </c>
      <c r="C2613" t="s">
        <v>5981</v>
      </c>
      <c r="D2613" t="s">
        <v>187</v>
      </c>
    </row>
    <row r="2614" spans="1:4" x14ac:dyDescent="0.2">
      <c r="A2614" t="s">
        <v>5982</v>
      </c>
      <c r="B2614" t="s">
        <v>5983</v>
      </c>
      <c r="C2614" t="s">
        <v>190</v>
      </c>
      <c r="D2614" t="s">
        <v>191</v>
      </c>
    </row>
    <row r="2615" spans="1:4" x14ac:dyDescent="0.2">
      <c r="A2615" t="s">
        <v>5984</v>
      </c>
      <c r="B2615" t="s">
        <v>5985</v>
      </c>
      <c r="C2615" t="s">
        <v>190</v>
      </c>
      <c r="D2615" t="s">
        <v>191</v>
      </c>
    </row>
    <row r="2616" spans="1:4" x14ac:dyDescent="0.2">
      <c r="A2616" t="s">
        <v>5986</v>
      </c>
      <c r="B2616" t="s">
        <v>5987</v>
      </c>
      <c r="C2616" t="s">
        <v>190</v>
      </c>
      <c r="D2616" t="s">
        <v>5988</v>
      </c>
    </row>
    <row r="2617" spans="1:4" x14ac:dyDescent="0.2">
      <c r="A2617" t="s">
        <v>5989</v>
      </c>
      <c r="B2617" t="s">
        <v>5990</v>
      </c>
      <c r="C2617" t="s">
        <v>190</v>
      </c>
      <c r="D2617" t="s">
        <v>191</v>
      </c>
    </row>
    <row r="2618" spans="1:4" x14ac:dyDescent="0.2">
      <c r="A2618" t="s">
        <v>5991</v>
      </c>
      <c r="B2618" t="s">
        <v>5992</v>
      </c>
      <c r="C2618" t="s">
        <v>190</v>
      </c>
      <c r="D2618" t="s">
        <v>191</v>
      </c>
    </row>
    <row r="2619" spans="1:4" x14ac:dyDescent="0.2">
      <c r="A2619" t="s">
        <v>5993</v>
      </c>
      <c r="B2619" t="s">
        <v>5994</v>
      </c>
      <c r="C2619" t="s">
        <v>5995</v>
      </c>
      <c r="D2619" t="s">
        <v>195</v>
      </c>
    </row>
    <row r="2620" spans="1:4" x14ac:dyDescent="0.2">
      <c r="A2620" t="s">
        <v>5996</v>
      </c>
      <c r="B2620" t="s">
        <v>5997</v>
      </c>
      <c r="C2620" t="s">
        <v>5998</v>
      </c>
      <c r="D2620" t="s">
        <v>195</v>
      </c>
    </row>
    <row r="2621" spans="1:4" x14ac:dyDescent="0.2">
      <c r="A2621" t="s">
        <v>5999</v>
      </c>
      <c r="B2621" t="s">
        <v>6000</v>
      </c>
      <c r="C2621" t="s">
        <v>190</v>
      </c>
      <c r="D2621" t="s">
        <v>191</v>
      </c>
    </row>
    <row r="2622" spans="1:4" x14ac:dyDescent="0.2">
      <c r="A2622" t="s">
        <v>6001</v>
      </c>
      <c r="B2622" t="s">
        <v>6002</v>
      </c>
      <c r="C2622" t="s">
        <v>190</v>
      </c>
      <c r="D2622" t="s">
        <v>191</v>
      </c>
    </row>
    <row r="2623" spans="1:4" x14ac:dyDescent="0.2">
      <c r="A2623" t="s">
        <v>6003</v>
      </c>
      <c r="B2623" t="s">
        <v>6004</v>
      </c>
      <c r="C2623" t="s">
        <v>6005</v>
      </c>
      <c r="D2623" t="s">
        <v>195</v>
      </c>
    </row>
    <row r="2624" spans="1:4" x14ac:dyDescent="0.2">
      <c r="A2624" t="s">
        <v>6006</v>
      </c>
      <c r="B2624" t="s">
        <v>6007</v>
      </c>
      <c r="C2624" t="s">
        <v>6008</v>
      </c>
      <c r="D2624" t="s">
        <v>195</v>
      </c>
    </row>
    <row r="2625" spans="1:4" x14ac:dyDescent="0.2">
      <c r="A2625" t="s">
        <v>6009</v>
      </c>
      <c r="B2625" t="s">
        <v>6010</v>
      </c>
      <c r="C2625" t="s">
        <v>6011</v>
      </c>
      <c r="D2625" t="s">
        <v>195</v>
      </c>
    </row>
    <row r="2626" spans="1:4" x14ac:dyDescent="0.2">
      <c r="A2626" t="s">
        <v>6012</v>
      </c>
      <c r="B2626" t="s">
        <v>6013</v>
      </c>
      <c r="C2626" t="s">
        <v>6014</v>
      </c>
      <c r="D2626" t="s">
        <v>195</v>
      </c>
    </row>
    <row r="2627" spans="1:4" x14ac:dyDescent="0.2">
      <c r="A2627" t="s">
        <v>6015</v>
      </c>
      <c r="B2627" t="s">
        <v>6016</v>
      </c>
      <c r="C2627" t="s">
        <v>190</v>
      </c>
      <c r="D2627" t="s">
        <v>191</v>
      </c>
    </row>
    <row r="2628" spans="1:4" x14ac:dyDescent="0.2">
      <c r="A2628" t="s">
        <v>6017</v>
      </c>
      <c r="B2628" t="s">
        <v>6018</v>
      </c>
      <c r="C2628" t="s">
        <v>190</v>
      </c>
      <c r="D2628" t="s">
        <v>191</v>
      </c>
    </row>
    <row r="2629" spans="1:4" x14ac:dyDescent="0.2">
      <c r="A2629" t="s">
        <v>6017</v>
      </c>
      <c r="B2629" t="s">
        <v>6019</v>
      </c>
      <c r="C2629" t="s">
        <v>190</v>
      </c>
      <c r="D2629" t="s">
        <v>191</v>
      </c>
    </row>
    <row r="2630" spans="1:4" x14ac:dyDescent="0.2">
      <c r="A2630" t="s">
        <v>6020</v>
      </c>
      <c r="B2630" t="s">
        <v>6021</v>
      </c>
      <c r="C2630" t="s">
        <v>6022</v>
      </c>
      <c r="D2630" t="s">
        <v>195</v>
      </c>
    </row>
    <row r="2631" spans="1:4" x14ac:dyDescent="0.2">
      <c r="A2631" t="s">
        <v>6023</v>
      </c>
      <c r="B2631" t="s">
        <v>6024</v>
      </c>
      <c r="C2631" t="s">
        <v>6025</v>
      </c>
      <c r="D2631" t="s">
        <v>187</v>
      </c>
    </row>
    <row r="2632" spans="1:4" x14ac:dyDescent="0.2">
      <c r="A2632" t="s">
        <v>6026</v>
      </c>
      <c r="B2632" t="s">
        <v>6027</v>
      </c>
      <c r="C2632" t="s">
        <v>6028</v>
      </c>
      <c r="D2632" t="s">
        <v>187</v>
      </c>
    </row>
    <row r="2633" spans="1:4" x14ac:dyDescent="0.2">
      <c r="A2633" t="s">
        <v>6029</v>
      </c>
      <c r="B2633" t="s">
        <v>6030</v>
      </c>
      <c r="C2633" t="s">
        <v>6031</v>
      </c>
      <c r="D2633" t="s">
        <v>195</v>
      </c>
    </row>
    <row r="2634" spans="1:4" x14ac:dyDescent="0.2">
      <c r="A2634" t="s">
        <v>6032</v>
      </c>
      <c r="B2634" t="s">
        <v>6033</v>
      </c>
      <c r="C2634" t="s">
        <v>6034</v>
      </c>
      <c r="D2634" t="s">
        <v>187</v>
      </c>
    </row>
    <row r="2635" spans="1:4" x14ac:dyDescent="0.2">
      <c r="A2635" t="s">
        <v>6035</v>
      </c>
      <c r="B2635" t="s">
        <v>6036</v>
      </c>
      <c r="C2635" t="s">
        <v>190</v>
      </c>
      <c r="D2635" t="s">
        <v>191</v>
      </c>
    </row>
    <row r="2636" spans="1:4" x14ac:dyDescent="0.2">
      <c r="A2636" t="s">
        <v>6037</v>
      </c>
      <c r="B2636" t="s">
        <v>6038</v>
      </c>
      <c r="C2636" t="s">
        <v>190</v>
      </c>
      <c r="D2636" t="s">
        <v>191</v>
      </c>
    </row>
    <row r="2637" spans="1:4" x14ac:dyDescent="0.2">
      <c r="A2637" t="s">
        <v>6039</v>
      </c>
      <c r="B2637" t="s">
        <v>6040</v>
      </c>
      <c r="C2637" t="s">
        <v>190</v>
      </c>
      <c r="D2637" t="s">
        <v>191</v>
      </c>
    </row>
    <row r="2638" spans="1:4" x14ac:dyDescent="0.2">
      <c r="A2638" t="s">
        <v>6039</v>
      </c>
      <c r="B2638" t="s">
        <v>6041</v>
      </c>
      <c r="C2638" t="s">
        <v>190</v>
      </c>
      <c r="D2638" t="s">
        <v>191</v>
      </c>
    </row>
    <row r="2639" spans="1:4" x14ac:dyDescent="0.2">
      <c r="A2639" t="s">
        <v>6039</v>
      </c>
      <c r="B2639" t="s">
        <v>6042</v>
      </c>
      <c r="C2639" t="s">
        <v>190</v>
      </c>
      <c r="D2639" t="s">
        <v>191</v>
      </c>
    </row>
    <row r="2640" spans="1:4" x14ac:dyDescent="0.2">
      <c r="A2640" t="s">
        <v>6039</v>
      </c>
      <c r="B2640" t="s">
        <v>6043</v>
      </c>
      <c r="C2640" t="s">
        <v>190</v>
      </c>
      <c r="D2640" t="s">
        <v>191</v>
      </c>
    </row>
    <row r="2641" spans="1:4" x14ac:dyDescent="0.2">
      <c r="A2641" t="s">
        <v>6044</v>
      </c>
      <c r="B2641" t="s">
        <v>6045</v>
      </c>
      <c r="C2641" t="s">
        <v>6046</v>
      </c>
      <c r="D2641" t="s">
        <v>195</v>
      </c>
    </row>
    <row r="2642" spans="1:4" x14ac:dyDescent="0.2">
      <c r="A2642" t="s">
        <v>6047</v>
      </c>
      <c r="B2642" t="s">
        <v>6048</v>
      </c>
      <c r="C2642" t="s">
        <v>6049</v>
      </c>
      <c r="D2642" t="s">
        <v>187</v>
      </c>
    </row>
    <row r="2643" spans="1:4" x14ac:dyDescent="0.2">
      <c r="A2643" t="s">
        <v>6047</v>
      </c>
      <c r="B2643" t="s">
        <v>6050</v>
      </c>
      <c r="C2643" t="s">
        <v>6051</v>
      </c>
      <c r="D2643" t="s">
        <v>195</v>
      </c>
    </row>
    <row r="2644" spans="1:4" x14ac:dyDescent="0.2">
      <c r="A2644" t="s">
        <v>6052</v>
      </c>
      <c r="B2644" t="s">
        <v>6053</v>
      </c>
      <c r="C2644" t="s">
        <v>190</v>
      </c>
      <c r="D2644" t="s">
        <v>191</v>
      </c>
    </row>
    <row r="2645" spans="1:4" x14ac:dyDescent="0.2">
      <c r="A2645" t="s">
        <v>6054</v>
      </c>
      <c r="B2645" t="s">
        <v>6055</v>
      </c>
      <c r="C2645" t="s">
        <v>190</v>
      </c>
      <c r="D2645" t="s">
        <v>191</v>
      </c>
    </row>
    <row r="2646" spans="1:4" x14ac:dyDescent="0.2">
      <c r="A2646" t="s">
        <v>6054</v>
      </c>
      <c r="B2646" t="s">
        <v>6056</v>
      </c>
      <c r="C2646" t="s">
        <v>190</v>
      </c>
      <c r="D2646" t="s">
        <v>191</v>
      </c>
    </row>
    <row r="2647" spans="1:4" x14ac:dyDescent="0.2">
      <c r="A2647" t="s">
        <v>6057</v>
      </c>
      <c r="B2647" t="s">
        <v>6058</v>
      </c>
      <c r="C2647" t="s">
        <v>6059</v>
      </c>
      <c r="D2647" t="s">
        <v>187</v>
      </c>
    </row>
    <row r="2648" spans="1:4" x14ac:dyDescent="0.2">
      <c r="A2648" t="s">
        <v>6060</v>
      </c>
      <c r="B2648" t="s">
        <v>6061</v>
      </c>
      <c r="C2648" t="s">
        <v>6062</v>
      </c>
      <c r="D2648" t="s">
        <v>187</v>
      </c>
    </row>
    <row r="2649" spans="1:4" x14ac:dyDescent="0.2">
      <c r="A2649" t="s">
        <v>6060</v>
      </c>
      <c r="B2649" t="s">
        <v>6063</v>
      </c>
      <c r="C2649" t="s">
        <v>190</v>
      </c>
      <c r="D2649" t="s">
        <v>191</v>
      </c>
    </row>
    <row r="2650" spans="1:4" x14ac:dyDescent="0.2">
      <c r="A2650" t="s">
        <v>6060</v>
      </c>
      <c r="B2650" t="s">
        <v>6064</v>
      </c>
      <c r="C2650" t="s">
        <v>6065</v>
      </c>
      <c r="D2650" t="s">
        <v>187</v>
      </c>
    </row>
    <row r="2651" spans="1:4" x14ac:dyDescent="0.2">
      <c r="A2651" t="s">
        <v>6066</v>
      </c>
      <c r="B2651" t="s">
        <v>6067</v>
      </c>
      <c r="C2651" t="s">
        <v>190</v>
      </c>
      <c r="D2651" t="s">
        <v>191</v>
      </c>
    </row>
    <row r="2652" spans="1:4" x14ac:dyDescent="0.2">
      <c r="A2652" t="s">
        <v>6068</v>
      </c>
      <c r="B2652" t="s">
        <v>6069</v>
      </c>
      <c r="C2652" t="s">
        <v>190</v>
      </c>
      <c r="D2652" t="s">
        <v>191</v>
      </c>
    </row>
    <row r="2653" spans="1:4" x14ac:dyDescent="0.2">
      <c r="A2653" t="s">
        <v>6070</v>
      </c>
      <c r="B2653" t="s">
        <v>6071</v>
      </c>
      <c r="C2653" t="s">
        <v>6072</v>
      </c>
      <c r="D2653" t="s">
        <v>187</v>
      </c>
    </row>
    <row r="2654" spans="1:4" x14ac:dyDescent="0.2">
      <c r="A2654" t="s">
        <v>6073</v>
      </c>
      <c r="B2654" t="s">
        <v>6074</v>
      </c>
      <c r="C2654" t="s">
        <v>6075</v>
      </c>
      <c r="D2654" t="s">
        <v>187</v>
      </c>
    </row>
    <row r="2655" spans="1:4" x14ac:dyDescent="0.2">
      <c r="A2655" t="s">
        <v>6076</v>
      </c>
      <c r="B2655" t="s">
        <v>6077</v>
      </c>
      <c r="C2655" t="s">
        <v>6078</v>
      </c>
      <c r="D2655" t="s">
        <v>195</v>
      </c>
    </row>
    <row r="2656" spans="1:4" x14ac:dyDescent="0.2">
      <c r="A2656" t="s">
        <v>6079</v>
      </c>
      <c r="B2656" t="s">
        <v>6080</v>
      </c>
      <c r="C2656" t="s">
        <v>6081</v>
      </c>
      <c r="D2656" t="s">
        <v>187</v>
      </c>
    </row>
    <row r="2657" spans="1:4" x14ac:dyDescent="0.2">
      <c r="A2657" t="s">
        <v>6082</v>
      </c>
      <c r="B2657" t="s">
        <v>6083</v>
      </c>
      <c r="C2657" t="s">
        <v>190</v>
      </c>
      <c r="D2657" t="s">
        <v>191</v>
      </c>
    </row>
    <row r="2658" spans="1:4" x14ac:dyDescent="0.2">
      <c r="A2658" t="s">
        <v>6084</v>
      </c>
      <c r="B2658" t="s">
        <v>6085</v>
      </c>
      <c r="C2658" t="s">
        <v>190</v>
      </c>
      <c r="D2658" t="s">
        <v>191</v>
      </c>
    </row>
    <row r="2659" spans="1:4" x14ac:dyDescent="0.2">
      <c r="A2659" t="s">
        <v>6084</v>
      </c>
      <c r="B2659" t="s">
        <v>6086</v>
      </c>
      <c r="C2659" t="s">
        <v>190</v>
      </c>
      <c r="D2659" t="s">
        <v>191</v>
      </c>
    </row>
    <row r="2660" spans="1:4" x14ac:dyDescent="0.2">
      <c r="A2660" t="s">
        <v>6084</v>
      </c>
      <c r="B2660" t="s">
        <v>6087</v>
      </c>
      <c r="C2660" t="s">
        <v>190</v>
      </c>
      <c r="D2660" t="s">
        <v>191</v>
      </c>
    </row>
    <row r="2661" spans="1:4" x14ac:dyDescent="0.2">
      <c r="A2661" t="s">
        <v>6088</v>
      </c>
      <c r="B2661" t="s">
        <v>6089</v>
      </c>
      <c r="C2661" t="s">
        <v>190</v>
      </c>
      <c r="D2661" t="s">
        <v>191</v>
      </c>
    </row>
    <row r="2662" spans="1:4" x14ac:dyDescent="0.2">
      <c r="A2662" t="s">
        <v>6090</v>
      </c>
      <c r="B2662" t="s">
        <v>6091</v>
      </c>
      <c r="C2662" t="s">
        <v>190</v>
      </c>
      <c r="D2662" t="s">
        <v>191</v>
      </c>
    </row>
    <row r="2663" spans="1:4" x14ac:dyDescent="0.2">
      <c r="A2663" t="s">
        <v>6092</v>
      </c>
      <c r="B2663" t="s">
        <v>6093</v>
      </c>
      <c r="C2663" t="s">
        <v>6094</v>
      </c>
      <c r="D2663" t="s">
        <v>195</v>
      </c>
    </row>
    <row r="2664" spans="1:4" x14ac:dyDescent="0.2">
      <c r="A2664" t="s">
        <v>6095</v>
      </c>
      <c r="B2664" t="s">
        <v>6096</v>
      </c>
      <c r="C2664" t="s">
        <v>190</v>
      </c>
      <c r="D2664" t="s">
        <v>191</v>
      </c>
    </row>
    <row r="2665" spans="1:4" x14ac:dyDescent="0.2">
      <c r="A2665" t="s">
        <v>6097</v>
      </c>
      <c r="B2665" t="s">
        <v>6098</v>
      </c>
      <c r="C2665" t="s">
        <v>190</v>
      </c>
      <c r="D2665" t="s">
        <v>191</v>
      </c>
    </row>
    <row r="2666" spans="1:4" x14ac:dyDescent="0.2">
      <c r="A2666" t="s">
        <v>6099</v>
      </c>
      <c r="B2666" t="s">
        <v>6100</v>
      </c>
      <c r="C2666" t="s">
        <v>6101</v>
      </c>
      <c r="D2666" t="s">
        <v>187</v>
      </c>
    </row>
    <row r="2667" spans="1:4" x14ac:dyDescent="0.2">
      <c r="A2667" t="s">
        <v>6102</v>
      </c>
      <c r="B2667" t="s">
        <v>6103</v>
      </c>
      <c r="C2667" t="s">
        <v>190</v>
      </c>
      <c r="D2667" t="s">
        <v>191</v>
      </c>
    </row>
    <row r="2668" spans="1:4" x14ac:dyDescent="0.2">
      <c r="A2668" t="s">
        <v>6102</v>
      </c>
      <c r="B2668" t="s">
        <v>6104</v>
      </c>
      <c r="C2668" t="s">
        <v>190</v>
      </c>
      <c r="D2668" t="s">
        <v>191</v>
      </c>
    </row>
    <row r="2669" spans="1:4" x14ac:dyDescent="0.2">
      <c r="A2669" t="s">
        <v>6105</v>
      </c>
      <c r="B2669" t="s">
        <v>6106</v>
      </c>
      <c r="C2669" t="s">
        <v>190</v>
      </c>
      <c r="D2669" t="s">
        <v>191</v>
      </c>
    </row>
    <row r="2670" spans="1:4" x14ac:dyDescent="0.2">
      <c r="A2670" t="s">
        <v>6107</v>
      </c>
      <c r="B2670" t="s">
        <v>6108</v>
      </c>
      <c r="C2670" t="s">
        <v>190</v>
      </c>
      <c r="D2670" t="s">
        <v>191</v>
      </c>
    </row>
    <row r="2671" spans="1:4" x14ac:dyDescent="0.2">
      <c r="A2671" t="s">
        <v>6107</v>
      </c>
      <c r="B2671" t="s">
        <v>6109</v>
      </c>
      <c r="C2671" t="s">
        <v>190</v>
      </c>
      <c r="D2671" t="s">
        <v>191</v>
      </c>
    </row>
    <row r="2672" spans="1:4" x14ac:dyDescent="0.2">
      <c r="A2672" t="s">
        <v>6110</v>
      </c>
      <c r="B2672" t="s">
        <v>6111</v>
      </c>
      <c r="C2672" t="s">
        <v>190</v>
      </c>
      <c r="D2672" t="s">
        <v>191</v>
      </c>
    </row>
    <row r="2673" spans="1:4" x14ac:dyDescent="0.2">
      <c r="A2673" t="s">
        <v>6112</v>
      </c>
      <c r="B2673" t="s">
        <v>6113</v>
      </c>
      <c r="C2673" t="s">
        <v>6114</v>
      </c>
      <c r="D2673" t="s">
        <v>195</v>
      </c>
    </row>
    <row r="2674" spans="1:4" x14ac:dyDescent="0.2">
      <c r="A2674" t="s">
        <v>6112</v>
      </c>
      <c r="B2674" t="s">
        <v>6115</v>
      </c>
      <c r="C2674" t="s">
        <v>6116</v>
      </c>
      <c r="D2674" t="s">
        <v>195</v>
      </c>
    </row>
    <row r="2675" spans="1:4" x14ac:dyDescent="0.2">
      <c r="A2675" t="s">
        <v>6112</v>
      </c>
      <c r="B2675" t="s">
        <v>6117</v>
      </c>
      <c r="C2675" t="s">
        <v>190</v>
      </c>
      <c r="D2675" t="s">
        <v>191</v>
      </c>
    </row>
    <row r="2676" spans="1:4" x14ac:dyDescent="0.2">
      <c r="A2676" t="s">
        <v>6112</v>
      </c>
      <c r="B2676" t="s">
        <v>6118</v>
      </c>
      <c r="C2676" t="s">
        <v>6119</v>
      </c>
      <c r="D2676" t="s">
        <v>195</v>
      </c>
    </row>
    <row r="2677" spans="1:4" x14ac:dyDescent="0.2">
      <c r="A2677" t="s">
        <v>6120</v>
      </c>
      <c r="B2677" t="s">
        <v>6121</v>
      </c>
      <c r="C2677" t="s">
        <v>190</v>
      </c>
      <c r="D2677" t="s">
        <v>191</v>
      </c>
    </row>
    <row r="2678" spans="1:4" x14ac:dyDescent="0.2">
      <c r="A2678" t="s">
        <v>6120</v>
      </c>
      <c r="B2678" t="s">
        <v>6122</v>
      </c>
      <c r="C2678" t="s">
        <v>190</v>
      </c>
      <c r="D2678" t="s">
        <v>191</v>
      </c>
    </row>
    <row r="2679" spans="1:4" x14ac:dyDescent="0.2">
      <c r="A2679" t="s">
        <v>6120</v>
      </c>
      <c r="B2679" t="s">
        <v>6123</v>
      </c>
      <c r="C2679" t="s">
        <v>190</v>
      </c>
      <c r="D2679" t="s">
        <v>191</v>
      </c>
    </row>
    <row r="2680" spans="1:4" x14ac:dyDescent="0.2">
      <c r="A2680" t="s">
        <v>6120</v>
      </c>
      <c r="B2680" t="s">
        <v>6124</v>
      </c>
      <c r="C2680" t="s">
        <v>190</v>
      </c>
      <c r="D2680" t="s">
        <v>191</v>
      </c>
    </row>
    <row r="2681" spans="1:4" x14ac:dyDescent="0.2">
      <c r="A2681" t="s">
        <v>6125</v>
      </c>
      <c r="B2681" t="s">
        <v>6126</v>
      </c>
      <c r="C2681" t="s">
        <v>190</v>
      </c>
      <c r="D2681" t="s">
        <v>280</v>
      </c>
    </row>
    <row r="2682" spans="1:4" x14ac:dyDescent="0.2">
      <c r="A2682" t="s">
        <v>6127</v>
      </c>
      <c r="B2682" t="s">
        <v>6128</v>
      </c>
      <c r="C2682" t="s">
        <v>6129</v>
      </c>
      <c r="D2682" t="s">
        <v>195</v>
      </c>
    </row>
    <row r="2683" spans="1:4" x14ac:dyDescent="0.2">
      <c r="A2683" t="s">
        <v>6130</v>
      </c>
      <c r="B2683" t="s">
        <v>6131</v>
      </c>
      <c r="C2683" t="s">
        <v>190</v>
      </c>
      <c r="D2683" t="s">
        <v>191</v>
      </c>
    </row>
    <row r="2684" spans="1:4" x14ac:dyDescent="0.2">
      <c r="A2684" t="s">
        <v>6130</v>
      </c>
      <c r="B2684" t="s">
        <v>6132</v>
      </c>
      <c r="C2684" t="s">
        <v>190</v>
      </c>
      <c r="D2684" t="s">
        <v>191</v>
      </c>
    </row>
    <row r="2685" spans="1:4" x14ac:dyDescent="0.2">
      <c r="A2685" t="s">
        <v>6133</v>
      </c>
      <c r="B2685" t="s">
        <v>6134</v>
      </c>
      <c r="C2685" t="s">
        <v>190</v>
      </c>
      <c r="D2685" t="s">
        <v>191</v>
      </c>
    </row>
    <row r="2686" spans="1:4" x14ac:dyDescent="0.2">
      <c r="A2686" t="s">
        <v>6135</v>
      </c>
      <c r="B2686" t="s">
        <v>6136</v>
      </c>
      <c r="C2686" t="s">
        <v>190</v>
      </c>
      <c r="D2686" t="s">
        <v>191</v>
      </c>
    </row>
    <row r="2687" spans="1:4" x14ac:dyDescent="0.2">
      <c r="A2687" t="s">
        <v>6137</v>
      </c>
      <c r="B2687" t="s">
        <v>6138</v>
      </c>
      <c r="C2687" t="s">
        <v>6139</v>
      </c>
      <c r="D2687" t="s">
        <v>187</v>
      </c>
    </row>
    <row r="2688" spans="1:4" x14ac:dyDescent="0.2">
      <c r="A2688" t="s">
        <v>6137</v>
      </c>
      <c r="B2688" t="s">
        <v>6140</v>
      </c>
      <c r="C2688" t="s">
        <v>6141</v>
      </c>
      <c r="D2688" t="s">
        <v>195</v>
      </c>
    </row>
    <row r="2689" spans="1:4" x14ac:dyDescent="0.2">
      <c r="A2689" t="s">
        <v>6137</v>
      </c>
      <c r="B2689" t="s">
        <v>6010</v>
      </c>
      <c r="C2689" t="s">
        <v>6011</v>
      </c>
      <c r="D2689" t="s">
        <v>195</v>
      </c>
    </row>
    <row r="2690" spans="1:4" x14ac:dyDescent="0.2">
      <c r="A2690" t="s">
        <v>6142</v>
      </c>
      <c r="B2690" t="s">
        <v>6143</v>
      </c>
      <c r="C2690" t="s">
        <v>190</v>
      </c>
      <c r="D2690" t="s">
        <v>191</v>
      </c>
    </row>
    <row r="2691" spans="1:4" x14ac:dyDescent="0.2">
      <c r="A2691" t="s">
        <v>6144</v>
      </c>
      <c r="B2691" t="s">
        <v>6145</v>
      </c>
      <c r="C2691" t="s">
        <v>190</v>
      </c>
      <c r="D2691" t="s">
        <v>191</v>
      </c>
    </row>
    <row r="2692" spans="1:4" x14ac:dyDescent="0.2">
      <c r="A2692" t="s">
        <v>6146</v>
      </c>
      <c r="B2692" t="s">
        <v>6147</v>
      </c>
      <c r="C2692" t="s">
        <v>190</v>
      </c>
      <c r="D2692" t="s">
        <v>191</v>
      </c>
    </row>
    <row r="2693" spans="1:4" x14ac:dyDescent="0.2">
      <c r="A2693" t="s">
        <v>6148</v>
      </c>
      <c r="B2693" t="s">
        <v>6149</v>
      </c>
      <c r="C2693" t="s">
        <v>190</v>
      </c>
      <c r="D2693" t="s">
        <v>191</v>
      </c>
    </row>
    <row r="2694" spans="1:4" x14ac:dyDescent="0.2">
      <c r="A2694" t="s">
        <v>6150</v>
      </c>
      <c r="B2694" t="s">
        <v>6151</v>
      </c>
      <c r="C2694" t="s">
        <v>190</v>
      </c>
      <c r="D2694" t="s">
        <v>191</v>
      </c>
    </row>
    <row r="2695" spans="1:4" x14ac:dyDescent="0.2">
      <c r="A2695" t="s">
        <v>6152</v>
      </c>
      <c r="B2695" t="s">
        <v>6153</v>
      </c>
      <c r="C2695" t="s">
        <v>190</v>
      </c>
      <c r="D2695" t="s">
        <v>191</v>
      </c>
    </row>
    <row r="2696" spans="1:4" x14ac:dyDescent="0.2">
      <c r="A2696" t="s">
        <v>6154</v>
      </c>
      <c r="B2696" t="s">
        <v>6155</v>
      </c>
      <c r="C2696" t="s">
        <v>6156</v>
      </c>
      <c r="D2696" t="s">
        <v>195</v>
      </c>
    </row>
    <row r="2697" spans="1:4" x14ac:dyDescent="0.2">
      <c r="A2697" t="s">
        <v>6157</v>
      </c>
      <c r="B2697" t="s">
        <v>6158</v>
      </c>
      <c r="C2697" t="s">
        <v>190</v>
      </c>
      <c r="D2697" t="s">
        <v>191</v>
      </c>
    </row>
    <row r="2698" spans="1:4" x14ac:dyDescent="0.2">
      <c r="A2698" t="s">
        <v>6159</v>
      </c>
      <c r="B2698" t="s">
        <v>6160</v>
      </c>
      <c r="C2698" t="s">
        <v>190</v>
      </c>
      <c r="D2698" t="s">
        <v>191</v>
      </c>
    </row>
    <row r="2699" spans="1:4" x14ac:dyDescent="0.2">
      <c r="A2699" t="s">
        <v>6159</v>
      </c>
      <c r="B2699" t="s">
        <v>6161</v>
      </c>
      <c r="C2699" t="s">
        <v>6162</v>
      </c>
      <c r="D2699" t="s">
        <v>195</v>
      </c>
    </row>
    <row r="2700" spans="1:4" x14ac:dyDescent="0.2">
      <c r="A2700" t="s">
        <v>6163</v>
      </c>
      <c r="B2700" t="s">
        <v>6164</v>
      </c>
      <c r="C2700" t="s">
        <v>6165</v>
      </c>
      <c r="D2700" t="s">
        <v>187</v>
      </c>
    </row>
    <row r="2701" spans="1:4" x14ac:dyDescent="0.2">
      <c r="A2701" t="s">
        <v>6166</v>
      </c>
      <c r="B2701" t="s">
        <v>6167</v>
      </c>
      <c r="C2701" t="s">
        <v>6168</v>
      </c>
      <c r="D2701" t="s">
        <v>187</v>
      </c>
    </row>
    <row r="2702" spans="1:4" x14ac:dyDescent="0.2">
      <c r="A2702" t="s">
        <v>6169</v>
      </c>
      <c r="B2702" t="s">
        <v>6170</v>
      </c>
      <c r="C2702" t="s">
        <v>190</v>
      </c>
      <c r="D2702" t="s">
        <v>191</v>
      </c>
    </row>
    <row r="2703" spans="1:4" x14ac:dyDescent="0.2">
      <c r="A2703" t="s">
        <v>6171</v>
      </c>
      <c r="B2703" t="s">
        <v>6172</v>
      </c>
      <c r="C2703" t="s">
        <v>190</v>
      </c>
      <c r="D2703" t="s">
        <v>191</v>
      </c>
    </row>
    <row r="2704" spans="1:4" x14ac:dyDescent="0.2">
      <c r="A2704" t="s">
        <v>6171</v>
      </c>
      <c r="B2704" t="s">
        <v>6173</v>
      </c>
      <c r="C2704" t="s">
        <v>190</v>
      </c>
      <c r="D2704" t="s">
        <v>191</v>
      </c>
    </row>
    <row r="2705" spans="1:4" x14ac:dyDescent="0.2">
      <c r="A2705" t="s">
        <v>6174</v>
      </c>
      <c r="B2705" t="s">
        <v>6175</v>
      </c>
      <c r="C2705" t="s">
        <v>190</v>
      </c>
      <c r="D2705" t="s">
        <v>191</v>
      </c>
    </row>
    <row r="2706" spans="1:4" x14ac:dyDescent="0.2">
      <c r="A2706" t="s">
        <v>6176</v>
      </c>
      <c r="B2706" t="s">
        <v>6177</v>
      </c>
      <c r="C2706" t="s">
        <v>6178</v>
      </c>
      <c r="D2706" t="s">
        <v>187</v>
      </c>
    </row>
    <row r="2707" spans="1:4" x14ac:dyDescent="0.2">
      <c r="A2707" t="s">
        <v>6179</v>
      </c>
      <c r="B2707" t="s">
        <v>6180</v>
      </c>
      <c r="C2707" t="s">
        <v>6181</v>
      </c>
      <c r="D2707" t="s">
        <v>187</v>
      </c>
    </row>
    <row r="2708" spans="1:4" x14ac:dyDescent="0.2">
      <c r="A2708" t="s">
        <v>6182</v>
      </c>
      <c r="B2708" t="s">
        <v>6183</v>
      </c>
      <c r="C2708" t="s">
        <v>190</v>
      </c>
      <c r="D2708" t="s">
        <v>191</v>
      </c>
    </row>
    <row r="2709" spans="1:4" x14ac:dyDescent="0.2">
      <c r="A2709" t="s">
        <v>6182</v>
      </c>
      <c r="B2709" t="s">
        <v>6184</v>
      </c>
      <c r="C2709" t="s">
        <v>190</v>
      </c>
      <c r="D2709" t="s">
        <v>191</v>
      </c>
    </row>
    <row r="2710" spans="1:4" x14ac:dyDescent="0.2">
      <c r="A2710" t="s">
        <v>6182</v>
      </c>
      <c r="B2710" t="s">
        <v>6185</v>
      </c>
      <c r="C2710" t="s">
        <v>190</v>
      </c>
      <c r="D2710" t="s">
        <v>191</v>
      </c>
    </row>
    <row r="2711" spans="1:4" x14ac:dyDescent="0.2">
      <c r="A2711" t="s">
        <v>6186</v>
      </c>
      <c r="B2711" t="s">
        <v>6187</v>
      </c>
      <c r="C2711" t="s">
        <v>6188</v>
      </c>
      <c r="D2711" t="s">
        <v>195</v>
      </c>
    </row>
    <row r="2712" spans="1:4" x14ac:dyDescent="0.2">
      <c r="A2712" t="s">
        <v>6189</v>
      </c>
      <c r="B2712" t="s">
        <v>6190</v>
      </c>
      <c r="C2712" t="s">
        <v>6191</v>
      </c>
      <c r="D2712" t="s">
        <v>195</v>
      </c>
    </row>
    <row r="2713" spans="1:4" x14ac:dyDescent="0.2">
      <c r="A2713" t="s">
        <v>6192</v>
      </c>
      <c r="B2713" t="s">
        <v>6193</v>
      </c>
      <c r="C2713" t="s">
        <v>190</v>
      </c>
      <c r="D2713" t="s">
        <v>191</v>
      </c>
    </row>
    <row r="2714" spans="1:4" x14ac:dyDescent="0.2">
      <c r="A2714" t="s">
        <v>6192</v>
      </c>
      <c r="B2714" t="s">
        <v>6194</v>
      </c>
      <c r="C2714" t="s">
        <v>190</v>
      </c>
      <c r="D2714" t="s">
        <v>6195</v>
      </c>
    </row>
    <row r="2715" spans="1:4" x14ac:dyDescent="0.2">
      <c r="A2715" t="s">
        <v>6196</v>
      </c>
      <c r="B2715" t="s">
        <v>6197</v>
      </c>
      <c r="C2715" t="s">
        <v>190</v>
      </c>
      <c r="D2715" t="s">
        <v>191</v>
      </c>
    </row>
    <row r="2716" spans="1:4" x14ac:dyDescent="0.2">
      <c r="A2716" t="s">
        <v>6198</v>
      </c>
      <c r="B2716" t="s">
        <v>6199</v>
      </c>
      <c r="C2716" t="s">
        <v>6200</v>
      </c>
      <c r="D2716" t="s">
        <v>195</v>
      </c>
    </row>
    <row r="2717" spans="1:4" x14ac:dyDescent="0.2">
      <c r="A2717" t="s">
        <v>6201</v>
      </c>
      <c r="B2717" t="s">
        <v>6202</v>
      </c>
      <c r="C2717" t="s">
        <v>190</v>
      </c>
      <c r="D2717" t="s">
        <v>191</v>
      </c>
    </row>
    <row r="2718" spans="1:4" x14ac:dyDescent="0.2">
      <c r="A2718" t="s">
        <v>6203</v>
      </c>
      <c r="B2718" t="s">
        <v>6204</v>
      </c>
      <c r="C2718" t="s">
        <v>190</v>
      </c>
      <c r="D2718" t="s">
        <v>191</v>
      </c>
    </row>
    <row r="2719" spans="1:4" x14ac:dyDescent="0.2">
      <c r="A2719" t="s">
        <v>6205</v>
      </c>
      <c r="B2719" t="s">
        <v>6206</v>
      </c>
      <c r="C2719" t="s">
        <v>6207</v>
      </c>
      <c r="D2719" t="s">
        <v>195</v>
      </c>
    </row>
    <row r="2720" spans="1:4" x14ac:dyDescent="0.2">
      <c r="A2720" t="s">
        <v>6208</v>
      </c>
      <c r="B2720" t="s">
        <v>6209</v>
      </c>
      <c r="C2720" t="s">
        <v>6210</v>
      </c>
      <c r="D2720" t="s">
        <v>195</v>
      </c>
    </row>
    <row r="2721" spans="1:4" x14ac:dyDescent="0.2">
      <c r="A2721" t="s">
        <v>6211</v>
      </c>
      <c r="B2721" t="s">
        <v>6212</v>
      </c>
      <c r="C2721" t="s">
        <v>6213</v>
      </c>
      <c r="D2721" t="s">
        <v>187</v>
      </c>
    </row>
    <row r="2722" spans="1:4" x14ac:dyDescent="0.2">
      <c r="A2722" t="s">
        <v>6214</v>
      </c>
      <c r="B2722" t="s">
        <v>6215</v>
      </c>
      <c r="C2722" t="s">
        <v>6216</v>
      </c>
      <c r="D2722" t="s">
        <v>187</v>
      </c>
    </row>
    <row r="2723" spans="1:4" x14ac:dyDescent="0.2">
      <c r="A2723" t="s">
        <v>6217</v>
      </c>
      <c r="B2723" t="s">
        <v>6218</v>
      </c>
      <c r="C2723" t="s">
        <v>190</v>
      </c>
      <c r="D2723" t="s">
        <v>191</v>
      </c>
    </row>
    <row r="2724" spans="1:4" x14ac:dyDescent="0.2">
      <c r="A2724" t="s">
        <v>6219</v>
      </c>
      <c r="B2724" t="s">
        <v>6220</v>
      </c>
      <c r="C2724" t="s">
        <v>190</v>
      </c>
      <c r="D2724" t="s">
        <v>191</v>
      </c>
    </row>
    <row r="2725" spans="1:4" x14ac:dyDescent="0.2">
      <c r="A2725" t="s">
        <v>6221</v>
      </c>
      <c r="B2725" t="s">
        <v>6222</v>
      </c>
      <c r="C2725" t="s">
        <v>190</v>
      </c>
      <c r="D2725" t="s">
        <v>191</v>
      </c>
    </row>
    <row r="2726" spans="1:4" x14ac:dyDescent="0.2">
      <c r="A2726" t="s">
        <v>6223</v>
      </c>
      <c r="B2726" t="s">
        <v>6224</v>
      </c>
      <c r="C2726" t="s">
        <v>190</v>
      </c>
      <c r="D2726" t="s">
        <v>6225</v>
      </c>
    </row>
    <row r="2727" spans="1:4" x14ac:dyDescent="0.2">
      <c r="A2727" t="s">
        <v>6226</v>
      </c>
      <c r="B2727" t="s">
        <v>6227</v>
      </c>
      <c r="C2727" t="s">
        <v>190</v>
      </c>
      <c r="D2727" t="s">
        <v>191</v>
      </c>
    </row>
    <row r="2728" spans="1:4" x14ac:dyDescent="0.2">
      <c r="A2728" t="s">
        <v>6228</v>
      </c>
      <c r="B2728" t="s">
        <v>6229</v>
      </c>
      <c r="C2728" t="s">
        <v>190</v>
      </c>
      <c r="D2728" t="s">
        <v>191</v>
      </c>
    </row>
    <row r="2729" spans="1:4" x14ac:dyDescent="0.2">
      <c r="A2729" t="s">
        <v>6228</v>
      </c>
      <c r="B2729" t="s">
        <v>6230</v>
      </c>
      <c r="C2729" t="s">
        <v>190</v>
      </c>
      <c r="D2729" t="s">
        <v>191</v>
      </c>
    </row>
    <row r="2730" spans="1:4" x14ac:dyDescent="0.2">
      <c r="A2730" t="s">
        <v>6231</v>
      </c>
      <c r="B2730" t="s">
        <v>6232</v>
      </c>
      <c r="C2730" t="s">
        <v>190</v>
      </c>
      <c r="D2730" t="s">
        <v>191</v>
      </c>
    </row>
    <row r="2731" spans="1:4" x14ac:dyDescent="0.2">
      <c r="A2731" t="s">
        <v>6233</v>
      </c>
      <c r="B2731" t="s">
        <v>6234</v>
      </c>
      <c r="C2731" t="s">
        <v>190</v>
      </c>
      <c r="D2731" t="s">
        <v>191</v>
      </c>
    </row>
    <row r="2732" spans="1:4" x14ac:dyDescent="0.2">
      <c r="A2732" t="s">
        <v>6235</v>
      </c>
      <c r="B2732" t="s">
        <v>6236</v>
      </c>
      <c r="C2732" t="s">
        <v>190</v>
      </c>
      <c r="D2732" t="s">
        <v>191</v>
      </c>
    </row>
    <row r="2733" spans="1:4" x14ac:dyDescent="0.2">
      <c r="A2733" t="s">
        <v>6237</v>
      </c>
      <c r="B2733" t="s">
        <v>6238</v>
      </c>
      <c r="C2733" t="s">
        <v>190</v>
      </c>
      <c r="D2733" t="s">
        <v>191</v>
      </c>
    </row>
    <row r="2734" spans="1:4" x14ac:dyDescent="0.2">
      <c r="A2734" t="s">
        <v>6239</v>
      </c>
      <c r="B2734" t="s">
        <v>6240</v>
      </c>
      <c r="C2734" t="s">
        <v>6241</v>
      </c>
      <c r="D2734" t="s">
        <v>195</v>
      </c>
    </row>
    <row r="2735" spans="1:4" x14ac:dyDescent="0.2">
      <c r="A2735" t="s">
        <v>6242</v>
      </c>
      <c r="B2735" t="s">
        <v>6243</v>
      </c>
      <c r="C2735" t="s">
        <v>190</v>
      </c>
      <c r="D2735" t="s">
        <v>191</v>
      </c>
    </row>
    <row r="2736" spans="1:4" x14ac:dyDescent="0.2">
      <c r="A2736" t="s">
        <v>6244</v>
      </c>
      <c r="B2736" t="s">
        <v>6245</v>
      </c>
      <c r="C2736" t="s">
        <v>190</v>
      </c>
      <c r="D2736" t="s">
        <v>191</v>
      </c>
    </row>
    <row r="2737" spans="1:4" x14ac:dyDescent="0.2">
      <c r="A2737" t="s">
        <v>6246</v>
      </c>
      <c r="B2737" t="s">
        <v>6247</v>
      </c>
      <c r="C2737" t="s">
        <v>190</v>
      </c>
      <c r="D2737" t="s">
        <v>191</v>
      </c>
    </row>
    <row r="2738" spans="1:4" x14ac:dyDescent="0.2">
      <c r="A2738" t="s">
        <v>6248</v>
      </c>
      <c r="B2738" t="s">
        <v>6249</v>
      </c>
      <c r="C2738" t="s">
        <v>190</v>
      </c>
      <c r="D2738" t="s">
        <v>191</v>
      </c>
    </row>
    <row r="2739" spans="1:4" x14ac:dyDescent="0.2">
      <c r="A2739" t="s">
        <v>6250</v>
      </c>
      <c r="B2739" t="s">
        <v>6251</v>
      </c>
      <c r="C2739" t="s">
        <v>190</v>
      </c>
      <c r="D2739" t="s">
        <v>191</v>
      </c>
    </row>
    <row r="2740" spans="1:4" x14ac:dyDescent="0.2">
      <c r="A2740" t="s">
        <v>6252</v>
      </c>
      <c r="B2740" t="s">
        <v>6253</v>
      </c>
      <c r="C2740" t="s">
        <v>6254</v>
      </c>
      <c r="D2740" t="s">
        <v>195</v>
      </c>
    </row>
    <row r="2741" spans="1:4" x14ac:dyDescent="0.2">
      <c r="A2741" t="s">
        <v>6255</v>
      </c>
      <c r="B2741" t="s">
        <v>6256</v>
      </c>
      <c r="C2741" t="s">
        <v>190</v>
      </c>
      <c r="D2741" t="s">
        <v>191</v>
      </c>
    </row>
    <row r="2742" spans="1:4" x14ac:dyDescent="0.2">
      <c r="A2742" t="s">
        <v>6257</v>
      </c>
      <c r="B2742" t="s">
        <v>6258</v>
      </c>
      <c r="C2742" t="s">
        <v>6259</v>
      </c>
      <c r="D2742" t="s">
        <v>195</v>
      </c>
    </row>
    <row r="2743" spans="1:4" x14ac:dyDescent="0.2">
      <c r="A2743" t="s">
        <v>6260</v>
      </c>
      <c r="B2743" t="s">
        <v>6261</v>
      </c>
      <c r="C2743" t="s">
        <v>190</v>
      </c>
      <c r="D2743" t="s">
        <v>191</v>
      </c>
    </row>
    <row r="2744" spans="1:4" x14ac:dyDescent="0.2">
      <c r="A2744" t="s">
        <v>6262</v>
      </c>
      <c r="B2744" t="s">
        <v>6263</v>
      </c>
      <c r="C2744" t="s">
        <v>6264</v>
      </c>
      <c r="D2744" t="s">
        <v>187</v>
      </c>
    </row>
    <row r="2745" spans="1:4" x14ac:dyDescent="0.2">
      <c r="A2745" t="s">
        <v>6265</v>
      </c>
      <c r="B2745" t="s">
        <v>6266</v>
      </c>
      <c r="C2745" t="s">
        <v>6267</v>
      </c>
      <c r="D2745" t="s">
        <v>187</v>
      </c>
    </row>
    <row r="2746" spans="1:4" x14ac:dyDescent="0.2">
      <c r="A2746" t="s">
        <v>6268</v>
      </c>
      <c r="B2746" t="s">
        <v>6269</v>
      </c>
      <c r="C2746" t="s">
        <v>6270</v>
      </c>
      <c r="D2746" t="s">
        <v>195</v>
      </c>
    </row>
    <row r="2747" spans="1:4" x14ac:dyDescent="0.2">
      <c r="A2747" t="s">
        <v>6271</v>
      </c>
      <c r="B2747" t="s">
        <v>6272</v>
      </c>
      <c r="C2747" t="s">
        <v>190</v>
      </c>
      <c r="D2747" t="s">
        <v>191</v>
      </c>
    </row>
    <row r="2748" spans="1:4" x14ac:dyDescent="0.2">
      <c r="A2748" t="s">
        <v>6273</v>
      </c>
      <c r="B2748" t="s">
        <v>6274</v>
      </c>
      <c r="C2748" t="s">
        <v>190</v>
      </c>
      <c r="D2748" t="s">
        <v>191</v>
      </c>
    </row>
    <row r="2749" spans="1:4" x14ac:dyDescent="0.2">
      <c r="A2749" t="s">
        <v>6275</v>
      </c>
      <c r="B2749" t="s">
        <v>6276</v>
      </c>
      <c r="C2749" t="s">
        <v>6277</v>
      </c>
      <c r="D2749" t="s">
        <v>195</v>
      </c>
    </row>
    <row r="2750" spans="1:4" x14ac:dyDescent="0.2">
      <c r="A2750" t="s">
        <v>6278</v>
      </c>
      <c r="B2750" t="s">
        <v>6279</v>
      </c>
      <c r="C2750" t="s">
        <v>6280</v>
      </c>
      <c r="D2750" t="s">
        <v>195</v>
      </c>
    </row>
    <row r="2751" spans="1:4" x14ac:dyDescent="0.2">
      <c r="A2751" t="s">
        <v>6281</v>
      </c>
      <c r="B2751" t="s">
        <v>6282</v>
      </c>
      <c r="C2751" t="s">
        <v>6283</v>
      </c>
      <c r="D2751" t="s">
        <v>195</v>
      </c>
    </row>
    <row r="2752" spans="1:4" x14ac:dyDescent="0.2">
      <c r="A2752" t="s">
        <v>6284</v>
      </c>
      <c r="B2752" t="s">
        <v>6285</v>
      </c>
      <c r="C2752" t="s">
        <v>190</v>
      </c>
      <c r="D2752" t="s">
        <v>191</v>
      </c>
    </row>
    <row r="2753" spans="1:4" x14ac:dyDescent="0.2">
      <c r="A2753" t="s">
        <v>6286</v>
      </c>
      <c r="B2753" t="s">
        <v>6287</v>
      </c>
      <c r="C2753" t="s">
        <v>6288</v>
      </c>
      <c r="D2753" t="s">
        <v>187</v>
      </c>
    </row>
    <row r="2754" spans="1:4" x14ac:dyDescent="0.2">
      <c r="A2754" t="s">
        <v>6289</v>
      </c>
      <c r="B2754" t="s">
        <v>6290</v>
      </c>
      <c r="C2754" t="s">
        <v>6291</v>
      </c>
      <c r="D2754" t="s">
        <v>187</v>
      </c>
    </row>
    <row r="2755" spans="1:4" x14ac:dyDescent="0.2">
      <c r="A2755" t="s">
        <v>6292</v>
      </c>
      <c r="B2755" t="s">
        <v>6293</v>
      </c>
      <c r="C2755" t="s">
        <v>190</v>
      </c>
      <c r="D2755" t="s">
        <v>6294</v>
      </c>
    </row>
    <row r="2756" spans="1:4" x14ac:dyDescent="0.2">
      <c r="A2756" t="s">
        <v>6292</v>
      </c>
      <c r="B2756" t="s">
        <v>6295</v>
      </c>
      <c r="C2756" t="s">
        <v>6296</v>
      </c>
      <c r="D2756" t="s">
        <v>195</v>
      </c>
    </row>
    <row r="2757" spans="1:4" x14ac:dyDescent="0.2">
      <c r="A2757" t="s">
        <v>6292</v>
      </c>
      <c r="B2757" t="s">
        <v>6297</v>
      </c>
      <c r="C2757" t="s">
        <v>190</v>
      </c>
      <c r="D2757" t="s">
        <v>191</v>
      </c>
    </row>
    <row r="2758" spans="1:4" x14ac:dyDescent="0.2">
      <c r="A2758" t="s">
        <v>6298</v>
      </c>
      <c r="B2758" t="s">
        <v>6299</v>
      </c>
      <c r="C2758" t="s">
        <v>6300</v>
      </c>
      <c r="D2758" t="s">
        <v>195</v>
      </c>
    </row>
    <row r="2759" spans="1:4" x14ac:dyDescent="0.2">
      <c r="A2759" t="s">
        <v>6301</v>
      </c>
      <c r="B2759" t="s">
        <v>6302</v>
      </c>
      <c r="C2759" t="s">
        <v>6303</v>
      </c>
      <c r="D2759" t="s">
        <v>195</v>
      </c>
    </row>
    <row r="2760" spans="1:4" x14ac:dyDescent="0.2">
      <c r="A2760" t="s">
        <v>6304</v>
      </c>
      <c r="B2760" t="s">
        <v>6305</v>
      </c>
      <c r="C2760" t="s">
        <v>190</v>
      </c>
      <c r="D2760" t="s">
        <v>191</v>
      </c>
    </row>
    <row r="2761" spans="1:4" x14ac:dyDescent="0.2">
      <c r="A2761" t="s">
        <v>6306</v>
      </c>
      <c r="B2761" t="s">
        <v>6307</v>
      </c>
      <c r="C2761" t="s">
        <v>190</v>
      </c>
      <c r="D2761" t="s">
        <v>191</v>
      </c>
    </row>
    <row r="2762" spans="1:4" x14ac:dyDescent="0.2">
      <c r="A2762" t="s">
        <v>6308</v>
      </c>
      <c r="B2762" t="s">
        <v>6309</v>
      </c>
      <c r="C2762" t="s">
        <v>190</v>
      </c>
      <c r="D2762" t="s">
        <v>191</v>
      </c>
    </row>
    <row r="2763" spans="1:4" x14ac:dyDescent="0.2">
      <c r="A2763" t="s">
        <v>6310</v>
      </c>
      <c r="B2763" t="s">
        <v>6311</v>
      </c>
      <c r="C2763" t="s">
        <v>190</v>
      </c>
      <c r="D2763" t="s">
        <v>191</v>
      </c>
    </row>
    <row r="2764" spans="1:4" x14ac:dyDescent="0.2">
      <c r="A2764" t="s">
        <v>6312</v>
      </c>
      <c r="B2764" t="s">
        <v>6313</v>
      </c>
      <c r="C2764" t="s">
        <v>190</v>
      </c>
      <c r="D2764" t="s">
        <v>191</v>
      </c>
    </row>
    <row r="2765" spans="1:4" x14ac:dyDescent="0.2">
      <c r="A2765" t="s">
        <v>6314</v>
      </c>
      <c r="B2765" t="s">
        <v>6315</v>
      </c>
      <c r="C2765" t="s">
        <v>6316</v>
      </c>
      <c r="D2765" t="s">
        <v>195</v>
      </c>
    </row>
    <row r="2766" spans="1:4" x14ac:dyDescent="0.2">
      <c r="A2766" t="s">
        <v>6317</v>
      </c>
      <c r="B2766" t="s">
        <v>6318</v>
      </c>
      <c r="C2766" t="s">
        <v>190</v>
      </c>
      <c r="D2766" t="s">
        <v>191</v>
      </c>
    </row>
    <row r="2767" spans="1:4" x14ac:dyDescent="0.2">
      <c r="A2767" t="s">
        <v>6319</v>
      </c>
      <c r="B2767" t="s">
        <v>6320</v>
      </c>
      <c r="C2767" t="s">
        <v>6321</v>
      </c>
      <c r="D2767" t="s">
        <v>195</v>
      </c>
    </row>
    <row r="2768" spans="1:4" x14ac:dyDescent="0.2">
      <c r="A2768" t="s">
        <v>6319</v>
      </c>
      <c r="B2768" t="s">
        <v>6322</v>
      </c>
      <c r="C2768" t="s">
        <v>190</v>
      </c>
      <c r="D2768" t="s">
        <v>6323</v>
      </c>
    </row>
    <row r="2769" spans="1:4" x14ac:dyDescent="0.2">
      <c r="A2769" t="s">
        <v>6319</v>
      </c>
      <c r="B2769" t="s">
        <v>6324</v>
      </c>
      <c r="C2769" t="s">
        <v>190</v>
      </c>
      <c r="D2769" t="s">
        <v>6325</v>
      </c>
    </row>
    <row r="2770" spans="1:4" x14ac:dyDescent="0.2">
      <c r="A2770" t="s">
        <v>6326</v>
      </c>
      <c r="B2770" t="s">
        <v>6327</v>
      </c>
      <c r="C2770" t="s">
        <v>6328</v>
      </c>
      <c r="D2770" t="s">
        <v>195</v>
      </c>
    </row>
    <row r="2771" spans="1:4" x14ac:dyDescent="0.2">
      <c r="A2771" t="s">
        <v>6329</v>
      </c>
      <c r="B2771" t="s">
        <v>6330</v>
      </c>
      <c r="C2771" t="s">
        <v>6331</v>
      </c>
      <c r="D2771" t="s">
        <v>195</v>
      </c>
    </row>
    <row r="2772" spans="1:4" x14ac:dyDescent="0.2">
      <c r="A2772" t="s">
        <v>6332</v>
      </c>
      <c r="B2772" t="s">
        <v>6333</v>
      </c>
      <c r="C2772" t="s">
        <v>190</v>
      </c>
      <c r="D2772" t="s">
        <v>191</v>
      </c>
    </row>
    <row r="2773" spans="1:4" x14ac:dyDescent="0.2">
      <c r="A2773" t="s">
        <v>6334</v>
      </c>
      <c r="B2773" t="s">
        <v>6335</v>
      </c>
      <c r="C2773" t="s">
        <v>190</v>
      </c>
      <c r="D2773" t="s">
        <v>191</v>
      </c>
    </row>
    <row r="2774" spans="1:4" x14ac:dyDescent="0.2">
      <c r="A2774" t="s">
        <v>6336</v>
      </c>
      <c r="B2774" t="s">
        <v>6337</v>
      </c>
      <c r="C2774" t="s">
        <v>6338</v>
      </c>
      <c r="D2774" t="s">
        <v>195</v>
      </c>
    </row>
    <row r="2775" spans="1:4" x14ac:dyDescent="0.2">
      <c r="A2775" t="s">
        <v>6339</v>
      </c>
      <c r="B2775" t="s">
        <v>6340</v>
      </c>
      <c r="C2775" t="s">
        <v>190</v>
      </c>
      <c r="D2775" t="s">
        <v>191</v>
      </c>
    </row>
    <row r="2776" spans="1:4" x14ac:dyDescent="0.2">
      <c r="A2776" t="s">
        <v>6341</v>
      </c>
      <c r="B2776" t="s">
        <v>6342</v>
      </c>
      <c r="C2776" t="s">
        <v>190</v>
      </c>
      <c r="D2776" t="s">
        <v>6343</v>
      </c>
    </row>
    <row r="2777" spans="1:4" x14ac:dyDescent="0.2">
      <c r="A2777" t="s">
        <v>6341</v>
      </c>
      <c r="B2777" t="s">
        <v>6344</v>
      </c>
      <c r="C2777" t="s">
        <v>190</v>
      </c>
      <c r="D2777" t="s">
        <v>191</v>
      </c>
    </row>
    <row r="2778" spans="1:4" x14ac:dyDescent="0.2">
      <c r="A2778" t="s">
        <v>6345</v>
      </c>
      <c r="B2778" t="s">
        <v>6342</v>
      </c>
      <c r="C2778" t="s">
        <v>190</v>
      </c>
      <c r="D2778" t="s">
        <v>6343</v>
      </c>
    </row>
    <row r="2779" spans="1:4" x14ac:dyDescent="0.2">
      <c r="A2779" t="s">
        <v>6346</v>
      </c>
      <c r="B2779" t="s">
        <v>6347</v>
      </c>
      <c r="C2779" t="s">
        <v>6348</v>
      </c>
      <c r="D2779" t="s">
        <v>195</v>
      </c>
    </row>
    <row r="2780" spans="1:4" x14ac:dyDescent="0.2">
      <c r="A2780" t="s">
        <v>6346</v>
      </c>
      <c r="B2780" t="s">
        <v>6349</v>
      </c>
      <c r="C2780" t="s">
        <v>190</v>
      </c>
      <c r="D2780" t="s">
        <v>191</v>
      </c>
    </row>
    <row r="2781" spans="1:4" x14ac:dyDescent="0.2">
      <c r="A2781" t="s">
        <v>6350</v>
      </c>
      <c r="B2781" t="s">
        <v>6351</v>
      </c>
      <c r="C2781" t="s">
        <v>190</v>
      </c>
      <c r="D2781" t="s">
        <v>191</v>
      </c>
    </row>
    <row r="2782" spans="1:4" x14ac:dyDescent="0.2">
      <c r="A2782" t="s">
        <v>6352</v>
      </c>
      <c r="B2782" t="s">
        <v>6353</v>
      </c>
      <c r="C2782" t="s">
        <v>190</v>
      </c>
      <c r="D2782" t="s">
        <v>191</v>
      </c>
    </row>
    <row r="2783" spans="1:4" x14ac:dyDescent="0.2">
      <c r="A2783" t="s">
        <v>6354</v>
      </c>
      <c r="B2783" t="s">
        <v>6355</v>
      </c>
      <c r="C2783" t="s">
        <v>190</v>
      </c>
      <c r="D2783" t="s">
        <v>191</v>
      </c>
    </row>
    <row r="2784" spans="1:4" x14ac:dyDescent="0.2">
      <c r="A2784" t="s">
        <v>6356</v>
      </c>
      <c r="B2784" t="s">
        <v>6357</v>
      </c>
      <c r="C2784" t="s">
        <v>190</v>
      </c>
      <c r="D2784" t="s">
        <v>191</v>
      </c>
    </row>
    <row r="2785" spans="1:4" x14ac:dyDescent="0.2">
      <c r="A2785" t="s">
        <v>6358</v>
      </c>
      <c r="B2785" t="s">
        <v>6359</v>
      </c>
      <c r="C2785" t="s">
        <v>190</v>
      </c>
      <c r="D2785" t="s">
        <v>191</v>
      </c>
    </row>
    <row r="2786" spans="1:4" x14ac:dyDescent="0.2">
      <c r="A2786" t="s">
        <v>6360</v>
      </c>
      <c r="B2786" t="s">
        <v>6361</v>
      </c>
      <c r="C2786" t="s">
        <v>6362</v>
      </c>
      <c r="D2786" t="s">
        <v>187</v>
      </c>
    </row>
    <row r="2787" spans="1:4" x14ac:dyDescent="0.2">
      <c r="A2787" t="s">
        <v>6363</v>
      </c>
      <c r="B2787" t="s">
        <v>6364</v>
      </c>
      <c r="C2787" t="s">
        <v>190</v>
      </c>
      <c r="D2787" t="s">
        <v>191</v>
      </c>
    </row>
    <row r="2788" spans="1:4" x14ac:dyDescent="0.2">
      <c r="A2788" t="s">
        <v>6365</v>
      </c>
      <c r="B2788" t="s">
        <v>6366</v>
      </c>
      <c r="C2788" t="s">
        <v>190</v>
      </c>
      <c r="D2788" t="s">
        <v>191</v>
      </c>
    </row>
    <row r="2789" spans="1:4" x14ac:dyDescent="0.2">
      <c r="A2789" t="s">
        <v>6367</v>
      </c>
      <c r="B2789" t="s">
        <v>6368</v>
      </c>
      <c r="C2789" t="s">
        <v>190</v>
      </c>
      <c r="D2789" t="s">
        <v>191</v>
      </c>
    </row>
    <row r="2790" spans="1:4" x14ac:dyDescent="0.2">
      <c r="A2790" t="s">
        <v>6369</v>
      </c>
      <c r="B2790" t="s">
        <v>6370</v>
      </c>
      <c r="C2790" t="s">
        <v>190</v>
      </c>
      <c r="D2790" t="s">
        <v>191</v>
      </c>
    </row>
    <row r="2791" spans="1:4" x14ac:dyDescent="0.2">
      <c r="A2791" t="s">
        <v>6371</v>
      </c>
      <c r="B2791" t="s">
        <v>6372</v>
      </c>
      <c r="C2791" t="s">
        <v>190</v>
      </c>
      <c r="D2791" t="s">
        <v>191</v>
      </c>
    </row>
    <row r="2792" spans="1:4" x14ac:dyDescent="0.2">
      <c r="A2792" t="s">
        <v>6371</v>
      </c>
      <c r="B2792" t="s">
        <v>6373</v>
      </c>
      <c r="C2792" t="s">
        <v>6374</v>
      </c>
      <c r="D2792" t="s">
        <v>195</v>
      </c>
    </row>
    <row r="2793" spans="1:4" x14ac:dyDescent="0.2">
      <c r="A2793" t="s">
        <v>6375</v>
      </c>
      <c r="B2793" t="s">
        <v>6376</v>
      </c>
      <c r="C2793" t="s">
        <v>6377</v>
      </c>
      <c r="D2793" t="s">
        <v>195</v>
      </c>
    </row>
    <row r="2794" spans="1:4" x14ac:dyDescent="0.2">
      <c r="A2794" t="s">
        <v>6378</v>
      </c>
      <c r="B2794" t="s">
        <v>6379</v>
      </c>
      <c r="C2794" t="s">
        <v>190</v>
      </c>
      <c r="D2794" t="s">
        <v>191</v>
      </c>
    </row>
    <row r="2795" spans="1:4" x14ac:dyDescent="0.2">
      <c r="A2795" t="s">
        <v>6380</v>
      </c>
      <c r="B2795" t="s">
        <v>6381</v>
      </c>
      <c r="C2795" t="s">
        <v>190</v>
      </c>
      <c r="D2795" t="s">
        <v>191</v>
      </c>
    </row>
    <row r="2796" spans="1:4" x14ac:dyDescent="0.2">
      <c r="A2796" t="s">
        <v>6382</v>
      </c>
      <c r="B2796" t="s">
        <v>6383</v>
      </c>
      <c r="C2796" t="s">
        <v>6384</v>
      </c>
      <c r="D2796" t="s">
        <v>187</v>
      </c>
    </row>
    <row r="2797" spans="1:4" x14ac:dyDescent="0.2">
      <c r="A2797" t="s">
        <v>6385</v>
      </c>
      <c r="B2797" t="s">
        <v>6386</v>
      </c>
      <c r="C2797" t="s">
        <v>190</v>
      </c>
      <c r="D2797" t="s">
        <v>191</v>
      </c>
    </row>
    <row r="2798" spans="1:4" x14ac:dyDescent="0.2">
      <c r="A2798" t="s">
        <v>6387</v>
      </c>
      <c r="B2798" t="s">
        <v>6388</v>
      </c>
      <c r="C2798" t="s">
        <v>190</v>
      </c>
      <c r="D2798" t="s">
        <v>191</v>
      </c>
    </row>
    <row r="2799" spans="1:4" x14ac:dyDescent="0.2">
      <c r="A2799" t="s">
        <v>6389</v>
      </c>
      <c r="B2799" t="s">
        <v>6390</v>
      </c>
      <c r="C2799" t="s">
        <v>6391</v>
      </c>
      <c r="D2799" t="s">
        <v>195</v>
      </c>
    </row>
    <row r="2800" spans="1:4" x14ac:dyDescent="0.2">
      <c r="A2800" t="s">
        <v>6392</v>
      </c>
      <c r="B2800" t="s">
        <v>6393</v>
      </c>
      <c r="C2800" t="s">
        <v>190</v>
      </c>
      <c r="D2800" t="s">
        <v>191</v>
      </c>
    </row>
    <row r="2801" spans="1:4" x14ac:dyDescent="0.2">
      <c r="A2801" t="s">
        <v>6392</v>
      </c>
      <c r="B2801" t="s">
        <v>6394</v>
      </c>
      <c r="C2801" t="s">
        <v>190</v>
      </c>
      <c r="D2801" t="s">
        <v>191</v>
      </c>
    </row>
    <row r="2802" spans="1:4" x14ac:dyDescent="0.2">
      <c r="A2802" t="s">
        <v>6395</v>
      </c>
      <c r="B2802" t="s">
        <v>6396</v>
      </c>
      <c r="C2802" t="s">
        <v>190</v>
      </c>
      <c r="D2802" t="s">
        <v>191</v>
      </c>
    </row>
    <row r="2803" spans="1:4" x14ac:dyDescent="0.2">
      <c r="A2803" t="s">
        <v>6397</v>
      </c>
      <c r="B2803" t="s">
        <v>6398</v>
      </c>
      <c r="C2803" t="s">
        <v>190</v>
      </c>
      <c r="D2803" t="s">
        <v>191</v>
      </c>
    </row>
    <row r="2804" spans="1:4" x14ac:dyDescent="0.2">
      <c r="A2804" t="s">
        <v>6399</v>
      </c>
      <c r="B2804" t="s">
        <v>6400</v>
      </c>
      <c r="C2804" t="s">
        <v>6401</v>
      </c>
      <c r="D2804" t="s">
        <v>187</v>
      </c>
    </row>
    <row r="2805" spans="1:4" x14ac:dyDescent="0.2">
      <c r="A2805" t="s">
        <v>6402</v>
      </c>
      <c r="B2805" t="s">
        <v>6403</v>
      </c>
      <c r="C2805" t="s">
        <v>6404</v>
      </c>
      <c r="D2805" t="s">
        <v>187</v>
      </c>
    </row>
    <row r="2806" spans="1:4" x14ac:dyDescent="0.2">
      <c r="A2806" t="s">
        <v>6405</v>
      </c>
      <c r="B2806" t="s">
        <v>6406</v>
      </c>
      <c r="C2806" t="s">
        <v>190</v>
      </c>
      <c r="D2806" t="s">
        <v>191</v>
      </c>
    </row>
    <row r="2807" spans="1:4" x14ac:dyDescent="0.2">
      <c r="A2807" t="s">
        <v>6407</v>
      </c>
      <c r="B2807" t="s">
        <v>6408</v>
      </c>
      <c r="C2807" t="s">
        <v>190</v>
      </c>
      <c r="D2807" t="s">
        <v>191</v>
      </c>
    </row>
    <row r="2808" spans="1:4" x14ac:dyDescent="0.2">
      <c r="A2808" t="s">
        <v>6409</v>
      </c>
      <c r="B2808" t="s">
        <v>6410</v>
      </c>
      <c r="C2808" t="s">
        <v>190</v>
      </c>
      <c r="D2808" t="s">
        <v>191</v>
      </c>
    </row>
    <row r="2809" spans="1:4" x14ac:dyDescent="0.2">
      <c r="A2809" t="s">
        <v>6411</v>
      </c>
      <c r="B2809" t="s">
        <v>6412</v>
      </c>
      <c r="C2809" t="s">
        <v>190</v>
      </c>
      <c r="D2809" t="s">
        <v>6413</v>
      </c>
    </row>
    <row r="2810" spans="1:4" x14ac:dyDescent="0.2">
      <c r="A2810" t="s">
        <v>6411</v>
      </c>
      <c r="B2810" t="s">
        <v>6414</v>
      </c>
      <c r="C2810" t="s">
        <v>190</v>
      </c>
      <c r="D2810" t="s">
        <v>191</v>
      </c>
    </row>
    <row r="2811" spans="1:4" x14ac:dyDescent="0.2">
      <c r="A2811" t="s">
        <v>6415</v>
      </c>
      <c r="B2811" t="s">
        <v>6416</v>
      </c>
      <c r="C2811" t="s">
        <v>190</v>
      </c>
      <c r="D2811" t="s">
        <v>191</v>
      </c>
    </row>
    <row r="2812" spans="1:4" x14ac:dyDescent="0.2">
      <c r="A2812" t="s">
        <v>6417</v>
      </c>
      <c r="B2812" t="s">
        <v>6418</v>
      </c>
      <c r="C2812" t="s">
        <v>6419</v>
      </c>
      <c r="D2812" t="s">
        <v>187</v>
      </c>
    </row>
    <row r="2813" spans="1:4" x14ac:dyDescent="0.2">
      <c r="A2813" t="s">
        <v>6420</v>
      </c>
      <c r="B2813" t="s">
        <v>6421</v>
      </c>
      <c r="C2813" t="s">
        <v>190</v>
      </c>
      <c r="D2813" t="s">
        <v>191</v>
      </c>
    </row>
    <row r="2814" spans="1:4" x14ac:dyDescent="0.2">
      <c r="A2814" t="s">
        <v>6422</v>
      </c>
      <c r="B2814" t="s">
        <v>6423</v>
      </c>
      <c r="C2814" t="s">
        <v>6424</v>
      </c>
      <c r="D2814" t="s">
        <v>195</v>
      </c>
    </row>
    <row r="2815" spans="1:4" x14ac:dyDescent="0.2">
      <c r="A2815" t="s">
        <v>6425</v>
      </c>
      <c r="B2815" t="s">
        <v>6426</v>
      </c>
      <c r="C2815" t="s">
        <v>6427</v>
      </c>
      <c r="D2815" t="s">
        <v>195</v>
      </c>
    </row>
    <row r="2816" spans="1:4" x14ac:dyDescent="0.2">
      <c r="A2816" t="s">
        <v>6428</v>
      </c>
      <c r="B2816" t="s">
        <v>6426</v>
      </c>
      <c r="C2816" t="s">
        <v>6427</v>
      </c>
      <c r="D2816" t="s">
        <v>195</v>
      </c>
    </row>
    <row r="2817" spans="1:4" x14ac:dyDescent="0.2">
      <c r="A2817" t="s">
        <v>6428</v>
      </c>
      <c r="B2817" t="s">
        <v>6429</v>
      </c>
      <c r="C2817" t="s">
        <v>190</v>
      </c>
      <c r="D2817" t="s">
        <v>191</v>
      </c>
    </row>
    <row r="2818" spans="1:4" x14ac:dyDescent="0.2">
      <c r="A2818" t="s">
        <v>6430</v>
      </c>
      <c r="B2818" t="s">
        <v>6431</v>
      </c>
      <c r="C2818" t="s">
        <v>6432</v>
      </c>
      <c r="D2818" t="s">
        <v>195</v>
      </c>
    </row>
    <row r="2819" spans="1:4" x14ac:dyDescent="0.2">
      <c r="A2819" t="s">
        <v>6433</v>
      </c>
      <c r="B2819" t="s">
        <v>6434</v>
      </c>
      <c r="C2819" t="s">
        <v>6435</v>
      </c>
      <c r="D2819" t="s">
        <v>187</v>
      </c>
    </row>
    <row r="2820" spans="1:4" x14ac:dyDescent="0.2">
      <c r="A2820" t="s">
        <v>6436</v>
      </c>
      <c r="B2820" t="s">
        <v>6437</v>
      </c>
      <c r="C2820" t="s">
        <v>190</v>
      </c>
      <c r="D2820" t="s">
        <v>191</v>
      </c>
    </row>
    <row r="2821" spans="1:4" x14ac:dyDescent="0.2">
      <c r="A2821" t="s">
        <v>6438</v>
      </c>
      <c r="B2821" t="s">
        <v>6439</v>
      </c>
      <c r="C2821" t="s">
        <v>190</v>
      </c>
      <c r="D2821" t="s">
        <v>191</v>
      </c>
    </row>
    <row r="2822" spans="1:4" x14ac:dyDescent="0.2">
      <c r="A2822" t="s">
        <v>6440</v>
      </c>
      <c r="B2822" t="s">
        <v>6441</v>
      </c>
      <c r="C2822" t="s">
        <v>190</v>
      </c>
      <c r="D2822" t="s">
        <v>191</v>
      </c>
    </row>
    <row r="2823" spans="1:4" x14ac:dyDescent="0.2">
      <c r="A2823" t="s">
        <v>6442</v>
      </c>
      <c r="B2823" t="s">
        <v>6443</v>
      </c>
      <c r="C2823" t="s">
        <v>6444</v>
      </c>
      <c r="D2823" t="s">
        <v>187</v>
      </c>
    </row>
    <row r="2824" spans="1:4" x14ac:dyDescent="0.2">
      <c r="A2824" t="s">
        <v>6445</v>
      </c>
      <c r="B2824" t="s">
        <v>6446</v>
      </c>
      <c r="C2824" t="s">
        <v>190</v>
      </c>
      <c r="D2824" t="s">
        <v>191</v>
      </c>
    </row>
    <row r="2825" spans="1:4" x14ac:dyDescent="0.2">
      <c r="A2825" t="s">
        <v>6447</v>
      </c>
      <c r="B2825" t="s">
        <v>6448</v>
      </c>
      <c r="C2825" t="s">
        <v>190</v>
      </c>
      <c r="D2825" t="s">
        <v>191</v>
      </c>
    </row>
    <row r="2826" spans="1:4" x14ac:dyDescent="0.2">
      <c r="A2826" t="s">
        <v>6449</v>
      </c>
      <c r="B2826" t="s">
        <v>6450</v>
      </c>
      <c r="C2826" t="s">
        <v>6451</v>
      </c>
      <c r="D2826" t="s">
        <v>187</v>
      </c>
    </row>
    <row r="2827" spans="1:4" x14ac:dyDescent="0.2">
      <c r="A2827" t="s">
        <v>6452</v>
      </c>
      <c r="B2827" t="s">
        <v>6453</v>
      </c>
      <c r="C2827" t="s">
        <v>6454</v>
      </c>
      <c r="D2827" t="s">
        <v>195</v>
      </c>
    </row>
    <row r="2828" spans="1:4" x14ac:dyDescent="0.2">
      <c r="A2828" t="s">
        <v>6455</v>
      </c>
      <c r="B2828" t="s">
        <v>6456</v>
      </c>
      <c r="C2828" t="s">
        <v>190</v>
      </c>
      <c r="D2828" t="s">
        <v>191</v>
      </c>
    </row>
    <row r="2829" spans="1:4" x14ac:dyDescent="0.2">
      <c r="A2829" t="s">
        <v>6457</v>
      </c>
      <c r="B2829" t="s">
        <v>6458</v>
      </c>
      <c r="C2829" t="s">
        <v>6459</v>
      </c>
      <c r="D2829" t="s">
        <v>187</v>
      </c>
    </row>
    <row r="2830" spans="1:4" x14ac:dyDescent="0.2">
      <c r="A2830" t="s">
        <v>6460</v>
      </c>
      <c r="B2830" t="s">
        <v>6461</v>
      </c>
      <c r="C2830" t="s">
        <v>6462</v>
      </c>
      <c r="D2830" t="s">
        <v>187</v>
      </c>
    </row>
    <row r="2831" spans="1:4" x14ac:dyDescent="0.2">
      <c r="A2831" t="s">
        <v>6463</v>
      </c>
      <c r="B2831" t="s">
        <v>6464</v>
      </c>
      <c r="C2831" t="s">
        <v>6465</v>
      </c>
      <c r="D2831" t="s">
        <v>187</v>
      </c>
    </row>
    <row r="2832" spans="1:4" x14ac:dyDescent="0.2">
      <c r="A2832" t="s">
        <v>6466</v>
      </c>
      <c r="B2832" t="s">
        <v>6467</v>
      </c>
      <c r="C2832" t="s">
        <v>190</v>
      </c>
      <c r="D2832" t="s">
        <v>191</v>
      </c>
    </row>
    <row r="2833" spans="1:4" x14ac:dyDescent="0.2">
      <c r="A2833" t="s">
        <v>6468</v>
      </c>
      <c r="B2833" t="s">
        <v>6469</v>
      </c>
      <c r="C2833" t="s">
        <v>190</v>
      </c>
      <c r="D2833" t="s">
        <v>191</v>
      </c>
    </row>
    <row r="2834" spans="1:4" x14ac:dyDescent="0.2">
      <c r="A2834" t="s">
        <v>6470</v>
      </c>
      <c r="B2834" t="s">
        <v>6471</v>
      </c>
      <c r="C2834" t="s">
        <v>190</v>
      </c>
      <c r="D2834" t="s">
        <v>6472</v>
      </c>
    </row>
    <row r="2835" spans="1:4" x14ac:dyDescent="0.2">
      <c r="A2835" t="s">
        <v>6470</v>
      </c>
      <c r="B2835" t="s">
        <v>6473</v>
      </c>
      <c r="C2835" t="s">
        <v>190</v>
      </c>
      <c r="D2835" t="s">
        <v>191</v>
      </c>
    </row>
    <row r="2836" spans="1:4" x14ac:dyDescent="0.2">
      <c r="A2836" t="s">
        <v>6474</v>
      </c>
      <c r="B2836" t="s">
        <v>6475</v>
      </c>
      <c r="C2836" t="s">
        <v>190</v>
      </c>
      <c r="D2836" t="s">
        <v>191</v>
      </c>
    </row>
    <row r="2837" spans="1:4" x14ac:dyDescent="0.2">
      <c r="A2837" t="s">
        <v>6476</v>
      </c>
      <c r="B2837" t="s">
        <v>6477</v>
      </c>
      <c r="C2837" t="s">
        <v>190</v>
      </c>
      <c r="D2837" t="s">
        <v>191</v>
      </c>
    </row>
    <row r="2838" spans="1:4" x14ac:dyDescent="0.2">
      <c r="A2838" t="s">
        <v>6478</v>
      </c>
      <c r="B2838" t="s">
        <v>6479</v>
      </c>
      <c r="C2838" t="s">
        <v>190</v>
      </c>
      <c r="D2838" t="s">
        <v>191</v>
      </c>
    </row>
    <row r="2839" spans="1:4" x14ac:dyDescent="0.2">
      <c r="A2839" t="s">
        <v>6478</v>
      </c>
      <c r="B2839" t="s">
        <v>6480</v>
      </c>
      <c r="C2839" t="s">
        <v>190</v>
      </c>
      <c r="D2839" t="s">
        <v>191</v>
      </c>
    </row>
    <row r="2840" spans="1:4" x14ac:dyDescent="0.2">
      <c r="A2840" t="s">
        <v>6481</v>
      </c>
      <c r="B2840" t="s">
        <v>6482</v>
      </c>
      <c r="C2840" t="s">
        <v>6483</v>
      </c>
      <c r="D2840" t="s">
        <v>187</v>
      </c>
    </row>
    <row r="2841" spans="1:4" x14ac:dyDescent="0.2">
      <c r="A2841" t="s">
        <v>6484</v>
      </c>
      <c r="B2841" t="s">
        <v>6485</v>
      </c>
      <c r="C2841" t="s">
        <v>190</v>
      </c>
      <c r="D2841" t="s">
        <v>191</v>
      </c>
    </row>
    <row r="2842" spans="1:4" x14ac:dyDescent="0.2">
      <c r="A2842" t="s">
        <v>6486</v>
      </c>
      <c r="B2842" t="s">
        <v>6487</v>
      </c>
      <c r="C2842" t="s">
        <v>190</v>
      </c>
      <c r="D2842" t="s">
        <v>191</v>
      </c>
    </row>
    <row r="2843" spans="1:4" x14ac:dyDescent="0.2">
      <c r="A2843" t="s">
        <v>6488</v>
      </c>
      <c r="B2843" t="s">
        <v>6489</v>
      </c>
      <c r="C2843" t="s">
        <v>190</v>
      </c>
      <c r="D2843" t="s">
        <v>6490</v>
      </c>
    </row>
    <row r="2844" spans="1:4" x14ac:dyDescent="0.2">
      <c r="A2844" t="s">
        <v>6491</v>
      </c>
      <c r="B2844" t="s">
        <v>6492</v>
      </c>
      <c r="C2844" t="s">
        <v>6493</v>
      </c>
      <c r="D2844" t="s">
        <v>195</v>
      </c>
    </row>
    <row r="2845" spans="1:4" x14ac:dyDescent="0.2">
      <c r="A2845" t="s">
        <v>6494</v>
      </c>
      <c r="B2845" t="s">
        <v>6489</v>
      </c>
      <c r="C2845" t="s">
        <v>190</v>
      </c>
      <c r="D2845" t="s">
        <v>191</v>
      </c>
    </row>
    <row r="2846" spans="1:4" x14ac:dyDescent="0.2">
      <c r="A2846" t="s">
        <v>6494</v>
      </c>
      <c r="B2846" t="s">
        <v>6495</v>
      </c>
      <c r="C2846" t="s">
        <v>190</v>
      </c>
      <c r="D2846" t="s">
        <v>191</v>
      </c>
    </row>
    <row r="2847" spans="1:4" x14ac:dyDescent="0.2">
      <c r="A2847" t="s">
        <v>6496</v>
      </c>
      <c r="B2847" t="s">
        <v>6497</v>
      </c>
      <c r="C2847" t="s">
        <v>190</v>
      </c>
      <c r="D2847" t="s">
        <v>191</v>
      </c>
    </row>
    <row r="2848" spans="1:4" x14ac:dyDescent="0.2">
      <c r="A2848" t="s">
        <v>6498</v>
      </c>
      <c r="B2848" t="s">
        <v>6499</v>
      </c>
      <c r="C2848" t="s">
        <v>190</v>
      </c>
      <c r="D2848" t="s">
        <v>191</v>
      </c>
    </row>
    <row r="2849" spans="1:4" x14ac:dyDescent="0.2">
      <c r="A2849" t="s">
        <v>6500</v>
      </c>
      <c r="B2849" t="s">
        <v>6501</v>
      </c>
      <c r="C2849" t="s">
        <v>190</v>
      </c>
      <c r="D2849" t="s">
        <v>191</v>
      </c>
    </row>
    <row r="2850" spans="1:4" x14ac:dyDescent="0.2">
      <c r="A2850" t="s">
        <v>6502</v>
      </c>
      <c r="B2850" t="s">
        <v>6503</v>
      </c>
      <c r="C2850" t="s">
        <v>6504</v>
      </c>
      <c r="D2850" t="s">
        <v>195</v>
      </c>
    </row>
    <row r="2851" spans="1:4" x14ac:dyDescent="0.2">
      <c r="A2851" t="s">
        <v>6505</v>
      </c>
      <c r="B2851" t="s">
        <v>6506</v>
      </c>
      <c r="C2851" t="s">
        <v>190</v>
      </c>
      <c r="D2851" t="s">
        <v>191</v>
      </c>
    </row>
    <row r="2852" spans="1:4" x14ac:dyDescent="0.2">
      <c r="A2852" t="s">
        <v>6507</v>
      </c>
      <c r="B2852" t="s">
        <v>6508</v>
      </c>
      <c r="C2852" t="s">
        <v>6509</v>
      </c>
      <c r="D2852" t="s">
        <v>195</v>
      </c>
    </row>
    <row r="2853" spans="1:4" x14ac:dyDescent="0.2">
      <c r="A2853" t="s">
        <v>6510</v>
      </c>
      <c r="B2853" t="s">
        <v>6511</v>
      </c>
      <c r="C2853" t="s">
        <v>190</v>
      </c>
      <c r="D2853" t="s">
        <v>191</v>
      </c>
    </row>
    <row r="2854" spans="1:4" x14ac:dyDescent="0.2">
      <c r="A2854" t="s">
        <v>6512</v>
      </c>
      <c r="B2854" t="s">
        <v>6513</v>
      </c>
      <c r="C2854" t="s">
        <v>190</v>
      </c>
      <c r="D2854" t="s">
        <v>191</v>
      </c>
    </row>
    <row r="2855" spans="1:4" x14ac:dyDescent="0.2">
      <c r="A2855" t="s">
        <v>6512</v>
      </c>
      <c r="B2855" t="s">
        <v>6514</v>
      </c>
      <c r="C2855" t="s">
        <v>190</v>
      </c>
      <c r="D2855" t="s">
        <v>191</v>
      </c>
    </row>
    <row r="2856" spans="1:4" x14ac:dyDescent="0.2">
      <c r="A2856" t="s">
        <v>6515</v>
      </c>
      <c r="B2856" t="s">
        <v>6516</v>
      </c>
      <c r="C2856" t="s">
        <v>6517</v>
      </c>
      <c r="D2856" t="s">
        <v>187</v>
      </c>
    </row>
    <row r="2857" spans="1:4" x14ac:dyDescent="0.2">
      <c r="A2857" t="s">
        <v>6518</v>
      </c>
      <c r="B2857" t="s">
        <v>6519</v>
      </c>
      <c r="C2857" t="s">
        <v>190</v>
      </c>
      <c r="D2857" t="s">
        <v>191</v>
      </c>
    </row>
    <row r="2858" spans="1:4" x14ac:dyDescent="0.2">
      <c r="A2858" t="s">
        <v>6520</v>
      </c>
      <c r="B2858" t="s">
        <v>6521</v>
      </c>
      <c r="C2858" t="s">
        <v>190</v>
      </c>
      <c r="D2858" t="s">
        <v>191</v>
      </c>
    </row>
    <row r="2859" spans="1:4" x14ac:dyDescent="0.2">
      <c r="A2859" t="s">
        <v>6522</v>
      </c>
      <c r="B2859" t="s">
        <v>6523</v>
      </c>
      <c r="C2859" t="s">
        <v>190</v>
      </c>
      <c r="D2859" t="s">
        <v>191</v>
      </c>
    </row>
    <row r="2860" spans="1:4" x14ac:dyDescent="0.2">
      <c r="A2860" t="s">
        <v>6524</v>
      </c>
      <c r="B2860" t="s">
        <v>6525</v>
      </c>
      <c r="C2860" t="s">
        <v>190</v>
      </c>
      <c r="D2860" t="s">
        <v>191</v>
      </c>
    </row>
    <row r="2861" spans="1:4" x14ac:dyDescent="0.2">
      <c r="A2861" t="s">
        <v>6526</v>
      </c>
      <c r="B2861" t="s">
        <v>6527</v>
      </c>
      <c r="C2861" t="s">
        <v>190</v>
      </c>
      <c r="D2861" t="s">
        <v>6528</v>
      </c>
    </row>
    <row r="2862" spans="1:4" x14ac:dyDescent="0.2">
      <c r="A2862" t="s">
        <v>6526</v>
      </c>
      <c r="B2862" t="s">
        <v>6529</v>
      </c>
      <c r="C2862" t="s">
        <v>190</v>
      </c>
      <c r="D2862" t="s">
        <v>6528</v>
      </c>
    </row>
    <row r="2863" spans="1:4" x14ac:dyDescent="0.2">
      <c r="A2863" t="s">
        <v>6530</v>
      </c>
      <c r="B2863" t="s">
        <v>6531</v>
      </c>
      <c r="C2863" t="s">
        <v>190</v>
      </c>
      <c r="D2863" t="s">
        <v>191</v>
      </c>
    </row>
    <row r="2864" spans="1:4" x14ac:dyDescent="0.2">
      <c r="A2864" t="s">
        <v>6532</v>
      </c>
      <c r="B2864" t="s">
        <v>6533</v>
      </c>
      <c r="C2864" t="s">
        <v>190</v>
      </c>
      <c r="D2864" t="s">
        <v>280</v>
      </c>
    </row>
    <row r="2865" spans="1:4" x14ac:dyDescent="0.2">
      <c r="A2865" t="s">
        <v>6534</v>
      </c>
      <c r="B2865" t="s">
        <v>6535</v>
      </c>
      <c r="C2865" t="s">
        <v>190</v>
      </c>
      <c r="D2865" t="s">
        <v>191</v>
      </c>
    </row>
    <row r="2866" spans="1:4" x14ac:dyDescent="0.2">
      <c r="A2866" t="s">
        <v>6536</v>
      </c>
      <c r="B2866" t="s">
        <v>6537</v>
      </c>
      <c r="C2866" t="s">
        <v>190</v>
      </c>
      <c r="D2866" t="s">
        <v>191</v>
      </c>
    </row>
    <row r="2867" spans="1:4" x14ac:dyDescent="0.2">
      <c r="A2867" t="s">
        <v>6538</v>
      </c>
      <c r="B2867" t="s">
        <v>6539</v>
      </c>
      <c r="C2867" t="s">
        <v>6540</v>
      </c>
      <c r="D2867" t="s">
        <v>187</v>
      </c>
    </row>
    <row r="2868" spans="1:4" x14ac:dyDescent="0.2">
      <c r="A2868" t="s">
        <v>6541</v>
      </c>
      <c r="B2868" t="s">
        <v>6542</v>
      </c>
      <c r="C2868" t="s">
        <v>190</v>
      </c>
      <c r="D2868" t="s">
        <v>191</v>
      </c>
    </row>
    <row r="2869" spans="1:4" x14ac:dyDescent="0.2">
      <c r="A2869" t="s">
        <v>6541</v>
      </c>
      <c r="B2869" t="s">
        <v>6543</v>
      </c>
      <c r="C2869" t="s">
        <v>190</v>
      </c>
      <c r="D2869" t="s">
        <v>191</v>
      </c>
    </row>
    <row r="2870" spans="1:4" x14ac:dyDescent="0.2">
      <c r="A2870" t="s">
        <v>6541</v>
      </c>
      <c r="B2870" t="s">
        <v>6544</v>
      </c>
      <c r="C2870" t="s">
        <v>190</v>
      </c>
      <c r="D2870" t="s">
        <v>191</v>
      </c>
    </row>
    <row r="2871" spans="1:4" x14ac:dyDescent="0.2">
      <c r="A2871" t="s">
        <v>6545</v>
      </c>
      <c r="B2871" t="s">
        <v>6546</v>
      </c>
      <c r="C2871" t="s">
        <v>6547</v>
      </c>
      <c r="D2871" t="s">
        <v>195</v>
      </c>
    </row>
    <row r="2872" spans="1:4" x14ac:dyDescent="0.2">
      <c r="A2872" t="s">
        <v>6548</v>
      </c>
      <c r="B2872" t="s">
        <v>6549</v>
      </c>
      <c r="C2872" t="s">
        <v>6550</v>
      </c>
      <c r="D2872" t="s">
        <v>195</v>
      </c>
    </row>
    <row r="2873" spans="1:4" x14ac:dyDescent="0.2">
      <c r="A2873" t="s">
        <v>6551</v>
      </c>
      <c r="B2873" t="s">
        <v>6552</v>
      </c>
      <c r="C2873" t="s">
        <v>190</v>
      </c>
      <c r="D2873" t="s">
        <v>191</v>
      </c>
    </row>
    <row r="2874" spans="1:4" x14ac:dyDescent="0.2">
      <c r="A2874" t="s">
        <v>6553</v>
      </c>
      <c r="B2874" t="s">
        <v>6554</v>
      </c>
      <c r="C2874" t="s">
        <v>190</v>
      </c>
      <c r="D2874" t="s">
        <v>191</v>
      </c>
    </row>
    <row r="2875" spans="1:4" x14ac:dyDescent="0.2">
      <c r="A2875" t="s">
        <v>6555</v>
      </c>
      <c r="B2875" t="s">
        <v>6556</v>
      </c>
      <c r="C2875" t="s">
        <v>190</v>
      </c>
      <c r="D2875" t="s">
        <v>191</v>
      </c>
    </row>
    <row r="2876" spans="1:4" x14ac:dyDescent="0.2">
      <c r="A2876" t="s">
        <v>6557</v>
      </c>
      <c r="B2876" t="s">
        <v>6558</v>
      </c>
      <c r="C2876" t="s">
        <v>6559</v>
      </c>
      <c r="D2876" t="s">
        <v>195</v>
      </c>
    </row>
    <row r="2877" spans="1:4" x14ac:dyDescent="0.2">
      <c r="A2877" t="s">
        <v>6560</v>
      </c>
      <c r="B2877" t="s">
        <v>6561</v>
      </c>
      <c r="C2877" t="s">
        <v>190</v>
      </c>
      <c r="D2877" t="s">
        <v>6562</v>
      </c>
    </row>
    <row r="2878" spans="1:4" x14ac:dyDescent="0.2">
      <c r="A2878" t="s">
        <v>6560</v>
      </c>
      <c r="B2878" t="s">
        <v>6563</v>
      </c>
      <c r="C2878" t="s">
        <v>190</v>
      </c>
      <c r="D2878" t="s">
        <v>191</v>
      </c>
    </row>
    <row r="2879" spans="1:4" x14ac:dyDescent="0.2">
      <c r="A2879" t="s">
        <v>6564</v>
      </c>
      <c r="B2879" t="s">
        <v>6565</v>
      </c>
      <c r="C2879" t="s">
        <v>190</v>
      </c>
      <c r="D2879" t="s">
        <v>191</v>
      </c>
    </row>
    <row r="2880" spans="1:4" x14ac:dyDescent="0.2">
      <c r="A2880" t="s">
        <v>6566</v>
      </c>
      <c r="B2880" t="s">
        <v>6567</v>
      </c>
      <c r="C2880" t="s">
        <v>190</v>
      </c>
      <c r="D2880" t="s">
        <v>191</v>
      </c>
    </row>
    <row r="2881" spans="1:4" x14ac:dyDescent="0.2">
      <c r="A2881" t="s">
        <v>6566</v>
      </c>
      <c r="B2881" t="s">
        <v>6568</v>
      </c>
      <c r="C2881" t="s">
        <v>6569</v>
      </c>
      <c r="D2881" t="s">
        <v>195</v>
      </c>
    </row>
    <row r="2882" spans="1:4" x14ac:dyDescent="0.2">
      <c r="A2882" t="s">
        <v>6570</v>
      </c>
      <c r="B2882" t="s">
        <v>6571</v>
      </c>
      <c r="C2882" t="s">
        <v>190</v>
      </c>
      <c r="D2882" t="s">
        <v>191</v>
      </c>
    </row>
    <row r="2883" spans="1:4" x14ac:dyDescent="0.2">
      <c r="A2883" t="s">
        <v>6572</v>
      </c>
      <c r="B2883" t="s">
        <v>6573</v>
      </c>
      <c r="C2883" t="s">
        <v>190</v>
      </c>
      <c r="D2883" t="s">
        <v>191</v>
      </c>
    </row>
    <row r="2884" spans="1:4" x14ac:dyDescent="0.2">
      <c r="A2884" t="s">
        <v>6574</v>
      </c>
      <c r="B2884" t="s">
        <v>6575</v>
      </c>
      <c r="C2884" t="s">
        <v>190</v>
      </c>
      <c r="D2884" t="s">
        <v>191</v>
      </c>
    </row>
    <row r="2885" spans="1:4" x14ac:dyDescent="0.2">
      <c r="A2885" t="s">
        <v>6576</v>
      </c>
      <c r="B2885" t="s">
        <v>6577</v>
      </c>
      <c r="C2885" t="s">
        <v>190</v>
      </c>
      <c r="D2885" t="s">
        <v>191</v>
      </c>
    </row>
    <row r="2886" spans="1:4" x14ac:dyDescent="0.2">
      <c r="A2886" t="s">
        <v>6578</v>
      </c>
      <c r="B2886" t="s">
        <v>6579</v>
      </c>
      <c r="C2886" t="s">
        <v>6580</v>
      </c>
      <c r="D2886" t="s">
        <v>195</v>
      </c>
    </row>
    <row r="2887" spans="1:4" x14ac:dyDescent="0.2">
      <c r="A2887" t="s">
        <v>6581</v>
      </c>
      <c r="B2887" t="s">
        <v>6582</v>
      </c>
      <c r="C2887" t="s">
        <v>190</v>
      </c>
      <c r="D2887" t="s">
        <v>191</v>
      </c>
    </row>
    <row r="2888" spans="1:4" x14ac:dyDescent="0.2">
      <c r="A2888" t="s">
        <v>6583</v>
      </c>
      <c r="B2888" t="s">
        <v>6584</v>
      </c>
      <c r="C2888" t="s">
        <v>190</v>
      </c>
      <c r="D2888" t="s">
        <v>280</v>
      </c>
    </row>
    <row r="2889" spans="1:4" x14ac:dyDescent="0.2">
      <c r="A2889" t="s">
        <v>6583</v>
      </c>
      <c r="B2889" t="s">
        <v>6585</v>
      </c>
      <c r="C2889" t="s">
        <v>6586</v>
      </c>
      <c r="D2889" t="s">
        <v>195</v>
      </c>
    </row>
    <row r="2890" spans="1:4" x14ac:dyDescent="0.2">
      <c r="A2890" t="s">
        <v>6587</v>
      </c>
      <c r="B2890" t="s">
        <v>6588</v>
      </c>
      <c r="C2890" t="s">
        <v>6589</v>
      </c>
      <c r="D2890" t="s">
        <v>187</v>
      </c>
    </row>
    <row r="2891" spans="1:4" x14ac:dyDescent="0.2">
      <c r="A2891" t="s">
        <v>6587</v>
      </c>
      <c r="B2891" t="s">
        <v>6590</v>
      </c>
      <c r="C2891" t="s">
        <v>6591</v>
      </c>
      <c r="D2891" t="s">
        <v>195</v>
      </c>
    </row>
    <row r="2892" spans="1:4" x14ac:dyDescent="0.2">
      <c r="A2892" t="s">
        <v>6592</v>
      </c>
      <c r="B2892" t="s">
        <v>6593</v>
      </c>
      <c r="C2892" t="s">
        <v>6594</v>
      </c>
      <c r="D2892" t="s">
        <v>195</v>
      </c>
    </row>
    <row r="2893" spans="1:4" x14ac:dyDescent="0.2">
      <c r="A2893" t="s">
        <v>6592</v>
      </c>
      <c r="B2893" t="s">
        <v>6595</v>
      </c>
      <c r="C2893" t="s">
        <v>190</v>
      </c>
      <c r="D2893" t="s">
        <v>191</v>
      </c>
    </row>
    <row r="2894" spans="1:4" x14ac:dyDescent="0.2">
      <c r="A2894" t="s">
        <v>6596</v>
      </c>
      <c r="B2894" t="s">
        <v>6597</v>
      </c>
      <c r="C2894" t="s">
        <v>6598</v>
      </c>
      <c r="D2894" t="s">
        <v>195</v>
      </c>
    </row>
    <row r="2895" spans="1:4" x14ac:dyDescent="0.2">
      <c r="A2895" t="s">
        <v>6599</v>
      </c>
      <c r="B2895" t="s">
        <v>6600</v>
      </c>
      <c r="C2895" t="s">
        <v>6601</v>
      </c>
      <c r="D2895" t="s">
        <v>187</v>
      </c>
    </row>
    <row r="2896" spans="1:4" x14ac:dyDescent="0.2">
      <c r="A2896" t="s">
        <v>6602</v>
      </c>
      <c r="B2896" t="s">
        <v>6603</v>
      </c>
      <c r="C2896" t="s">
        <v>6604</v>
      </c>
      <c r="D2896" t="s">
        <v>195</v>
      </c>
    </row>
    <row r="2897" spans="1:4" x14ac:dyDescent="0.2">
      <c r="A2897" t="s">
        <v>6605</v>
      </c>
      <c r="B2897" t="s">
        <v>6606</v>
      </c>
      <c r="C2897" t="s">
        <v>6607</v>
      </c>
      <c r="D2897" t="s">
        <v>187</v>
      </c>
    </row>
    <row r="2898" spans="1:4" x14ac:dyDescent="0.2">
      <c r="A2898" t="s">
        <v>6608</v>
      </c>
      <c r="B2898" t="s">
        <v>6593</v>
      </c>
      <c r="C2898" t="s">
        <v>6594</v>
      </c>
      <c r="D2898" t="s">
        <v>195</v>
      </c>
    </row>
    <row r="2899" spans="1:4" x14ac:dyDescent="0.2">
      <c r="A2899" t="s">
        <v>6609</v>
      </c>
      <c r="B2899" t="s">
        <v>6610</v>
      </c>
      <c r="C2899" t="s">
        <v>190</v>
      </c>
      <c r="D2899" t="s">
        <v>191</v>
      </c>
    </row>
    <row r="2900" spans="1:4" x14ac:dyDescent="0.2">
      <c r="A2900" t="s">
        <v>6611</v>
      </c>
      <c r="B2900" t="s">
        <v>6612</v>
      </c>
      <c r="C2900" t="s">
        <v>6613</v>
      </c>
      <c r="D2900" t="s">
        <v>187</v>
      </c>
    </row>
    <row r="2901" spans="1:4" x14ac:dyDescent="0.2">
      <c r="A2901" t="s">
        <v>6614</v>
      </c>
      <c r="B2901" t="s">
        <v>6615</v>
      </c>
      <c r="C2901" t="s">
        <v>6616</v>
      </c>
      <c r="D2901" t="s">
        <v>195</v>
      </c>
    </row>
    <row r="2902" spans="1:4" x14ac:dyDescent="0.2">
      <c r="A2902" t="s">
        <v>6617</v>
      </c>
      <c r="B2902" t="s">
        <v>6618</v>
      </c>
      <c r="C2902" t="s">
        <v>190</v>
      </c>
      <c r="D2902" t="s">
        <v>191</v>
      </c>
    </row>
    <row r="2903" spans="1:4" x14ac:dyDescent="0.2">
      <c r="A2903" t="s">
        <v>6619</v>
      </c>
      <c r="B2903" t="s">
        <v>6620</v>
      </c>
      <c r="C2903" t="s">
        <v>190</v>
      </c>
      <c r="D2903" t="s">
        <v>191</v>
      </c>
    </row>
    <row r="2904" spans="1:4" x14ac:dyDescent="0.2">
      <c r="A2904" t="s">
        <v>6621</v>
      </c>
      <c r="B2904" t="s">
        <v>6622</v>
      </c>
      <c r="C2904" t="s">
        <v>6623</v>
      </c>
      <c r="D2904" t="s">
        <v>195</v>
      </c>
    </row>
    <row r="2905" spans="1:4" x14ac:dyDescent="0.2">
      <c r="A2905" t="s">
        <v>6624</v>
      </c>
      <c r="B2905" t="s">
        <v>6625</v>
      </c>
      <c r="C2905" t="s">
        <v>6626</v>
      </c>
      <c r="D2905" t="s">
        <v>187</v>
      </c>
    </row>
    <row r="2906" spans="1:4" x14ac:dyDescent="0.2">
      <c r="A2906" t="s">
        <v>6627</v>
      </c>
      <c r="B2906" t="s">
        <v>6628</v>
      </c>
      <c r="C2906" t="s">
        <v>6629</v>
      </c>
      <c r="D2906" t="s">
        <v>195</v>
      </c>
    </row>
    <row r="2907" spans="1:4" x14ac:dyDescent="0.2">
      <c r="A2907" t="s">
        <v>6630</v>
      </c>
      <c r="B2907" t="s">
        <v>6631</v>
      </c>
      <c r="C2907" t="s">
        <v>6632</v>
      </c>
      <c r="D2907" t="s">
        <v>195</v>
      </c>
    </row>
    <row r="2908" spans="1:4" x14ac:dyDescent="0.2">
      <c r="A2908" t="s">
        <v>6633</v>
      </c>
      <c r="B2908" t="s">
        <v>6634</v>
      </c>
      <c r="C2908" t="s">
        <v>190</v>
      </c>
      <c r="D2908" t="s">
        <v>191</v>
      </c>
    </row>
    <row r="2909" spans="1:4" x14ac:dyDescent="0.2">
      <c r="A2909" t="s">
        <v>6635</v>
      </c>
      <c r="B2909" t="s">
        <v>6636</v>
      </c>
      <c r="C2909" t="s">
        <v>190</v>
      </c>
      <c r="D2909" t="s">
        <v>191</v>
      </c>
    </row>
    <row r="2910" spans="1:4" x14ac:dyDescent="0.2">
      <c r="A2910" t="s">
        <v>6637</v>
      </c>
      <c r="B2910" t="s">
        <v>6638</v>
      </c>
      <c r="C2910" t="s">
        <v>190</v>
      </c>
      <c r="D2910" t="s">
        <v>191</v>
      </c>
    </row>
    <row r="2911" spans="1:4" x14ac:dyDescent="0.2">
      <c r="A2911" t="s">
        <v>6639</v>
      </c>
      <c r="B2911" t="s">
        <v>6640</v>
      </c>
      <c r="C2911" t="s">
        <v>6641</v>
      </c>
      <c r="D2911" t="s">
        <v>195</v>
      </c>
    </row>
    <row r="2912" spans="1:4" x14ac:dyDescent="0.2">
      <c r="A2912" t="s">
        <v>6642</v>
      </c>
      <c r="B2912" t="s">
        <v>6643</v>
      </c>
      <c r="C2912" t="s">
        <v>190</v>
      </c>
      <c r="D2912" t="s">
        <v>191</v>
      </c>
    </row>
    <row r="2913" spans="1:4" x14ac:dyDescent="0.2">
      <c r="A2913" t="s">
        <v>6644</v>
      </c>
      <c r="B2913" t="s">
        <v>6645</v>
      </c>
      <c r="C2913" t="s">
        <v>6646</v>
      </c>
      <c r="D2913" t="s">
        <v>195</v>
      </c>
    </row>
    <row r="2914" spans="1:4" x14ac:dyDescent="0.2">
      <c r="A2914" t="s">
        <v>6644</v>
      </c>
      <c r="B2914" t="s">
        <v>6647</v>
      </c>
      <c r="C2914" t="s">
        <v>6648</v>
      </c>
      <c r="D2914" t="s">
        <v>195</v>
      </c>
    </row>
    <row r="2915" spans="1:4" x14ac:dyDescent="0.2">
      <c r="A2915" t="s">
        <v>6649</v>
      </c>
      <c r="B2915" t="s">
        <v>6645</v>
      </c>
      <c r="C2915" t="s">
        <v>6646</v>
      </c>
      <c r="D2915" t="s">
        <v>195</v>
      </c>
    </row>
    <row r="2916" spans="1:4" x14ac:dyDescent="0.2">
      <c r="A2916" t="s">
        <v>6650</v>
      </c>
      <c r="B2916" t="s">
        <v>6651</v>
      </c>
      <c r="C2916" t="s">
        <v>6652</v>
      </c>
      <c r="D2916" t="s">
        <v>195</v>
      </c>
    </row>
    <row r="2917" spans="1:4" x14ac:dyDescent="0.2">
      <c r="A2917" t="s">
        <v>6653</v>
      </c>
      <c r="B2917" t="s">
        <v>6654</v>
      </c>
      <c r="C2917" t="s">
        <v>6655</v>
      </c>
      <c r="D2917" t="s">
        <v>187</v>
      </c>
    </row>
    <row r="2918" spans="1:4" x14ac:dyDescent="0.2">
      <c r="A2918" t="s">
        <v>6656</v>
      </c>
      <c r="B2918" t="s">
        <v>6657</v>
      </c>
      <c r="C2918" t="s">
        <v>6658</v>
      </c>
      <c r="D2918" t="s">
        <v>195</v>
      </c>
    </row>
    <row r="2919" spans="1:4" x14ac:dyDescent="0.2">
      <c r="A2919" t="s">
        <v>6659</v>
      </c>
      <c r="B2919" t="s">
        <v>6660</v>
      </c>
      <c r="C2919" t="s">
        <v>190</v>
      </c>
      <c r="D2919" t="s">
        <v>191</v>
      </c>
    </row>
    <row r="2920" spans="1:4" x14ac:dyDescent="0.2">
      <c r="A2920" t="s">
        <v>6659</v>
      </c>
      <c r="B2920" t="s">
        <v>6661</v>
      </c>
      <c r="C2920" t="s">
        <v>190</v>
      </c>
      <c r="D2920" t="s">
        <v>191</v>
      </c>
    </row>
    <row r="2921" spans="1:4" x14ac:dyDescent="0.2">
      <c r="A2921" t="s">
        <v>6662</v>
      </c>
      <c r="B2921" t="s">
        <v>6663</v>
      </c>
      <c r="C2921" t="s">
        <v>190</v>
      </c>
      <c r="D2921" t="s">
        <v>191</v>
      </c>
    </row>
    <row r="2922" spans="1:4" x14ac:dyDescent="0.2">
      <c r="A2922" t="s">
        <v>6664</v>
      </c>
      <c r="B2922" t="s">
        <v>6665</v>
      </c>
      <c r="C2922" t="s">
        <v>6666</v>
      </c>
      <c r="D2922" t="s">
        <v>195</v>
      </c>
    </row>
    <row r="2923" spans="1:4" x14ac:dyDescent="0.2">
      <c r="A2923" t="s">
        <v>6667</v>
      </c>
      <c r="B2923" t="s">
        <v>6668</v>
      </c>
      <c r="C2923" t="s">
        <v>6669</v>
      </c>
      <c r="D2923" t="s">
        <v>195</v>
      </c>
    </row>
    <row r="2924" spans="1:4" x14ac:dyDescent="0.2">
      <c r="A2924" t="s">
        <v>6670</v>
      </c>
      <c r="B2924" t="s">
        <v>6671</v>
      </c>
      <c r="C2924" t="s">
        <v>6672</v>
      </c>
      <c r="D2924" t="s">
        <v>195</v>
      </c>
    </row>
    <row r="2925" spans="1:4" x14ac:dyDescent="0.2">
      <c r="A2925" t="s">
        <v>6673</v>
      </c>
      <c r="B2925" t="s">
        <v>6674</v>
      </c>
      <c r="C2925" t="s">
        <v>190</v>
      </c>
      <c r="D2925" t="s">
        <v>191</v>
      </c>
    </row>
    <row r="2926" spans="1:4" x14ac:dyDescent="0.2">
      <c r="A2926" t="s">
        <v>6675</v>
      </c>
      <c r="B2926" t="s">
        <v>6676</v>
      </c>
      <c r="C2926" t="s">
        <v>190</v>
      </c>
      <c r="D2926" t="s">
        <v>191</v>
      </c>
    </row>
    <row r="2927" spans="1:4" x14ac:dyDescent="0.2">
      <c r="A2927" t="s">
        <v>6677</v>
      </c>
      <c r="B2927" t="s">
        <v>6678</v>
      </c>
      <c r="C2927" t="s">
        <v>190</v>
      </c>
      <c r="D2927" t="s">
        <v>191</v>
      </c>
    </row>
    <row r="2928" spans="1:4" x14ac:dyDescent="0.2">
      <c r="A2928" t="s">
        <v>6679</v>
      </c>
      <c r="B2928" t="s">
        <v>6680</v>
      </c>
      <c r="C2928" t="s">
        <v>190</v>
      </c>
      <c r="D2928" t="s">
        <v>280</v>
      </c>
    </row>
    <row r="2929" spans="1:4" x14ac:dyDescent="0.2">
      <c r="A2929" t="s">
        <v>6681</v>
      </c>
      <c r="B2929" t="s">
        <v>6682</v>
      </c>
      <c r="C2929" t="s">
        <v>190</v>
      </c>
      <c r="D2929" t="s">
        <v>191</v>
      </c>
    </row>
    <row r="2930" spans="1:4" x14ac:dyDescent="0.2">
      <c r="A2930" t="s">
        <v>6683</v>
      </c>
      <c r="B2930" t="s">
        <v>6684</v>
      </c>
      <c r="C2930" t="s">
        <v>6685</v>
      </c>
      <c r="D2930" t="s">
        <v>187</v>
      </c>
    </row>
    <row r="2931" spans="1:4" x14ac:dyDescent="0.2">
      <c r="A2931" t="s">
        <v>6683</v>
      </c>
      <c r="B2931" t="s">
        <v>6686</v>
      </c>
      <c r="C2931" t="s">
        <v>6687</v>
      </c>
      <c r="D2931" t="s">
        <v>195</v>
      </c>
    </row>
    <row r="2932" spans="1:4" x14ac:dyDescent="0.2">
      <c r="A2932" t="s">
        <v>6688</v>
      </c>
      <c r="B2932" t="s">
        <v>6689</v>
      </c>
      <c r="C2932" t="s">
        <v>6690</v>
      </c>
      <c r="D2932" t="s">
        <v>195</v>
      </c>
    </row>
    <row r="2933" spans="1:4" x14ac:dyDescent="0.2">
      <c r="A2933" t="s">
        <v>6691</v>
      </c>
      <c r="B2933" t="s">
        <v>6692</v>
      </c>
      <c r="C2933" t="s">
        <v>190</v>
      </c>
      <c r="D2933" t="s">
        <v>191</v>
      </c>
    </row>
    <row r="2934" spans="1:4" x14ac:dyDescent="0.2">
      <c r="A2934" t="s">
        <v>6693</v>
      </c>
      <c r="B2934" t="s">
        <v>6694</v>
      </c>
      <c r="C2934" t="s">
        <v>190</v>
      </c>
      <c r="D2934" t="s">
        <v>6695</v>
      </c>
    </row>
    <row r="2935" spans="1:4" x14ac:dyDescent="0.2">
      <c r="A2935" t="s">
        <v>6696</v>
      </c>
      <c r="B2935" t="s">
        <v>6697</v>
      </c>
      <c r="C2935" t="s">
        <v>190</v>
      </c>
      <c r="D2935" t="s">
        <v>191</v>
      </c>
    </row>
    <row r="2936" spans="1:4" x14ac:dyDescent="0.2">
      <c r="A2936" t="s">
        <v>6698</v>
      </c>
      <c r="B2936" t="s">
        <v>6699</v>
      </c>
      <c r="C2936" t="s">
        <v>190</v>
      </c>
      <c r="D2936" t="s">
        <v>191</v>
      </c>
    </row>
    <row r="2937" spans="1:4" x14ac:dyDescent="0.2">
      <c r="A2937" t="s">
        <v>6700</v>
      </c>
      <c r="B2937" t="s">
        <v>6701</v>
      </c>
      <c r="C2937" t="s">
        <v>190</v>
      </c>
      <c r="D2937" t="s">
        <v>191</v>
      </c>
    </row>
    <row r="2938" spans="1:4" x14ac:dyDescent="0.2">
      <c r="A2938" t="s">
        <v>6702</v>
      </c>
      <c r="B2938" t="s">
        <v>6703</v>
      </c>
      <c r="C2938" t="s">
        <v>190</v>
      </c>
      <c r="D2938" t="s">
        <v>191</v>
      </c>
    </row>
    <row r="2939" spans="1:4" x14ac:dyDescent="0.2">
      <c r="A2939" t="s">
        <v>6704</v>
      </c>
      <c r="B2939" t="s">
        <v>6705</v>
      </c>
      <c r="C2939" t="s">
        <v>6706</v>
      </c>
      <c r="D2939" t="s">
        <v>195</v>
      </c>
    </row>
    <row r="2940" spans="1:4" x14ac:dyDescent="0.2">
      <c r="A2940" t="s">
        <v>6707</v>
      </c>
      <c r="B2940" t="s">
        <v>6708</v>
      </c>
      <c r="C2940" t="s">
        <v>190</v>
      </c>
      <c r="D2940" t="s">
        <v>191</v>
      </c>
    </row>
    <row r="2941" spans="1:4" x14ac:dyDescent="0.2">
      <c r="A2941" t="s">
        <v>6709</v>
      </c>
      <c r="B2941" t="s">
        <v>6710</v>
      </c>
      <c r="C2941" t="s">
        <v>190</v>
      </c>
      <c r="D2941" t="s">
        <v>191</v>
      </c>
    </row>
    <row r="2942" spans="1:4" x14ac:dyDescent="0.2">
      <c r="A2942" t="s">
        <v>6711</v>
      </c>
      <c r="B2942" t="s">
        <v>6712</v>
      </c>
      <c r="C2942" t="s">
        <v>6713</v>
      </c>
      <c r="D2942" t="s">
        <v>195</v>
      </c>
    </row>
    <row r="2943" spans="1:4" x14ac:dyDescent="0.2">
      <c r="A2943" t="s">
        <v>6714</v>
      </c>
      <c r="B2943" t="s">
        <v>6715</v>
      </c>
      <c r="C2943" t="s">
        <v>190</v>
      </c>
      <c r="D2943" t="s">
        <v>191</v>
      </c>
    </row>
    <row r="2944" spans="1:4" x14ac:dyDescent="0.2">
      <c r="A2944" t="s">
        <v>6716</v>
      </c>
      <c r="B2944" t="s">
        <v>6717</v>
      </c>
      <c r="C2944" t="s">
        <v>6718</v>
      </c>
      <c r="D2944" t="s">
        <v>187</v>
      </c>
    </row>
    <row r="2945" spans="1:4" x14ac:dyDescent="0.2">
      <c r="A2945" t="s">
        <v>6719</v>
      </c>
      <c r="B2945" t="s">
        <v>6720</v>
      </c>
      <c r="C2945" t="s">
        <v>190</v>
      </c>
      <c r="D2945" t="s">
        <v>191</v>
      </c>
    </row>
    <row r="2946" spans="1:4" x14ac:dyDescent="0.2">
      <c r="A2946" t="s">
        <v>6721</v>
      </c>
      <c r="B2946" t="s">
        <v>6722</v>
      </c>
      <c r="C2946" t="s">
        <v>190</v>
      </c>
      <c r="D2946" t="s">
        <v>191</v>
      </c>
    </row>
    <row r="2947" spans="1:4" x14ac:dyDescent="0.2">
      <c r="A2947" t="s">
        <v>6723</v>
      </c>
      <c r="B2947" t="s">
        <v>6724</v>
      </c>
      <c r="C2947" t="s">
        <v>190</v>
      </c>
      <c r="D2947" t="s">
        <v>191</v>
      </c>
    </row>
    <row r="2948" spans="1:4" x14ac:dyDescent="0.2">
      <c r="A2948" t="s">
        <v>6725</v>
      </c>
      <c r="B2948" t="s">
        <v>6726</v>
      </c>
      <c r="C2948" t="s">
        <v>6727</v>
      </c>
      <c r="D2948" t="s">
        <v>187</v>
      </c>
    </row>
    <row r="2949" spans="1:4" x14ac:dyDescent="0.2">
      <c r="A2949" t="s">
        <v>6728</v>
      </c>
      <c r="B2949" t="s">
        <v>6729</v>
      </c>
      <c r="C2949" t="s">
        <v>6730</v>
      </c>
      <c r="D2949" t="s">
        <v>187</v>
      </c>
    </row>
    <row r="2950" spans="1:4" x14ac:dyDescent="0.2">
      <c r="A2950" t="s">
        <v>6731</v>
      </c>
      <c r="B2950" t="s">
        <v>6732</v>
      </c>
      <c r="C2950" t="s">
        <v>190</v>
      </c>
      <c r="D2950" t="s">
        <v>191</v>
      </c>
    </row>
    <row r="2951" spans="1:4" x14ac:dyDescent="0.2">
      <c r="A2951" t="s">
        <v>6733</v>
      </c>
      <c r="B2951" t="s">
        <v>6734</v>
      </c>
      <c r="C2951" t="s">
        <v>190</v>
      </c>
      <c r="D2951" t="s">
        <v>191</v>
      </c>
    </row>
    <row r="2952" spans="1:4" x14ac:dyDescent="0.2">
      <c r="A2952" t="s">
        <v>6735</v>
      </c>
      <c r="B2952" t="s">
        <v>6736</v>
      </c>
      <c r="C2952" t="s">
        <v>190</v>
      </c>
      <c r="D2952" t="s">
        <v>191</v>
      </c>
    </row>
    <row r="2953" spans="1:4" x14ac:dyDescent="0.2">
      <c r="A2953" t="s">
        <v>6737</v>
      </c>
      <c r="B2953" t="s">
        <v>6738</v>
      </c>
      <c r="C2953" t="s">
        <v>190</v>
      </c>
      <c r="D2953" t="s">
        <v>191</v>
      </c>
    </row>
    <row r="2954" spans="1:4" x14ac:dyDescent="0.2">
      <c r="A2954" t="s">
        <v>6739</v>
      </c>
      <c r="B2954" t="s">
        <v>6740</v>
      </c>
      <c r="C2954" t="s">
        <v>190</v>
      </c>
      <c r="D2954" t="s">
        <v>191</v>
      </c>
    </row>
    <row r="2955" spans="1:4" x14ac:dyDescent="0.2">
      <c r="A2955" t="s">
        <v>6739</v>
      </c>
      <c r="B2955" t="s">
        <v>6741</v>
      </c>
      <c r="C2955" t="s">
        <v>190</v>
      </c>
      <c r="D2955" t="s">
        <v>191</v>
      </c>
    </row>
    <row r="2956" spans="1:4" x14ac:dyDescent="0.2">
      <c r="A2956" t="s">
        <v>6742</v>
      </c>
      <c r="B2956" t="s">
        <v>6741</v>
      </c>
      <c r="C2956" t="s">
        <v>190</v>
      </c>
      <c r="D2956" t="s">
        <v>6743</v>
      </c>
    </row>
    <row r="2957" spans="1:4" x14ac:dyDescent="0.2">
      <c r="A2957" t="s">
        <v>6744</v>
      </c>
      <c r="B2957" t="s">
        <v>6745</v>
      </c>
      <c r="C2957" t="s">
        <v>6746</v>
      </c>
      <c r="D2957" t="s">
        <v>195</v>
      </c>
    </row>
    <row r="2958" spans="1:4" x14ac:dyDescent="0.2">
      <c r="A2958" t="s">
        <v>6747</v>
      </c>
      <c r="B2958" t="s">
        <v>6748</v>
      </c>
      <c r="C2958" t="s">
        <v>6749</v>
      </c>
      <c r="D2958" t="s">
        <v>195</v>
      </c>
    </row>
    <row r="2959" spans="1:4" x14ac:dyDescent="0.2">
      <c r="A2959" t="s">
        <v>6750</v>
      </c>
      <c r="B2959" t="s">
        <v>6751</v>
      </c>
      <c r="C2959" t="s">
        <v>190</v>
      </c>
      <c r="D2959" t="s">
        <v>191</v>
      </c>
    </row>
    <row r="2960" spans="1:4" x14ac:dyDescent="0.2">
      <c r="A2960" t="s">
        <v>6752</v>
      </c>
      <c r="B2960" t="s">
        <v>6753</v>
      </c>
      <c r="C2960" t="s">
        <v>190</v>
      </c>
      <c r="D2960" t="s">
        <v>191</v>
      </c>
    </row>
    <row r="2961" spans="1:4" x14ac:dyDescent="0.2">
      <c r="A2961" t="s">
        <v>6754</v>
      </c>
      <c r="B2961" t="s">
        <v>6755</v>
      </c>
      <c r="C2961" t="s">
        <v>190</v>
      </c>
      <c r="D2961" t="s">
        <v>191</v>
      </c>
    </row>
    <row r="2962" spans="1:4" x14ac:dyDescent="0.2">
      <c r="A2962" t="s">
        <v>6756</v>
      </c>
      <c r="B2962" t="s">
        <v>6757</v>
      </c>
      <c r="C2962" t="s">
        <v>6758</v>
      </c>
      <c r="D2962" t="s">
        <v>195</v>
      </c>
    </row>
    <row r="2963" spans="1:4" x14ac:dyDescent="0.2">
      <c r="A2963" t="s">
        <v>6759</v>
      </c>
      <c r="B2963" t="s">
        <v>6760</v>
      </c>
      <c r="C2963" t="s">
        <v>190</v>
      </c>
      <c r="D2963" t="s">
        <v>191</v>
      </c>
    </row>
    <row r="2964" spans="1:4" x14ac:dyDescent="0.2">
      <c r="A2964" t="s">
        <v>6761</v>
      </c>
      <c r="B2964" t="s">
        <v>6762</v>
      </c>
      <c r="C2964" t="s">
        <v>6763</v>
      </c>
      <c r="D2964" t="s">
        <v>195</v>
      </c>
    </row>
    <row r="2965" spans="1:4" x14ac:dyDescent="0.2">
      <c r="A2965" t="s">
        <v>6764</v>
      </c>
      <c r="B2965" t="s">
        <v>6765</v>
      </c>
      <c r="C2965" t="s">
        <v>190</v>
      </c>
      <c r="D2965" t="s">
        <v>191</v>
      </c>
    </row>
    <row r="2966" spans="1:4" x14ac:dyDescent="0.2">
      <c r="A2966" t="s">
        <v>6766</v>
      </c>
      <c r="B2966" t="s">
        <v>6767</v>
      </c>
      <c r="C2966" t="s">
        <v>190</v>
      </c>
      <c r="D2966" t="s">
        <v>191</v>
      </c>
    </row>
    <row r="2967" spans="1:4" x14ac:dyDescent="0.2">
      <c r="A2967" t="s">
        <v>6768</v>
      </c>
      <c r="B2967" t="s">
        <v>6769</v>
      </c>
      <c r="C2967" t="s">
        <v>190</v>
      </c>
      <c r="D2967" t="s">
        <v>280</v>
      </c>
    </row>
    <row r="2968" spans="1:4" x14ac:dyDescent="0.2">
      <c r="A2968" t="s">
        <v>6770</v>
      </c>
      <c r="B2968" t="s">
        <v>6771</v>
      </c>
      <c r="C2968" t="s">
        <v>6772</v>
      </c>
      <c r="D2968" t="s">
        <v>195</v>
      </c>
    </row>
    <row r="2969" spans="1:4" x14ac:dyDescent="0.2">
      <c r="A2969" t="s">
        <v>6773</v>
      </c>
      <c r="B2969" t="s">
        <v>6774</v>
      </c>
      <c r="C2969" t="s">
        <v>190</v>
      </c>
      <c r="D2969" t="s">
        <v>191</v>
      </c>
    </row>
    <row r="2970" spans="1:4" x14ac:dyDescent="0.2">
      <c r="A2970" t="s">
        <v>6775</v>
      </c>
      <c r="B2970" t="s">
        <v>6776</v>
      </c>
      <c r="C2970" t="s">
        <v>190</v>
      </c>
      <c r="D2970" t="s">
        <v>191</v>
      </c>
    </row>
    <row r="2971" spans="1:4" x14ac:dyDescent="0.2">
      <c r="A2971" t="s">
        <v>6777</v>
      </c>
      <c r="B2971" t="s">
        <v>6778</v>
      </c>
      <c r="C2971" t="s">
        <v>190</v>
      </c>
      <c r="D2971" t="s">
        <v>191</v>
      </c>
    </row>
    <row r="2972" spans="1:4" x14ac:dyDescent="0.2">
      <c r="A2972" t="s">
        <v>6779</v>
      </c>
      <c r="B2972" t="s">
        <v>6780</v>
      </c>
      <c r="C2972" t="s">
        <v>6781</v>
      </c>
      <c r="D2972" t="s">
        <v>195</v>
      </c>
    </row>
    <row r="2973" spans="1:4" x14ac:dyDescent="0.2">
      <c r="A2973" t="s">
        <v>6782</v>
      </c>
      <c r="B2973" t="s">
        <v>6783</v>
      </c>
      <c r="C2973" t="s">
        <v>190</v>
      </c>
      <c r="D2973" t="s">
        <v>191</v>
      </c>
    </row>
    <row r="2974" spans="1:4" x14ac:dyDescent="0.2">
      <c r="A2974" t="s">
        <v>6782</v>
      </c>
      <c r="B2974" t="s">
        <v>6784</v>
      </c>
      <c r="C2974" t="s">
        <v>190</v>
      </c>
      <c r="D2974" t="s">
        <v>191</v>
      </c>
    </row>
    <row r="2975" spans="1:4" x14ac:dyDescent="0.2">
      <c r="A2975" t="s">
        <v>6785</v>
      </c>
      <c r="B2975" t="s">
        <v>6786</v>
      </c>
      <c r="C2975" t="s">
        <v>190</v>
      </c>
      <c r="D2975" t="s">
        <v>191</v>
      </c>
    </row>
    <row r="2976" spans="1:4" x14ac:dyDescent="0.2">
      <c r="A2976" t="s">
        <v>6787</v>
      </c>
      <c r="B2976" t="s">
        <v>6788</v>
      </c>
      <c r="C2976" t="s">
        <v>190</v>
      </c>
      <c r="D2976" t="s">
        <v>191</v>
      </c>
    </row>
    <row r="2977" spans="1:4" x14ac:dyDescent="0.2">
      <c r="A2977" t="s">
        <v>6789</v>
      </c>
      <c r="B2977" t="s">
        <v>6790</v>
      </c>
      <c r="C2977" t="s">
        <v>190</v>
      </c>
      <c r="D2977" t="s">
        <v>191</v>
      </c>
    </row>
    <row r="2978" spans="1:4" x14ac:dyDescent="0.2">
      <c r="A2978" t="s">
        <v>6789</v>
      </c>
      <c r="B2978" t="s">
        <v>6791</v>
      </c>
      <c r="C2978" t="s">
        <v>6792</v>
      </c>
      <c r="D2978" t="s">
        <v>187</v>
      </c>
    </row>
    <row r="2979" spans="1:4" x14ac:dyDescent="0.2">
      <c r="A2979" t="s">
        <v>6793</v>
      </c>
      <c r="B2979" t="s">
        <v>6794</v>
      </c>
      <c r="C2979" t="s">
        <v>190</v>
      </c>
      <c r="D2979" t="s">
        <v>191</v>
      </c>
    </row>
    <row r="2980" spans="1:4" x14ac:dyDescent="0.2">
      <c r="A2980" t="s">
        <v>6795</v>
      </c>
      <c r="B2980" t="s">
        <v>6796</v>
      </c>
      <c r="C2980" t="s">
        <v>6797</v>
      </c>
      <c r="D2980" t="s">
        <v>187</v>
      </c>
    </row>
    <row r="2981" spans="1:4" x14ac:dyDescent="0.2">
      <c r="A2981" t="s">
        <v>6798</v>
      </c>
      <c r="B2981" t="s">
        <v>6799</v>
      </c>
      <c r="C2981" t="s">
        <v>190</v>
      </c>
      <c r="D2981" t="s">
        <v>191</v>
      </c>
    </row>
    <row r="2982" spans="1:4" x14ac:dyDescent="0.2">
      <c r="A2982" t="s">
        <v>6800</v>
      </c>
      <c r="B2982" t="s">
        <v>6801</v>
      </c>
      <c r="C2982" t="s">
        <v>6802</v>
      </c>
      <c r="D2982" t="s">
        <v>195</v>
      </c>
    </row>
    <row r="2983" spans="1:4" x14ac:dyDescent="0.2">
      <c r="A2983" t="s">
        <v>6803</v>
      </c>
      <c r="B2983" t="s">
        <v>6804</v>
      </c>
      <c r="C2983" t="s">
        <v>190</v>
      </c>
      <c r="D2983" t="s">
        <v>191</v>
      </c>
    </row>
    <row r="2984" spans="1:4" x14ac:dyDescent="0.2">
      <c r="A2984" t="s">
        <v>6805</v>
      </c>
      <c r="B2984" t="s">
        <v>6806</v>
      </c>
      <c r="C2984" t="s">
        <v>190</v>
      </c>
      <c r="D2984" t="s">
        <v>191</v>
      </c>
    </row>
    <row r="2985" spans="1:4" x14ac:dyDescent="0.2">
      <c r="A2985" t="s">
        <v>6807</v>
      </c>
      <c r="B2985" t="s">
        <v>6808</v>
      </c>
      <c r="C2985" t="s">
        <v>190</v>
      </c>
      <c r="D2985" t="s">
        <v>191</v>
      </c>
    </row>
    <row r="2986" spans="1:4" x14ac:dyDescent="0.2">
      <c r="A2986" t="s">
        <v>6809</v>
      </c>
      <c r="B2986" t="s">
        <v>6810</v>
      </c>
      <c r="C2986" t="s">
        <v>190</v>
      </c>
      <c r="D2986" t="s">
        <v>191</v>
      </c>
    </row>
    <row r="2987" spans="1:4" x14ac:dyDescent="0.2">
      <c r="A2987" t="s">
        <v>6811</v>
      </c>
      <c r="B2987" t="s">
        <v>6812</v>
      </c>
      <c r="C2987" t="s">
        <v>6813</v>
      </c>
      <c r="D2987" t="s">
        <v>195</v>
      </c>
    </row>
    <row r="2988" spans="1:4" x14ac:dyDescent="0.2">
      <c r="A2988" t="s">
        <v>6814</v>
      </c>
      <c r="B2988" t="s">
        <v>6815</v>
      </c>
      <c r="C2988" t="s">
        <v>190</v>
      </c>
      <c r="D2988" t="s">
        <v>191</v>
      </c>
    </row>
    <row r="2989" spans="1:4" x14ac:dyDescent="0.2">
      <c r="A2989" t="s">
        <v>6816</v>
      </c>
      <c r="B2989" t="s">
        <v>6817</v>
      </c>
      <c r="C2989" t="s">
        <v>6818</v>
      </c>
      <c r="D2989" t="s">
        <v>195</v>
      </c>
    </row>
    <row r="2990" spans="1:4" x14ac:dyDescent="0.2">
      <c r="A2990" t="s">
        <v>6819</v>
      </c>
      <c r="B2990" t="s">
        <v>6820</v>
      </c>
      <c r="C2990" t="s">
        <v>190</v>
      </c>
      <c r="D2990" t="s">
        <v>191</v>
      </c>
    </row>
    <row r="2991" spans="1:4" x14ac:dyDescent="0.2">
      <c r="A2991" t="s">
        <v>6821</v>
      </c>
      <c r="B2991" t="s">
        <v>6822</v>
      </c>
      <c r="C2991" t="s">
        <v>6823</v>
      </c>
      <c r="D2991" t="s">
        <v>187</v>
      </c>
    </row>
    <row r="2992" spans="1:4" x14ac:dyDescent="0.2">
      <c r="A2992" t="s">
        <v>6824</v>
      </c>
      <c r="B2992" t="s">
        <v>6825</v>
      </c>
      <c r="C2992" t="s">
        <v>6826</v>
      </c>
      <c r="D2992" t="s">
        <v>187</v>
      </c>
    </row>
    <row r="2993" spans="1:4" x14ac:dyDescent="0.2">
      <c r="A2993" t="s">
        <v>6827</v>
      </c>
      <c r="B2993" t="s">
        <v>6828</v>
      </c>
      <c r="C2993" t="s">
        <v>6829</v>
      </c>
      <c r="D2993" t="s">
        <v>195</v>
      </c>
    </row>
    <row r="2994" spans="1:4" x14ac:dyDescent="0.2">
      <c r="A2994" t="s">
        <v>6830</v>
      </c>
      <c r="B2994" t="s">
        <v>6831</v>
      </c>
      <c r="C2994" t="s">
        <v>190</v>
      </c>
      <c r="D2994" t="s">
        <v>191</v>
      </c>
    </row>
    <row r="2995" spans="1:4" x14ac:dyDescent="0.2">
      <c r="A2995" t="s">
        <v>6832</v>
      </c>
      <c r="B2995" t="s">
        <v>6833</v>
      </c>
      <c r="C2995" t="s">
        <v>190</v>
      </c>
      <c r="D2995" t="s">
        <v>191</v>
      </c>
    </row>
    <row r="2996" spans="1:4" x14ac:dyDescent="0.2">
      <c r="A2996" t="s">
        <v>6832</v>
      </c>
      <c r="B2996" t="s">
        <v>6834</v>
      </c>
      <c r="C2996" t="s">
        <v>190</v>
      </c>
      <c r="D2996" t="s">
        <v>191</v>
      </c>
    </row>
    <row r="2997" spans="1:4" x14ac:dyDescent="0.2">
      <c r="A2997" t="s">
        <v>6835</v>
      </c>
      <c r="B2997" t="s">
        <v>6836</v>
      </c>
      <c r="C2997" t="s">
        <v>190</v>
      </c>
      <c r="D2997" t="s">
        <v>191</v>
      </c>
    </row>
    <row r="2998" spans="1:4" x14ac:dyDescent="0.2">
      <c r="A2998" t="s">
        <v>6837</v>
      </c>
      <c r="B2998" t="s">
        <v>6838</v>
      </c>
      <c r="C2998" t="s">
        <v>6839</v>
      </c>
      <c r="D2998" t="s">
        <v>195</v>
      </c>
    </row>
    <row r="2999" spans="1:4" x14ac:dyDescent="0.2">
      <c r="A2999" t="s">
        <v>6840</v>
      </c>
      <c r="B2999" t="s">
        <v>6841</v>
      </c>
      <c r="C2999" t="s">
        <v>190</v>
      </c>
      <c r="D2999" t="s">
        <v>191</v>
      </c>
    </row>
    <row r="3000" spans="1:4" x14ac:dyDescent="0.2">
      <c r="A3000" t="s">
        <v>6842</v>
      </c>
      <c r="B3000" t="s">
        <v>6843</v>
      </c>
      <c r="C3000" t="s">
        <v>6844</v>
      </c>
      <c r="D3000" t="s">
        <v>195</v>
      </c>
    </row>
    <row r="3001" spans="1:4" x14ac:dyDescent="0.2">
      <c r="A3001" t="s">
        <v>6845</v>
      </c>
      <c r="B3001" t="s">
        <v>6846</v>
      </c>
      <c r="C3001" t="s">
        <v>190</v>
      </c>
      <c r="D3001" t="s">
        <v>191</v>
      </c>
    </row>
    <row r="3002" spans="1:4" x14ac:dyDescent="0.2">
      <c r="A3002" t="s">
        <v>6847</v>
      </c>
      <c r="B3002" t="s">
        <v>6848</v>
      </c>
      <c r="C3002" t="s">
        <v>190</v>
      </c>
      <c r="D3002" t="s">
        <v>191</v>
      </c>
    </row>
    <row r="3003" spans="1:4" x14ac:dyDescent="0.2">
      <c r="A3003" t="s">
        <v>6849</v>
      </c>
      <c r="B3003" t="s">
        <v>6850</v>
      </c>
      <c r="C3003" t="s">
        <v>190</v>
      </c>
      <c r="D3003" t="s">
        <v>191</v>
      </c>
    </row>
    <row r="3004" spans="1:4" x14ac:dyDescent="0.2">
      <c r="A3004" t="s">
        <v>6851</v>
      </c>
      <c r="B3004" t="s">
        <v>6852</v>
      </c>
      <c r="C3004" t="s">
        <v>6853</v>
      </c>
      <c r="D3004" t="s">
        <v>195</v>
      </c>
    </row>
    <row r="3005" spans="1:4" x14ac:dyDescent="0.2">
      <c r="A3005" t="s">
        <v>6854</v>
      </c>
      <c r="B3005" t="s">
        <v>6855</v>
      </c>
      <c r="C3005" t="s">
        <v>6856</v>
      </c>
      <c r="D3005" t="s">
        <v>195</v>
      </c>
    </row>
    <row r="3006" spans="1:4" x14ac:dyDescent="0.2">
      <c r="A3006" t="s">
        <v>6857</v>
      </c>
      <c r="B3006" t="s">
        <v>6858</v>
      </c>
      <c r="C3006" t="s">
        <v>190</v>
      </c>
      <c r="D3006" t="s">
        <v>191</v>
      </c>
    </row>
    <row r="3007" spans="1:4" x14ac:dyDescent="0.2">
      <c r="A3007" t="s">
        <v>6859</v>
      </c>
      <c r="B3007" t="s">
        <v>6860</v>
      </c>
      <c r="C3007" t="s">
        <v>6861</v>
      </c>
      <c r="D3007" t="s">
        <v>195</v>
      </c>
    </row>
    <row r="3008" spans="1:4" x14ac:dyDescent="0.2">
      <c r="A3008" t="s">
        <v>6862</v>
      </c>
      <c r="B3008" t="s">
        <v>6863</v>
      </c>
      <c r="C3008" t="s">
        <v>6864</v>
      </c>
      <c r="D3008" t="s">
        <v>187</v>
      </c>
    </row>
    <row r="3009" spans="1:4" x14ac:dyDescent="0.2">
      <c r="A3009" t="s">
        <v>6865</v>
      </c>
      <c r="B3009" t="s">
        <v>6866</v>
      </c>
      <c r="C3009" t="s">
        <v>190</v>
      </c>
      <c r="D3009" t="s">
        <v>191</v>
      </c>
    </row>
    <row r="3010" spans="1:4" x14ac:dyDescent="0.2">
      <c r="A3010" t="s">
        <v>6865</v>
      </c>
      <c r="B3010" t="s">
        <v>6867</v>
      </c>
      <c r="C3010" t="s">
        <v>190</v>
      </c>
      <c r="D3010" t="s">
        <v>6868</v>
      </c>
    </row>
    <row r="3011" spans="1:4" x14ac:dyDescent="0.2">
      <c r="A3011" t="s">
        <v>6869</v>
      </c>
      <c r="B3011" t="s">
        <v>6870</v>
      </c>
      <c r="C3011" t="s">
        <v>190</v>
      </c>
      <c r="D3011" t="s">
        <v>191</v>
      </c>
    </row>
    <row r="3012" spans="1:4" x14ac:dyDescent="0.2">
      <c r="A3012" t="s">
        <v>6871</v>
      </c>
      <c r="B3012" t="s">
        <v>6872</v>
      </c>
      <c r="C3012" t="s">
        <v>6873</v>
      </c>
      <c r="D3012" t="s">
        <v>195</v>
      </c>
    </row>
    <row r="3013" spans="1:4" x14ac:dyDescent="0.2">
      <c r="A3013" t="s">
        <v>6874</v>
      </c>
      <c r="B3013" t="s">
        <v>6875</v>
      </c>
      <c r="C3013" t="s">
        <v>190</v>
      </c>
      <c r="D3013" t="s">
        <v>191</v>
      </c>
    </row>
    <row r="3014" spans="1:4" x14ac:dyDescent="0.2">
      <c r="A3014" t="s">
        <v>6876</v>
      </c>
      <c r="B3014" t="s">
        <v>6877</v>
      </c>
      <c r="C3014" t="s">
        <v>190</v>
      </c>
      <c r="D3014" t="s">
        <v>191</v>
      </c>
    </row>
    <row r="3015" spans="1:4" x14ac:dyDescent="0.2">
      <c r="A3015" t="s">
        <v>6878</v>
      </c>
      <c r="B3015" t="s">
        <v>6879</v>
      </c>
      <c r="C3015" t="s">
        <v>6880</v>
      </c>
      <c r="D3015" t="s">
        <v>187</v>
      </c>
    </row>
    <row r="3016" spans="1:4" x14ac:dyDescent="0.2">
      <c r="A3016" t="s">
        <v>6881</v>
      </c>
      <c r="B3016" t="s">
        <v>6882</v>
      </c>
      <c r="C3016" t="s">
        <v>6883</v>
      </c>
      <c r="D3016" t="s">
        <v>195</v>
      </c>
    </row>
    <row r="3017" spans="1:4" x14ac:dyDescent="0.2">
      <c r="A3017" t="s">
        <v>6884</v>
      </c>
      <c r="B3017" t="s">
        <v>6885</v>
      </c>
      <c r="C3017" t="s">
        <v>6886</v>
      </c>
      <c r="D3017" t="s">
        <v>187</v>
      </c>
    </row>
    <row r="3018" spans="1:4" x14ac:dyDescent="0.2">
      <c r="A3018" t="s">
        <v>6887</v>
      </c>
      <c r="B3018" t="s">
        <v>6888</v>
      </c>
      <c r="C3018" t="s">
        <v>190</v>
      </c>
      <c r="D3018" t="s">
        <v>191</v>
      </c>
    </row>
    <row r="3019" spans="1:4" x14ac:dyDescent="0.2">
      <c r="A3019" t="s">
        <v>6889</v>
      </c>
      <c r="B3019" t="s">
        <v>6890</v>
      </c>
      <c r="C3019" t="s">
        <v>190</v>
      </c>
      <c r="D3019" t="s">
        <v>191</v>
      </c>
    </row>
    <row r="3020" spans="1:4" x14ac:dyDescent="0.2">
      <c r="A3020" t="s">
        <v>6891</v>
      </c>
      <c r="B3020" t="s">
        <v>6892</v>
      </c>
      <c r="C3020" t="s">
        <v>6893</v>
      </c>
      <c r="D3020" t="s">
        <v>195</v>
      </c>
    </row>
    <row r="3021" spans="1:4" x14ac:dyDescent="0.2">
      <c r="A3021" t="s">
        <v>6894</v>
      </c>
      <c r="B3021" t="s">
        <v>6895</v>
      </c>
      <c r="C3021" t="s">
        <v>6896</v>
      </c>
      <c r="D3021" t="s">
        <v>195</v>
      </c>
    </row>
    <row r="3022" spans="1:4" x14ac:dyDescent="0.2">
      <c r="A3022" t="s">
        <v>6897</v>
      </c>
      <c r="B3022" t="s">
        <v>6898</v>
      </c>
      <c r="C3022" t="s">
        <v>190</v>
      </c>
      <c r="D3022" t="s">
        <v>280</v>
      </c>
    </row>
    <row r="3023" spans="1:4" x14ac:dyDescent="0.2">
      <c r="A3023" t="s">
        <v>6899</v>
      </c>
      <c r="B3023" t="s">
        <v>6900</v>
      </c>
      <c r="C3023" t="s">
        <v>190</v>
      </c>
      <c r="D3023" t="s">
        <v>191</v>
      </c>
    </row>
    <row r="3024" spans="1:4" x14ac:dyDescent="0.2">
      <c r="A3024" t="s">
        <v>6901</v>
      </c>
      <c r="B3024" t="s">
        <v>6902</v>
      </c>
      <c r="C3024" t="s">
        <v>6903</v>
      </c>
      <c r="D3024" t="s">
        <v>195</v>
      </c>
    </row>
    <row r="3025" spans="1:4" x14ac:dyDescent="0.2">
      <c r="A3025" t="s">
        <v>6904</v>
      </c>
      <c r="B3025" t="s">
        <v>6905</v>
      </c>
      <c r="C3025" t="s">
        <v>6906</v>
      </c>
      <c r="D3025" t="s">
        <v>195</v>
      </c>
    </row>
    <row r="3026" spans="1:4" x14ac:dyDescent="0.2">
      <c r="A3026" t="s">
        <v>6907</v>
      </c>
      <c r="B3026" t="s">
        <v>6908</v>
      </c>
      <c r="C3026" t="s">
        <v>190</v>
      </c>
      <c r="D3026" t="s">
        <v>191</v>
      </c>
    </row>
    <row r="3027" spans="1:4" x14ac:dyDescent="0.2">
      <c r="A3027" t="s">
        <v>6909</v>
      </c>
      <c r="B3027" t="s">
        <v>6910</v>
      </c>
      <c r="C3027" t="s">
        <v>190</v>
      </c>
      <c r="D3027" t="s">
        <v>191</v>
      </c>
    </row>
    <row r="3028" spans="1:4" x14ac:dyDescent="0.2">
      <c r="A3028" t="s">
        <v>6911</v>
      </c>
      <c r="B3028" t="s">
        <v>6912</v>
      </c>
      <c r="C3028" t="s">
        <v>190</v>
      </c>
      <c r="D3028" t="s">
        <v>191</v>
      </c>
    </row>
    <row r="3029" spans="1:4" x14ac:dyDescent="0.2">
      <c r="A3029" t="s">
        <v>6913</v>
      </c>
      <c r="B3029" t="s">
        <v>6914</v>
      </c>
      <c r="C3029" t="s">
        <v>190</v>
      </c>
      <c r="D3029" t="s">
        <v>191</v>
      </c>
    </row>
    <row r="3030" spans="1:4" x14ac:dyDescent="0.2">
      <c r="A3030" t="s">
        <v>6915</v>
      </c>
      <c r="B3030" t="s">
        <v>6916</v>
      </c>
      <c r="C3030" t="s">
        <v>190</v>
      </c>
      <c r="D3030" t="s">
        <v>191</v>
      </c>
    </row>
    <row r="3031" spans="1:4" x14ac:dyDescent="0.2">
      <c r="A3031" t="s">
        <v>6917</v>
      </c>
      <c r="B3031" t="s">
        <v>6918</v>
      </c>
      <c r="C3031" t="s">
        <v>190</v>
      </c>
      <c r="D3031" t="s">
        <v>191</v>
      </c>
    </row>
    <row r="3032" spans="1:4" x14ac:dyDescent="0.2">
      <c r="A3032" t="s">
        <v>6919</v>
      </c>
      <c r="B3032" t="s">
        <v>6920</v>
      </c>
      <c r="C3032" t="s">
        <v>190</v>
      </c>
      <c r="D3032" t="s">
        <v>6921</v>
      </c>
    </row>
    <row r="3033" spans="1:4" x14ac:dyDescent="0.2">
      <c r="A3033" t="s">
        <v>6922</v>
      </c>
      <c r="B3033" t="s">
        <v>6923</v>
      </c>
      <c r="C3033" t="s">
        <v>190</v>
      </c>
      <c r="D3033" t="s">
        <v>191</v>
      </c>
    </row>
    <row r="3034" spans="1:4" x14ac:dyDescent="0.2">
      <c r="A3034" t="s">
        <v>6924</v>
      </c>
      <c r="B3034" t="s">
        <v>6925</v>
      </c>
      <c r="C3034" t="s">
        <v>6926</v>
      </c>
      <c r="D3034" t="s">
        <v>187</v>
      </c>
    </row>
    <row r="3035" spans="1:4" x14ac:dyDescent="0.2">
      <c r="A3035" t="s">
        <v>6927</v>
      </c>
      <c r="B3035" t="s">
        <v>6928</v>
      </c>
      <c r="C3035" t="s">
        <v>6929</v>
      </c>
      <c r="D3035" t="s">
        <v>195</v>
      </c>
    </row>
    <row r="3036" spans="1:4" x14ac:dyDescent="0.2">
      <c r="A3036" t="s">
        <v>6930</v>
      </c>
      <c r="B3036" t="s">
        <v>6931</v>
      </c>
      <c r="C3036" t="s">
        <v>190</v>
      </c>
      <c r="D3036" t="s">
        <v>191</v>
      </c>
    </row>
    <row r="3037" spans="1:4" x14ac:dyDescent="0.2">
      <c r="A3037" t="s">
        <v>6932</v>
      </c>
      <c r="B3037" t="s">
        <v>6933</v>
      </c>
      <c r="C3037" t="s">
        <v>190</v>
      </c>
      <c r="D3037" t="s">
        <v>191</v>
      </c>
    </row>
    <row r="3038" spans="1:4" x14ac:dyDescent="0.2">
      <c r="A3038" t="s">
        <v>6934</v>
      </c>
      <c r="B3038" t="s">
        <v>6935</v>
      </c>
      <c r="C3038" t="s">
        <v>6936</v>
      </c>
      <c r="D3038" t="s">
        <v>187</v>
      </c>
    </row>
    <row r="3039" spans="1:4" x14ac:dyDescent="0.2">
      <c r="A3039" t="s">
        <v>6937</v>
      </c>
      <c r="B3039" t="s">
        <v>6938</v>
      </c>
      <c r="C3039" t="s">
        <v>6939</v>
      </c>
      <c r="D3039" t="s">
        <v>195</v>
      </c>
    </row>
    <row r="3040" spans="1:4" x14ac:dyDescent="0.2">
      <c r="A3040" t="s">
        <v>6940</v>
      </c>
      <c r="B3040" t="s">
        <v>6941</v>
      </c>
      <c r="C3040" t="s">
        <v>190</v>
      </c>
      <c r="D3040" t="s">
        <v>191</v>
      </c>
    </row>
    <row r="3041" spans="1:4" x14ac:dyDescent="0.2">
      <c r="A3041" t="s">
        <v>6940</v>
      </c>
      <c r="B3041" t="s">
        <v>6942</v>
      </c>
      <c r="C3041" t="s">
        <v>6943</v>
      </c>
      <c r="D3041" t="s">
        <v>195</v>
      </c>
    </row>
    <row r="3042" spans="1:4" x14ac:dyDescent="0.2">
      <c r="A3042" t="s">
        <v>6944</v>
      </c>
      <c r="B3042" t="s">
        <v>6945</v>
      </c>
      <c r="C3042" t="s">
        <v>190</v>
      </c>
      <c r="D3042" t="s">
        <v>191</v>
      </c>
    </row>
    <row r="3043" spans="1:4" x14ac:dyDescent="0.2">
      <c r="A3043" t="s">
        <v>6946</v>
      </c>
      <c r="B3043" t="s">
        <v>6947</v>
      </c>
      <c r="C3043" t="s">
        <v>6948</v>
      </c>
      <c r="D3043" t="s">
        <v>195</v>
      </c>
    </row>
    <row r="3044" spans="1:4" x14ac:dyDescent="0.2">
      <c r="A3044" t="s">
        <v>6949</v>
      </c>
      <c r="B3044" t="s">
        <v>6950</v>
      </c>
      <c r="C3044" t="s">
        <v>6951</v>
      </c>
      <c r="D3044" t="s">
        <v>187</v>
      </c>
    </row>
    <row r="3045" spans="1:4" x14ac:dyDescent="0.2">
      <c r="A3045" t="s">
        <v>6952</v>
      </c>
      <c r="B3045" t="s">
        <v>6953</v>
      </c>
      <c r="C3045" t="s">
        <v>6954</v>
      </c>
      <c r="D3045" t="s">
        <v>195</v>
      </c>
    </row>
    <row r="3046" spans="1:4" x14ac:dyDescent="0.2">
      <c r="A3046" t="s">
        <v>6955</v>
      </c>
      <c r="B3046" t="s">
        <v>6956</v>
      </c>
      <c r="C3046" t="s">
        <v>190</v>
      </c>
      <c r="D3046" t="s">
        <v>191</v>
      </c>
    </row>
    <row r="3047" spans="1:4" x14ac:dyDescent="0.2">
      <c r="A3047" t="s">
        <v>6957</v>
      </c>
      <c r="B3047" t="s">
        <v>6958</v>
      </c>
      <c r="C3047" t="s">
        <v>6959</v>
      </c>
      <c r="D3047" t="s">
        <v>195</v>
      </c>
    </row>
    <row r="3048" spans="1:4" x14ac:dyDescent="0.2">
      <c r="A3048" t="s">
        <v>6960</v>
      </c>
      <c r="B3048" t="s">
        <v>6961</v>
      </c>
      <c r="C3048" t="s">
        <v>190</v>
      </c>
      <c r="D3048" t="s">
        <v>191</v>
      </c>
    </row>
    <row r="3049" spans="1:4" x14ac:dyDescent="0.2">
      <c r="A3049" t="s">
        <v>6962</v>
      </c>
      <c r="B3049" t="s">
        <v>6963</v>
      </c>
      <c r="C3049" t="s">
        <v>190</v>
      </c>
      <c r="D3049" t="s">
        <v>191</v>
      </c>
    </row>
    <row r="3050" spans="1:4" x14ac:dyDescent="0.2">
      <c r="A3050" t="s">
        <v>6964</v>
      </c>
      <c r="B3050" t="s">
        <v>6965</v>
      </c>
      <c r="C3050" t="s">
        <v>190</v>
      </c>
      <c r="D3050" t="s">
        <v>191</v>
      </c>
    </row>
    <row r="3051" spans="1:4" x14ac:dyDescent="0.2">
      <c r="A3051" t="s">
        <v>6966</v>
      </c>
      <c r="B3051" t="s">
        <v>6967</v>
      </c>
      <c r="C3051" t="s">
        <v>190</v>
      </c>
      <c r="D3051" t="s">
        <v>191</v>
      </c>
    </row>
    <row r="3052" spans="1:4" x14ac:dyDescent="0.2">
      <c r="A3052" t="s">
        <v>6968</v>
      </c>
      <c r="B3052" t="s">
        <v>6969</v>
      </c>
      <c r="C3052" t="s">
        <v>6970</v>
      </c>
      <c r="D3052" t="s">
        <v>195</v>
      </c>
    </row>
    <row r="3053" spans="1:4" x14ac:dyDescent="0.2">
      <c r="A3053" t="s">
        <v>6971</v>
      </c>
      <c r="B3053" t="s">
        <v>6972</v>
      </c>
      <c r="C3053" t="s">
        <v>6973</v>
      </c>
      <c r="D3053" t="s">
        <v>195</v>
      </c>
    </row>
    <row r="3054" spans="1:4" x14ac:dyDescent="0.2">
      <c r="A3054" t="s">
        <v>6974</v>
      </c>
      <c r="B3054" t="s">
        <v>6975</v>
      </c>
      <c r="C3054" t="s">
        <v>6976</v>
      </c>
      <c r="D3054" t="s">
        <v>195</v>
      </c>
    </row>
    <row r="3055" spans="1:4" x14ac:dyDescent="0.2">
      <c r="A3055" t="s">
        <v>6974</v>
      </c>
      <c r="B3055" t="s">
        <v>6977</v>
      </c>
      <c r="C3055" t="s">
        <v>6978</v>
      </c>
      <c r="D3055" t="s">
        <v>195</v>
      </c>
    </row>
    <row r="3056" spans="1:4" x14ac:dyDescent="0.2">
      <c r="A3056" t="s">
        <v>6979</v>
      </c>
      <c r="B3056" t="s">
        <v>6980</v>
      </c>
      <c r="C3056" t="s">
        <v>190</v>
      </c>
      <c r="D3056" t="s">
        <v>191</v>
      </c>
    </row>
    <row r="3057" spans="1:4" x14ac:dyDescent="0.2">
      <c r="A3057" t="s">
        <v>6981</v>
      </c>
      <c r="B3057" t="s">
        <v>6982</v>
      </c>
      <c r="C3057" t="s">
        <v>190</v>
      </c>
      <c r="D3057" t="s">
        <v>191</v>
      </c>
    </row>
    <row r="3058" spans="1:4" x14ac:dyDescent="0.2">
      <c r="A3058" t="s">
        <v>6983</v>
      </c>
      <c r="B3058" t="s">
        <v>6984</v>
      </c>
      <c r="C3058" t="s">
        <v>6985</v>
      </c>
      <c r="D3058" t="s">
        <v>195</v>
      </c>
    </row>
    <row r="3059" spans="1:4" x14ac:dyDescent="0.2">
      <c r="A3059" t="s">
        <v>6986</v>
      </c>
      <c r="B3059" t="s">
        <v>6987</v>
      </c>
      <c r="C3059" t="s">
        <v>190</v>
      </c>
      <c r="D3059" t="s">
        <v>191</v>
      </c>
    </row>
    <row r="3060" spans="1:4" x14ac:dyDescent="0.2">
      <c r="A3060" t="s">
        <v>6988</v>
      </c>
      <c r="B3060" t="s">
        <v>6989</v>
      </c>
      <c r="C3060" t="s">
        <v>190</v>
      </c>
      <c r="D3060" t="s">
        <v>191</v>
      </c>
    </row>
    <row r="3061" spans="1:4" x14ac:dyDescent="0.2">
      <c r="A3061" t="s">
        <v>6990</v>
      </c>
      <c r="B3061" t="s">
        <v>6991</v>
      </c>
      <c r="C3061" t="s">
        <v>6992</v>
      </c>
      <c r="D3061" t="s">
        <v>187</v>
      </c>
    </row>
    <row r="3062" spans="1:4" x14ac:dyDescent="0.2">
      <c r="A3062" t="s">
        <v>6993</v>
      </c>
      <c r="B3062" t="s">
        <v>6994</v>
      </c>
      <c r="C3062" t="s">
        <v>190</v>
      </c>
      <c r="D3062" t="s">
        <v>191</v>
      </c>
    </row>
    <row r="3063" spans="1:4" x14ac:dyDescent="0.2">
      <c r="A3063" t="s">
        <v>6995</v>
      </c>
      <c r="B3063" t="s">
        <v>6996</v>
      </c>
      <c r="C3063" t="s">
        <v>190</v>
      </c>
      <c r="D3063" t="s">
        <v>191</v>
      </c>
    </row>
    <row r="3064" spans="1:4" x14ac:dyDescent="0.2">
      <c r="A3064" t="s">
        <v>6997</v>
      </c>
      <c r="B3064" t="s">
        <v>6998</v>
      </c>
      <c r="C3064" t="s">
        <v>6999</v>
      </c>
      <c r="D3064" t="s">
        <v>187</v>
      </c>
    </row>
    <row r="3065" spans="1:4" x14ac:dyDescent="0.2">
      <c r="A3065" t="s">
        <v>7000</v>
      </c>
      <c r="B3065" t="s">
        <v>6994</v>
      </c>
      <c r="C3065" t="s">
        <v>190</v>
      </c>
      <c r="D3065" t="s">
        <v>7001</v>
      </c>
    </row>
    <row r="3066" spans="1:4" x14ac:dyDescent="0.2">
      <c r="A3066" t="s">
        <v>7000</v>
      </c>
      <c r="B3066" t="s">
        <v>7002</v>
      </c>
      <c r="C3066" t="s">
        <v>190</v>
      </c>
      <c r="D3066" t="s">
        <v>191</v>
      </c>
    </row>
    <row r="3067" spans="1:4" x14ac:dyDescent="0.2">
      <c r="A3067" t="s">
        <v>7003</v>
      </c>
      <c r="B3067" t="s">
        <v>7004</v>
      </c>
      <c r="C3067" t="s">
        <v>7005</v>
      </c>
      <c r="D3067" t="s">
        <v>195</v>
      </c>
    </row>
    <row r="3068" spans="1:4" x14ac:dyDescent="0.2">
      <c r="A3068" t="s">
        <v>7006</v>
      </c>
      <c r="B3068" t="s">
        <v>7007</v>
      </c>
      <c r="C3068" t="s">
        <v>190</v>
      </c>
      <c r="D3068" t="s">
        <v>191</v>
      </c>
    </row>
    <row r="3069" spans="1:4" x14ac:dyDescent="0.2">
      <c r="A3069" t="s">
        <v>7008</v>
      </c>
      <c r="B3069" t="s">
        <v>7009</v>
      </c>
      <c r="C3069" t="s">
        <v>190</v>
      </c>
      <c r="D3069" t="s">
        <v>191</v>
      </c>
    </row>
    <row r="3070" spans="1:4" x14ac:dyDescent="0.2">
      <c r="A3070" t="s">
        <v>7010</v>
      </c>
      <c r="B3070" t="s">
        <v>7011</v>
      </c>
      <c r="C3070" t="s">
        <v>190</v>
      </c>
      <c r="D3070" t="s">
        <v>191</v>
      </c>
    </row>
    <row r="3071" spans="1:4" x14ac:dyDescent="0.2">
      <c r="A3071" t="s">
        <v>7012</v>
      </c>
      <c r="B3071" t="s">
        <v>7013</v>
      </c>
      <c r="C3071" t="s">
        <v>190</v>
      </c>
      <c r="D3071" t="s">
        <v>191</v>
      </c>
    </row>
    <row r="3072" spans="1:4" x14ac:dyDescent="0.2">
      <c r="A3072" t="s">
        <v>7014</v>
      </c>
      <c r="B3072" t="s">
        <v>7015</v>
      </c>
      <c r="C3072" t="s">
        <v>7016</v>
      </c>
      <c r="D3072" t="s">
        <v>195</v>
      </c>
    </row>
    <row r="3073" spans="1:4" x14ac:dyDescent="0.2">
      <c r="A3073" t="s">
        <v>7017</v>
      </c>
      <c r="B3073" t="s">
        <v>7018</v>
      </c>
      <c r="C3073" t="s">
        <v>190</v>
      </c>
      <c r="D3073" t="s">
        <v>191</v>
      </c>
    </row>
    <row r="3074" spans="1:4" x14ac:dyDescent="0.2">
      <c r="A3074" t="s">
        <v>7019</v>
      </c>
      <c r="B3074" t="s">
        <v>7020</v>
      </c>
      <c r="C3074" t="s">
        <v>7021</v>
      </c>
      <c r="D3074" t="s">
        <v>195</v>
      </c>
    </row>
    <row r="3075" spans="1:4" x14ac:dyDescent="0.2">
      <c r="A3075" t="s">
        <v>7022</v>
      </c>
      <c r="B3075" t="s">
        <v>7023</v>
      </c>
      <c r="C3075" t="s">
        <v>190</v>
      </c>
      <c r="D3075" t="s">
        <v>191</v>
      </c>
    </row>
    <row r="3076" spans="1:4" x14ac:dyDescent="0.2">
      <c r="A3076" t="s">
        <v>7024</v>
      </c>
      <c r="B3076" t="s">
        <v>7025</v>
      </c>
      <c r="C3076" t="s">
        <v>190</v>
      </c>
      <c r="D3076" t="s">
        <v>7026</v>
      </c>
    </row>
    <row r="3077" spans="1:4" x14ac:dyDescent="0.2">
      <c r="A3077" t="s">
        <v>7024</v>
      </c>
      <c r="B3077" t="s">
        <v>7027</v>
      </c>
      <c r="C3077" t="s">
        <v>190</v>
      </c>
      <c r="D3077" t="s">
        <v>7028</v>
      </c>
    </row>
    <row r="3078" spans="1:4" x14ac:dyDescent="0.2">
      <c r="A3078" t="s">
        <v>7029</v>
      </c>
      <c r="B3078" t="s">
        <v>7030</v>
      </c>
      <c r="C3078" t="s">
        <v>190</v>
      </c>
      <c r="D3078" t="s">
        <v>191</v>
      </c>
    </row>
    <row r="3079" spans="1:4" x14ac:dyDescent="0.2">
      <c r="A3079" t="s">
        <v>7031</v>
      </c>
      <c r="B3079" t="s">
        <v>7032</v>
      </c>
      <c r="C3079" t="s">
        <v>190</v>
      </c>
      <c r="D3079" t="s">
        <v>191</v>
      </c>
    </row>
    <row r="3080" spans="1:4" x14ac:dyDescent="0.2">
      <c r="A3080" t="s">
        <v>7033</v>
      </c>
      <c r="B3080" t="s">
        <v>7034</v>
      </c>
      <c r="C3080" t="s">
        <v>190</v>
      </c>
      <c r="D3080" t="s">
        <v>7035</v>
      </c>
    </row>
    <row r="3081" spans="1:4" x14ac:dyDescent="0.2">
      <c r="A3081" t="s">
        <v>7033</v>
      </c>
      <c r="B3081" t="s">
        <v>7036</v>
      </c>
      <c r="C3081" t="s">
        <v>190</v>
      </c>
      <c r="D3081" t="s">
        <v>191</v>
      </c>
    </row>
    <row r="3082" spans="1:4" x14ac:dyDescent="0.2">
      <c r="A3082" t="s">
        <v>7037</v>
      </c>
      <c r="B3082" t="s">
        <v>7038</v>
      </c>
      <c r="C3082" t="s">
        <v>190</v>
      </c>
      <c r="D3082" t="s">
        <v>191</v>
      </c>
    </row>
    <row r="3083" spans="1:4" x14ac:dyDescent="0.2">
      <c r="A3083" t="s">
        <v>7039</v>
      </c>
      <c r="B3083" t="s">
        <v>7040</v>
      </c>
      <c r="C3083" t="s">
        <v>7041</v>
      </c>
      <c r="D3083" t="s">
        <v>195</v>
      </c>
    </row>
    <row r="3084" spans="1:4" x14ac:dyDescent="0.2">
      <c r="A3084" t="s">
        <v>7042</v>
      </c>
      <c r="B3084" t="s">
        <v>7043</v>
      </c>
      <c r="C3084" t="s">
        <v>190</v>
      </c>
      <c r="D3084" t="s">
        <v>191</v>
      </c>
    </row>
    <row r="3085" spans="1:4" x14ac:dyDescent="0.2">
      <c r="A3085" t="s">
        <v>7044</v>
      </c>
      <c r="B3085" t="s">
        <v>7045</v>
      </c>
      <c r="C3085" t="s">
        <v>190</v>
      </c>
      <c r="D3085" t="s">
        <v>191</v>
      </c>
    </row>
    <row r="3086" spans="1:4" x14ac:dyDescent="0.2">
      <c r="A3086" t="s">
        <v>7046</v>
      </c>
      <c r="B3086" t="s">
        <v>7047</v>
      </c>
      <c r="C3086" t="s">
        <v>190</v>
      </c>
      <c r="D3086" t="s">
        <v>7048</v>
      </c>
    </row>
    <row r="3087" spans="1:4" x14ac:dyDescent="0.2">
      <c r="A3087" t="s">
        <v>7046</v>
      </c>
      <c r="B3087" t="s">
        <v>7049</v>
      </c>
      <c r="C3087" t="s">
        <v>190</v>
      </c>
      <c r="D3087" t="s">
        <v>191</v>
      </c>
    </row>
    <row r="3088" spans="1:4" x14ac:dyDescent="0.2">
      <c r="A3088" t="s">
        <v>7046</v>
      </c>
      <c r="B3088" t="s">
        <v>7050</v>
      </c>
      <c r="C3088" t="s">
        <v>190</v>
      </c>
      <c r="D3088" t="s">
        <v>191</v>
      </c>
    </row>
    <row r="3089" spans="1:4" x14ac:dyDescent="0.2">
      <c r="A3089" t="s">
        <v>7046</v>
      </c>
      <c r="B3089" t="s">
        <v>7051</v>
      </c>
      <c r="C3089" t="s">
        <v>190</v>
      </c>
      <c r="D3089" t="s">
        <v>191</v>
      </c>
    </row>
    <row r="3090" spans="1:4" x14ac:dyDescent="0.2">
      <c r="A3090" t="s">
        <v>7052</v>
      </c>
      <c r="B3090" t="s">
        <v>7047</v>
      </c>
      <c r="C3090" t="s">
        <v>190</v>
      </c>
      <c r="D3090" t="s">
        <v>191</v>
      </c>
    </row>
    <row r="3091" spans="1:4" x14ac:dyDescent="0.2">
      <c r="A3091" t="s">
        <v>7052</v>
      </c>
      <c r="B3091" t="s">
        <v>7053</v>
      </c>
      <c r="C3091" t="s">
        <v>190</v>
      </c>
      <c r="D3091" t="s">
        <v>191</v>
      </c>
    </row>
    <row r="3092" spans="1:4" x14ac:dyDescent="0.2">
      <c r="A3092" t="s">
        <v>7054</v>
      </c>
      <c r="B3092" t="s">
        <v>7047</v>
      </c>
      <c r="C3092" t="s">
        <v>190</v>
      </c>
      <c r="D3092" t="s">
        <v>7048</v>
      </c>
    </row>
    <row r="3093" spans="1:4" x14ac:dyDescent="0.2">
      <c r="A3093" t="s">
        <v>7054</v>
      </c>
      <c r="B3093" t="s">
        <v>7053</v>
      </c>
      <c r="C3093" t="s">
        <v>190</v>
      </c>
      <c r="D3093" t="s">
        <v>7048</v>
      </c>
    </row>
    <row r="3094" spans="1:4" x14ac:dyDescent="0.2">
      <c r="A3094" t="s">
        <v>7055</v>
      </c>
      <c r="B3094" t="s">
        <v>7056</v>
      </c>
      <c r="C3094" t="s">
        <v>190</v>
      </c>
      <c r="D3094" t="s">
        <v>191</v>
      </c>
    </row>
    <row r="3095" spans="1:4" x14ac:dyDescent="0.2">
      <c r="A3095" t="s">
        <v>7057</v>
      </c>
      <c r="B3095" t="s">
        <v>7058</v>
      </c>
      <c r="C3095" t="s">
        <v>190</v>
      </c>
      <c r="D3095" t="s">
        <v>191</v>
      </c>
    </row>
    <row r="3096" spans="1:4" x14ac:dyDescent="0.2">
      <c r="A3096" t="s">
        <v>7059</v>
      </c>
      <c r="B3096" t="s">
        <v>7060</v>
      </c>
      <c r="C3096" t="s">
        <v>7061</v>
      </c>
      <c r="D3096" t="s">
        <v>187</v>
      </c>
    </row>
    <row r="3097" spans="1:4" x14ac:dyDescent="0.2">
      <c r="A3097" t="s">
        <v>7062</v>
      </c>
      <c r="B3097" t="s">
        <v>7063</v>
      </c>
      <c r="C3097" t="s">
        <v>190</v>
      </c>
      <c r="D3097" t="s">
        <v>280</v>
      </c>
    </row>
    <row r="3098" spans="1:4" x14ac:dyDescent="0.2">
      <c r="A3098" t="s">
        <v>7064</v>
      </c>
      <c r="B3098" t="s">
        <v>7065</v>
      </c>
      <c r="C3098" t="s">
        <v>190</v>
      </c>
      <c r="D3098" t="s">
        <v>191</v>
      </c>
    </row>
    <row r="3099" spans="1:4" x14ac:dyDescent="0.2">
      <c r="A3099" t="s">
        <v>7066</v>
      </c>
      <c r="B3099" t="s">
        <v>7067</v>
      </c>
      <c r="C3099" t="s">
        <v>7068</v>
      </c>
      <c r="D3099" t="s">
        <v>195</v>
      </c>
    </row>
    <row r="3100" spans="1:4" x14ac:dyDescent="0.2">
      <c r="A3100" t="s">
        <v>7069</v>
      </c>
      <c r="B3100" t="s">
        <v>7070</v>
      </c>
      <c r="C3100" t="s">
        <v>7071</v>
      </c>
      <c r="D3100" t="s">
        <v>187</v>
      </c>
    </row>
    <row r="3101" spans="1:4" x14ac:dyDescent="0.2">
      <c r="A3101" t="s">
        <v>7072</v>
      </c>
      <c r="B3101" t="s">
        <v>7073</v>
      </c>
      <c r="C3101" t="s">
        <v>7074</v>
      </c>
      <c r="D3101" t="s">
        <v>195</v>
      </c>
    </row>
    <row r="3102" spans="1:4" x14ac:dyDescent="0.2">
      <c r="A3102" t="s">
        <v>7075</v>
      </c>
      <c r="B3102" t="s">
        <v>7076</v>
      </c>
      <c r="C3102" t="s">
        <v>190</v>
      </c>
      <c r="D3102" t="s">
        <v>191</v>
      </c>
    </row>
    <row r="3103" spans="1:4" x14ac:dyDescent="0.2">
      <c r="A3103" t="s">
        <v>7077</v>
      </c>
      <c r="B3103" t="s">
        <v>7078</v>
      </c>
      <c r="C3103" t="s">
        <v>190</v>
      </c>
      <c r="D3103" t="s">
        <v>191</v>
      </c>
    </row>
    <row r="3104" spans="1:4" x14ac:dyDescent="0.2">
      <c r="A3104" t="s">
        <v>7079</v>
      </c>
      <c r="B3104" t="s">
        <v>7080</v>
      </c>
      <c r="C3104" t="s">
        <v>7081</v>
      </c>
      <c r="D3104" t="s">
        <v>187</v>
      </c>
    </row>
    <row r="3105" spans="1:4" x14ac:dyDescent="0.2">
      <c r="A3105" t="s">
        <v>7082</v>
      </c>
      <c r="B3105" t="s">
        <v>7083</v>
      </c>
      <c r="C3105" t="s">
        <v>7084</v>
      </c>
      <c r="D3105" t="s">
        <v>187</v>
      </c>
    </row>
    <row r="3106" spans="1:4" x14ac:dyDescent="0.2">
      <c r="A3106" t="s">
        <v>7085</v>
      </c>
      <c r="B3106" t="s">
        <v>7086</v>
      </c>
      <c r="C3106" t="s">
        <v>190</v>
      </c>
      <c r="D3106" t="s">
        <v>191</v>
      </c>
    </row>
    <row r="3107" spans="1:4" x14ac:dyDescent="0.2">
      <c r="A3107" t="s">
        <v>7087</v>
      </c>
      <c r="B3107" t="s">
        <v>7088</v>
      </c>
      <c r="C3107" t="s">
        <v>7089</v>
      </c>
      <c r="D3107" t="s">
        <v>187</v>
      </c>
    </row>
    <row r="3108" spans="1:4" x14ac:dyDescent="0.2">
      <c r="A3108" t="s">
        <v>7090</v>
      </c>
      <c r="B3108" t="s">
        <v>7091</v>
      </c>
      <c r="C3108" t="s">
        <v>190</v>
      </c>
      <c r="D3108" t="s">
        <v>191</v>
      </c>
    </row>
    <row r="3109" spans="1:4" x14ac:dyDescent="0.2">
      <c r="A3109" t="s">
        <v>7092</v>
      </c>
      <c r="B3109" t="s">
        <v>7093</v>
      </c>
      <c r="C3109" t="s">
        <v>190</v>
      </c>
      <c r="D3109" t="s">
        <v>191</v>
      </c>
    </row>
    <row r="3110" spans="1:4" x14ac:dyDescent="0.2">
      <c r="A3110" t="s">
        <v>7094</v>
      </c>
      <c r="B3110" t="s">
        <v>7095</v>
      </c>
      <c r="C3110" t="s">
        <v>190</v>
      </c>
      <c r="D3110" t="s">
        <v>191</v>
      </c>
    </row>
    <row r="3111" spans="1:4" x14ac:dyDescent="0.2">
      <c r="A3111" t="s">
        <v>7096</v>
      </c>
      <c r="B3111" t="s">
        <v>7097</v>
      </c>
      <c r="C3111" t="s">
        <v>190</v>
      </c>
      <c r="D3111" t="s">
        <v>191</v>
      </c>
    </row>
    <row r="3112" spans="1:4" x14ac:dyDescent="0.2">
      <c r="A3112" t="s">
        <v>7098</v>
      </c>
      <c r="B3112" t="s">
        <v>7099</v>
      </c>
      <c r="C3112" t="s">
        <v>7100</v>
      </c>
      <c r="D3112" t="s">
        <v>187</v>
      </c>
    </row>
    <row r="3113" spans="1:4" x14ac:dyDescent="0.2">
      <c r="A3113" t="s">
        <v>7101</v>
      </c>
      <c r="B3113" t="s">
        <v>7102</v>
      </c>
      <c r="C3113" t="s">
        <v>7103</v>
      </c>
      <c r="D3113" t="s">
        <v>195</v>
      </c>
    </row>
    <row r="3114" spans="1:4" x14ac:dyDescent="0.2">
      <c r="A3114" t="s">
        <v>7104</v>
      </c>
      <c r="B3114" t="s">
        <v>7105</v>
      </c>
      <c r="C3114" t="s">
        <v>190</v>
      </c>
      <c r="D3114" t="s">
        <v>7106</v>
      </c>
    </row>
    <row r="3115" spans="1:4" x14ac:dyDescent="0.2">
      <c r="A3115" t="s">
        <v>7104</v>
      </c>
      <c r="B3115" t="s">
        <v>7107</v>
      </c>
      <c r="C3115" t="s">
        <v>190</v>
      </c>
      <c r="D3115" t="s">
        <v>191</v>
      </c>
    </row>
    <row r="3116" spans="1:4" x14ac:dyDescent="0.2">
      <c r="A3116" t="s">
        <v>7108</v>
      </c>
      <c r="B3116" t="s">
        <v>7109</v>
      </c>
      <c r="C3116" t="s">
        <v>190</v>
      </c>
      <c r="D3116" t="s">
        <v>191</v>
      </c>
    </row>
    <row r="3117" spans="1:4" x14ac:dyDescent="0.2">
      <c r="A3117" t="s">
        <v>7110</v>
      </c>
      <c r="B3117" t="s">
        <v>7111</v>
      </c>
      <c r="C3117" t="s">
        <v>7112</v>
      </c>
      <c r="D3117" t="s">
        <v>195</v>
      </c>
    </row>
    <row r="3118" spans="1:4" x14ac:dyDescent="0.2">
      <c r="A3118" t="s">
        <v>7113</v>
      </c>
      <c r="B3118" t="s">
        <v>7114</v>
      </c>
      <c r="C3118" t="s">
        <v>190</v>
      </c>
      <c r="D3118" t="s">
        <v>191</v>
      </c>
    </row>
    <row r="3119" spans="1:4" x14ac:dyDescent="0.2">
      <c r="A3119" t="s">
        <v>7113</v>
      </c>
      <c r="B3119" t="s">
        <v>7115</v>
      </c>
      <c r="C3119" t="s">
        <v>190</v>
      </c>
      <c r="D3119" t="s">
        <v>7116</v>
      </c>
    </row>
    <row r="3120" spans="1:4" x14ac:dyDescent="0.2">
      <c r="A3120" t="s">
        <v>7117</v>
      </c>
      <c r="B3120" t="s">
        <v>7118</v>
      </c>
      <c r="C3120" t="s">
        <v>7119</v>
      </c>
      <c r="D3120" t="s">
        <v>195</v>
      </c>
    </row>
    <row r="3121" spans="1:4" x14ac:dyDescent="0.2">
      <c r="A3121" t="s">
        <v>7120</v>
      </c>
      <c r="B3121" t="s">
        <v>7121</v>
      </c>
      <c r="C3121" t="s">
        <v>190</v>
      </c>
      <c r="D3121" t="s">
        <v>191</v>
      </c>
    </row>
    <row r="3122" spans="1:4" x14ac:dyDescent="0.2">
      <c r="A3122" t="s">
        <v>7122</v>
      </c>
      <c r="B3122" t="s">
        <v>7123</v>
      </c>
      <c r="C3122" t="s">
        <v>190</v>
      </c>
      <c r="D3122" t="s">
        <v>191</v>
      </c>
    </row>
    <row r="3123" spans="1:4" x14ac:dyDescent="0.2">
      <c r="A3123" t="s">
        <v>7124</v>
      </c>
      <c r="B3123" t="s">
        <v>7125</v>
      </c>
      <c r="C3123" t="s">
        <v>190</v>
      </c>
      <c r="D3123" t="s">
        <v>191</v>
      </c>
    </row>
    <row r="3124" spans="1:4" x14ac:dyDescent="0.2">
      <c r="A3124" t="s">
        <v>7124</v>
      </c>
      <c r="B3124" t="s">
        <v>7126</v>
      </c>
      <c r="C3124" t="s">
        <v>7127</v>
      </c>
      <c r="D3124" t="s">
        <v>187</v>
      </c>
    </row>
    <row r="3125" spans="1:4" x14ac:dyDescent="0.2">
      <c r="A3125" t="s">
        <v>7128</v>
      </c>
      <c r="B3125" t="s">
        <v>7126</v>
      </c>
      <c r="C3125" t="s">
        <v>7127</v>
      </c>
      <c r="D3125" t="s">
        <v>187</v>
      </c>
    </row>
    <row r="3126" spans="1:4" x14ac:dyDescent="0.2">
      <c r="A3126" t="s">
        <v>7129</v>
      </c>
      <c r="B3126" t="s">
        <v>7130</v>
      </c>
      <c r="C3126" t="s">
        <v>7131</v>
      </c>
      <c r="D3126" t="s">
        <v>187</v>
      </c>
    </row>
    <row r="3127" spans="1:4" x14ac:dyDescent="0.2">
      <c r="A3127" t="s">
        <v>7132</v>
      </c>
      <c r="B3127" t="s">
        <v>7133</v>
      </c>
      <c r="C3127" t="s">
        <v>190</v>
      </c>
      <c r="D3127" t="s">
        <v>191</v>
      </c>
    </row>
    <row r="3128" spans="1:4" x14ac:dyDescent="0.2">
      <c r="A3128" t="s">
        <v>7134</v>
      </c>
      <c r="B3128" t="s">
        <v>7135</v>
      </c>
      <c r="C3128" t="s">
        <v>190</v>
      </c>
      <c r="D3128" t="s">
        <v>191</v>
      </c>
    </row>
    <row r="3129" spans="1:4" x14ac:dyDescent="0.2">
      <c r="A3129" t="s">
        <v>7134</v>
      </c>
      <c r="B3129" t="s">
        <v>7136</v>
      </c>
      <c r="C3129" t="s">
        <v>190</v>
      </c>
      <c r="D3129" t="s">
        <v>191</v>
      </c>
    </row>
    <row r="3130" spans="1:4" x14ac:dyDescent="0.2">
      <c r="A3130" t="s">
        <v>7137</v>
      </c>
      <c r="B3130" t="s">
        <v>7138</v>
      </c>
      <c r="C3130" t="s">
        <v>190</v>
      </c>
      <c r="D3130" t="s">
        <v>191</v>
      </c>
    </row>
    <row r="3131" spans="1:4" x14ac:dyDescent="0.2">
      <c r="A3131" t="s">
        <v>7139</v>
      </c>
      <c r="B3131" t="s">
        <v>7140</v>
      </c>
      <c r="C3131" t="s">
        <v>7141</v>
      </c>
      <c r="D3131" t="s">
        <v>195</v>
      </c>
    </row>
    <row r="3132" spans="1:4" x14ac:dyDescent="0.2">
      <c r="A3132" t="s">
        <v>7142</v>
      </c>
      <c r="B3132" t="s">
        <v>7143</v>
      </c>
      <c r="C3132" t="s">
        <v>190</v>
      </c>
      <c r="D3132" t="s">
        <v>191</v>
      </c>
    </row>
    <row r="3133" spans="1:4" x14ac:dyDescent="0.2">
      <c r="A3133" t="s">
        <v>7144</v>
      </c>
      <c r="B3133" t="s">
        <v>7145</v>
      </c>
      <c r="C3133" t="s">
        <v>190</v>
      </c>
      <c r="D3133" t="s">
        <v>191</v>
      </c>
    </row>
    <row r="3134" spans="1:4" x14ac:dyDescent="0.2">
      <c r="A3134" t="s">
        <v>7146</v>
      </c>
      <c r="B3134" t="s">
        <v>7147</v>
      </c>
      <c r="C3134" t="s">
        <v>7148</v>
      </c>
      <c r="D3134" t="s">
        <v>195</v>
      </c>
    </row>
    <row r="3135" spans="1:4" x14ac:dyDescent="0.2">
      <c r="A3135" t="s">
        <v>7149</v>
      </c>
      <c r="B3135" t="s">
        <v>7150</v>
      </c>
      <c r="C3135" t="s">
        <v>7151</v>
      </c>
      <c r="D3135" t="s">
        <v>195</v>
      </c>
    </row>
    <row r="3136" spans="1:4" x14ac:dyDescent="0.2">
      <c r="A3136" t="s">
        <v>7152</v>
      </c>
      <c r="B3136" t="s">
        <v>7153</v>
      </c>
      <c r="C3136" t="s">
        <v>7154</v>
      </c>
      <c r="D3136" t="s">
        <v>187</v>
      </c>
    </row>
    <row r="3137" spans="1:4" x14ac:dyDescent="0.2">
      <c r="A3137" t="s">
        <v>7155</v>
      </c>
      <c r="B3137" t="s">
        <v>7156</v>
      </c>
      <c r="C3137" t="s">
        <v>7157</v>
      </c>
      <c r="D3137" t="s">
        <v>187</v>
      </c>
    </row>
    <row r="3138" spans="1:4" x14ac:dyDescent="0.2">
      <c r="A3138" t="s">
        <v>7158</v>
      </c>
      <c r="B3138" t="s">
        <v>7159</v>
      </c>
      <c r="C3138" t="s">
        <v>190</v>
      </c>
      <c r="D3138" t="s">
        <v>191</v>
      </c>
    </row>
    <row r="3139" spans="1:4" x14ac:dyDescent="0.2">
      <c r="A3139" t="s">
        <v>7160</v>
      </c>
      <c r="B3139" t="s">
        <v>7161</v>
      </c>
      <c r="C3139" t="s">
        <v>7162</v>
      </c>
      <c r="D3139" t="s">
        <v>195</v>
      </c>
    </row>
    <row r="3140" spans="1:4" x14ac:dyDescent="0.2">
      <c r="A3140" t="s">
        <v>7163</v>
      </c>
      <c r="B3140" t="s">
        <v>7164</v>
      </c>
      <c r="C3140" t="s">
        <v>190</v>
      </c>
      <c r="D3140" t="s">
        <v>191</v>
      </c>
    </row>
    <row r="3141" spans="1:4" x14ac:dyDescent="0.2">
      <c r="A3141" t="s">
        <v>7165</v>
      </c>
      <c r="B3141" t="s">
        <v>7166</v>
      </c>
      <c r="C3141" t="s">
        <v>190</v>
      </c>
      <c r="D3141" t="s">
        <v>191</v>
      </c>
    </row>
    <row r="3142" spans="1:4" x14ac:dyDescent="0.2">
      <c r="A3142" t="s">
        <v>7167</v>
      </c>
      <c r="B3142" t="s">
        <v>7168</v>
      </c>
      <c r="C3142" t="s">
        <v>7169</v>
      </c>
      <c r="D3142" t="s">
        <v>195</v>
      </c>
    </row>
    <row r="3143" spans="1:4" x14ac:dyDescent="0.2">
      <c r="A3143" t="s">
        <v>7170</v>
      </c>
      <c r="B3143" t="s">
        <v>7171</v>
      </c>
      <c r="C3143" t="s">
        <v>7172</v>
      </c>
      <c r="D3143" t="s">
        <v>195</v>
      </c>
    </row>
    <row r="3144" spans="1:4" x14ac:dyDescent="0.2">
      <c r="A3144" t="s">
        <v>7173</v>
      </c>
      <c r="B3144" t="s">
        <v>7174</v>
      </c>
      <c r="C3144" t="s">
        <v>7175</v>
      </c>
      <c r="D3144" t="s">
        <v>195</v>
      </c>
    </row>
    <row r="3145" spans="1:4" x14ac:dyDescent="0.2">
      <c r="A3145" t="s">
        <v>7176</v>
      </c>
      <c r="B3145" t="s">
        <v>7177</v>
      </c>
      <c r="C3145" t="s">
        <v>190</v>
      </c>
      <c r="D3145" t="s">
        <v>191</v>
      </c>
    </row>
    <row r="3146" spans="1:4" x14ac:dyDescent="0.2">
      <c r="A3146" t="s">
        <v>7178</v>
      </c>
      <c r="B3146" t="s">
        <v>7179</v>
      </c>
      <c r="C3146" t="s">
        <v>190</v>
      </c>
      <c r="D3146" t="s">
        <v>191</v>
      </c>
    </row>
    <row r="3147" spans="1:4" x14ac:dyDescent="0.2">
      <c r="A3147" t="s">
        <v>7180</v>
      </c>
      <c r="B3147" t="s">
        <v>7181</v>
      </c>
      <c r="C3147" t="s">
        <v>190</v>
      </c>
      <c r="D3147" t="s">
        <v>7182</v>
      </c>
    </row>
    <row r="3148" spans="1:4" x14ac:dyDescent="0.2">
      <c r="A3148" t="s">
        <v>7183</v>
      </c>
      <c r="B3148" t="s">
        <v>7184</v>
      </c>
      <c r="C3148" t="s">
        <v>7185</v>
      </c>
      <c r="D3148" t="s">
        <v>195</v>
      </c>
    </row>
    <row r="3149" spans="1:4" x14ac:dyDescent="0.2">
      <c r="A3149" t="s">
        <v>7186</v>
      </c>
      <c r="B3149" t="s">
        <v>7187</v>
      </c>
      <c r="C3149" t="s">
        <v>190</v>
      </c>
      <c r="D3149" t="s">
        <v>191</v>
      </c>
    </row>
    <row r="3150" spans="1:4" x14ac:dyDescent="0.2">
      <c r="A3150" t="s">
        <v>7188</v>
      </c>
      <c r="B3150" t="s">
        <v>7189</v>
      </c>
      <c r="C3150" t="s">
        <v>7190</v>
      </c>
      <c r="D3150" t="s">
        <v>195</v>
      </c>
    </row>
    <row r="3151" spans="1:4" x14ac:dyDescent="0.2">
      <c r="A3151" t="s">
        <v>7188</v>
      </c>
      <c r="B3151" t="s">
        <v>7191</v>
      </c>
      <c r="C3151" t="s">
        <v>7192</v>
      </c>
      <c r="D3151" t="s">
        <v>195</v>
      </c>
    </row>
    <row r="3152" spans="1:4" x14ac:dyDescent="0.2">
      <c r="A3152" t="s">
        <v>7193</v>
      </c>
      <c r="B3152" t="s">
        <v>7194</v>
      </c>
      <c r="C3152" t="s">
        <v>7195</v>
      </c>
      <c r="D3152" t="s">
        <v>187</v>
      </c>
    </row>
    <row r="3153" spans="1:4" x14ac:dyDescent="0.2">
      <c r="A3153" t="s">
        <v>7196</v>
      </c>
      <c r="B3153" t="s">
        <v>7197</v>
      </c>
      <c r="C3153" t="s">
        <v>7198</v>
      </c>
      <c r="D3153" t="s">
        <v>187</v>
      </c>
    </row>
    <row r="3154" spans="1:4" x14ac:dyDescent="0.2">
      <c r="A3154" t="s">
        <v>7199</v>
      </c>
      <c r="B3154" t="s">
        <v>7200</v>
      </c>
      <c r="C3154" t="s">
        <v>190</v>
      </c>
      <c r="D3154" t="s">
        <v>191</v>
      </c>
    </row>
    <row r="3155" spans="1:4" x14ac:dyDescent="0.2">
      <c r="A3155" t="s">
        <v>7199</v>
      </c>
      <c r="B3155" t="s">
        <v>7201</v>
      </c>
      <c r="C3155" t="s">
        <v>7202</v>
      </c>
      <c r="D3155" t="s">
        <v>187</v>
      </c>
    </row>
    <row r="3156" spans="1:4" x14ac:dyDescent="0.2">
      <c r="A3156" t="s">
        <v>7203</v>
      </c>
      <c r="B3156" t="s">
        <v>7204</v>
      </c>
      <c r="C3156" t="s">
        <v>7205</v>
      </c>
      <c r="D3156" t="s">
        <v>187</v>
      </c>
    </row>
    <row r="3157" spans="1:4" x14ac:dyDescent="0.2">
      <c r="A3157" t="s">
        <v>7203</v>
      </c>
      <c r="B3157" t="s">
        <v>7206</v>
      </c>
      <c r="C3157" t="s">
        <v>7207</v>
      </c>
      <c r="D3157" t="s">
        <v>187</v>
      </c>
    </row>
    <row r="3158" spans="1:4" x14ac:dyDescent="0.2">
      <c r="A3158" t="s">
        <v>7208</v>
      </c>
      <c r="B3158" t="s">
        <v>7209</v>
      </c>
      <c r="C3158" t="s">
        <v>7210</v>
      </c>
      <c r="D3158" t="s">
        <v>187</v>
      </c>
    </row>
    <row r="3159" spans="1:4" x14ac:dyDescent="0.2">
      <c r="A3159" t="s">
        <v>7211</v>
      </c>
      <c r="B3159" t="s">
        <v>7212</v>
      </c>
      <c r="C3159" t="s">
        <v>7213</v>
      </c>
      <c r="D3159" t="s">
        <v>187</v>
      </c>
    </row>
    <row r="3160" spans="1:4" x14ac:dyDescent="0.2">
      <c r="A3160" t="s">
        <v>7214</v>
      </c>
      <c r="B3160" t="s">
        <v>7215</v>
      </c>
      <c r="C3160" t="s">
        <v>7216</v>
      </c>
      <c r="D3160" t="s">
        <v>195</v>
      </c>
    </row>
    <row r="3161" spans="1:4" x14ac:dyDescent="0.2">
      <c r="A3161" t="s">
        <v>7217</v>
      </c>
      <c r="B3161" t="s">
        <v>7218</v>
      </c>
      <c r="C3161" t="s">
        <v>190</v>
      </c>
      <c r="D3161" t="s">
        <v>191</v>
      </c>
    </row>
    <row r="3162" spans="1:4" x14ac:dyDescent="0.2">
      <c r="A3162" t="s">
        <v>7219</v>
      </c>
      <c r="B3162" t="s">
        <v>7220</v>
      </c>
      <c r="C3162" t="s">
        <v>7221</v>
      </c>
      <c r="D3162" t="s">
        <v>195</v>
      </c>
    </row>
    <row r="3163" spans="1:4" x14ac:dyDescent="0.2">
      <c r="A3163" t="s">
        <v>7222</v>
      </c>
      <c r="B3163" t="s">
        <v>7223</v>
      </c>
      <c r="C3163" t="s">
        <v>7224</v>
      </c>
      <c r="D3163" t="s">
        <v>187</v>
      </c>
    </row>
    <row r="3164" spans="1:4" x14ac:dyDescent="0.2">
      <c r="A3164" t="s">
        <v>7225</v>
      </c>
      <c r="B3164" t="s">
        <v>7226</v>
      </c>
      <c r="C3164" t="s">
        <v>7227</v>
      </c>
      <c r="D3164" t="s">
        <v>187</v>
      </c>
    </row>
    <row r="3165" spans="1:4" x14ac:dyDescent="0.2">
      <c r="A3165" t="s">
        <v>7228</v>
      </c>
      <c r="B3165" t="s">
        <v>7229</v>
      </c>
      <c r="C3165" t="s">
        <v>7230</v>
      </c>
      <c r="D3165" t="s">
        <v>195</v>
      </c>
    </row>
    <row r="3166" spans="1:4" x14ac:dyDescent="0.2">
      <c r="A3166" t="s">
        <v>7228</v>
      </c>
      <c r="B3166" t="s">
        <v>7231</v>
      </c>
      <c r="C3166" t="s">
        <v>7232</v>
      </c>
      <c r="D3166" t="s">
        <v>195</v>
      </c>
    </row>
    <row r="3167" spans="1:4" x14ac:dyDescent="0.2">
      <c r="A3167" t="s">
        <v>7233</v>
      </c>
      <c r="B3167" t="s">
        <v>7234</v>
      </c>
      <c r="C3167" t="s">
        <v>190</v>
      </c>
      <c r="D3167" t="s">
        <v>191</v>
      </c>
    </row>
    <row r="3168" spans="1:4" x14ac:dyDescent="0.2">
      <c r="A3168" t="s">
        <v>7235</v>
      </c>
      <c r="B3168" t="s">
        <v>7236</v>
      </c>
      <c r="C3168" t="s">
        <v>7237</v>
      </c>
      <c r="D3168" t="s">
        <v>195</v>
      </c>
    </row>
    <row r="3169" spans="1:4" x14ac:dyDescent="0.2">
      <c r="A3169" t="s">
        <v>7238</v>
      </c>
      <c r="B3169" t="s">
        <v>7239</v>
      </c>
      <c r="C3169" t="s">
        <v>190</v>
      </c>
      <c r="D3169" t="s">
        <v>191</v>
      </c>
    </row>
    <row r="3170" spans="1:4" x14ac:dyDescent="0.2">
      <c r="A3170" t="s">
        <v>7240</v>
      </c>
      <c r="B3170" t="s">
        <v>7241</v>
      </c>
      <c r="C3170" t="s">
        <v>190</v>
      </c>
      <c r="D3170" t="s">
        <v>191</v>
      </c>
    </row>
    <row r="3171" spans="1:4" x14ac:dyDescent="0.2">
      <c r="A3171" t="s">
        <v>7242</v>
      </c>
      <c r="B3171" t="s">
        <v>7243</v>
      </c>
      <c r="C3171" t="s">
        <v>7244</v>
      </c>
      <c r="D3171" t="s">
        <v>195</v>
      </c>
    </row>
    <row r="3172" spans="1:4" x14ac:dyDescent="0.2">
      <c r="A3172" t="s">
        <v>7245</v>
      </c>
      <c r="B3172" t="s">
        <v>7246</v>
      </c>
      <c r="C3172" t="s">
        <v>7247</v>
      </c>
      <c r="D3172" t="s">
        <v>187</v>
      </c>
    </row>
    <row r="3173" spans="1:4" x14ac:dyDescent="0.2">
      <c r="A3173" t="s">
        <v>7248</v>
      </c>
      <c r="B3173" t="s">
        <v>7249</v>
      </c>
      <c r="C3173" t="s">
        <v>7250</v>
      </c>
      <c r="D3173" t="s">
        <v>187</v>
      </c>
    </row>
    <row r="3174" spans="1:4" x14ac:dyDescent="0.2">
      <c r="A3174" t="s">
        <v>7251</v>
      </c>
      <c r="B3174" t="s">
        <v>7252</v>
      </c>
      <c r="C3174" t="s">
        <v>190</v>
      </c>
      <c r="D3174" t="s">
        <v>191</v>
      </c>
    </row>
    <row r="3175" spans="1:4" x14ac:dyDescent="0.2">
      <c r="A3175" t="s">
        <v>7253</v>
      </c>
      <c r="B3175" t="s">
        <v>7254</v>
      </c>
      <c r="C3175" t="s">
        <v>7255</v>
      </c>
      <c r="D3175" t="s">
        <v>195</v>
      </c>
    </row>
    <row r="3176" spans="1:4" x14ac:dyDescent="0.2">
      <c r="A3176" t="s">
        <v>7256</v>
      </c>
      <c r="B3176" t="s">
        <v>7257</v>
      </c>
      <c r="C3176" t="s">
        <v>7258</v>
      </c>
      <c r="D3176" t="s">
        <v>187</v>
      </c>
    </row>
    <row r="3177" spans="1:4" x14ac:dyDescent="0.2">
      <c r="A3177" t="s">
        <v>7259</v>
      </c>
      <c r="B3177" t="s">
        <v>7260</v>
      </c>
      <c r="C3177" t="s">
        <v>7261</v>
      </c>
      <c r="D3177" t="s">
        <v>195</v>
      </c>
    </row>
    <row r="3178" spans="1:4" x14ac:dyDescent="0.2">
      <c r="A3178" t="s">
        <v>7262</v>
      </c>
      <c r="B3178" t="s">
        <v>7263</v>
      </c>
      <c r="C3178" t="s">
        <v>190</v>
      </c>
      <c r="D3178" t="s">
        <v>191</v>
      </c>
    </row>
    <row r="3179" spans="1:4" x14ac:dyDescent="0.2">
      <c r="A3179" t="s">
        <v>7264</v>
      </c>
      <c r="B3179" t="s">
        <v>7265</v>
      </c>
      <c r="C3179" t="s">
        <v>7266</v>
      </c>
      <c r="D3179" t="s">
        <v>195</v>
      </c>
    </row>
    <row r="3180" spans="1:4" x14ac:dyDescent="0.2">
      <c r="A3180" t="s">
        <v>7267</v>
      </c>
      <c r="B3180" t="s">
        <v>7268</v>
      </c>
      <c r="C3180" t="s">
        <v>190</v>
      </c>
      <c r="D3180" t="s">
        <v>191</v>
      </c>
    </row>
    <row r="3181" spans="1:4" x14ac:dyDescent="0.2">
      <c r="A3181" t="s">
        <v>7269</v>
      </c>
      <c r="B3181" t="s">
        <v>7270</v>
      </c>
      <c r="C3181" t="s">
        <v>190</v>
      </c>
      <c r="D3181" t="s">
        <v>191</v>
      </c>
    </row>
    <row r="3182" spans="1:4" x14ac:dyDescent="0.2">
      <c r="A3182" t="s">
        <v>7271</v>
      </c>
      <c r="B3182" t="s">
        <v>7272</v>
      </c>
      <c r="C3182" t="s">
        <v>190</v>
      </c>
      <c r="D3182" t="s">
        <v>280</v>
      </c>
    </row>
    <row r="3183" spans="1:4" x14ac:dyDescent="0.2">
      <c r="A3183" t="s">
        <v>7273</v>
      </c>
      <c r="B3183" t="s">
        <v>7274</v>
      </c>
      <c r="C3183" t="s">
        <v>190</v>
      </c>
      <c r="D3183" t="s">
        <v>191</v>
      </c>
    </row>
    <row r="3184" spans="1:4" x14ac:dyDescent="0.2">
      <c r="A3184" t="s">
        <v>7275</v>
      </c>
      <c r="B3184" t="s">
        <v>7276</v>
      </c>
      <c r="C3184" t="s">
        <v>7277</v>
      </c>
      <c r="D3184" t="s">
        <v>187</v>
      </c>
    </row>
    <row r="3185" spans="1:4" x14ac:dyDescent="0.2">
      <c r="A3185" t="s">
        <v>7278</v>
      </c>
      <c r="B3185" t="s">
        <v>7279</v>
      </c>
      <c r="C3185" t="s">
        <v>7280</v>
      </c>
      <c r="D3185" t="s">
        <v>195</v>
      </c>
    </row>
    <row r="3186" spans="1:4" x14ac:dyDescent="0.2">
      <c r="A3186" t="s">
        <v>7281</v>
      </c>
      <c r="B3186" t="s">
        <v>7282</v>
      </c>
      <c r="C3186" t="s">
        <v>7283</v>
      </c>
      <c r="D3186" t="s">
        <v>195</v>
      </c>
    </row>
    <row r="3187" spans="1:4" x14ac:dyDescent="0.2">
      <c r="A3187" t="s">
        <v>7284</v>
      </c>
      <c r="B3187" t="s">
        <v>7285</v>
      </c>
      <c r="C3187" t="s">
        <v>190</v>
      </c>
      <c r="D3187" t="s">
        <v>191</v>
      </c>
    </row>
    <row r="3188" spans="1:4" x14ac:dyDescent="0.2">
      <c r="A3188" t="s">
        <v>7286</v>
      </c>
      <c r="B3188" t="s">
        <v>7287</v>
      </c>
      <c r="C3188" t="s">
        <v>7288</v>
      </c>
      <c r="D3188" t="s">
        <v>195</v>
      </c>
    </row>
    <row r="3189" spans="1:4" x14ac:dyDescent="0.2">
      <c r="A3189" t="s">
        <v>7289</v>
      </c>
      <c r="B3189" t="s">
        <v>7290</v>
      </c>
      <c r="C3189" t="s">
        <v>190</v>
      </c>
      <c r="D3189" t="s">
        <v>191</v>
      </c>
    </row>
    <row r="3190" spans="1:4" x14ac:dyDescent="0.2">
      <c r="A3190" t="s">
        <v>7291</v>
      </c>
      <c r="B3190" t="s">
        <v>7292</v>
      </c>
      <c r="C3190" t="s">
        <v>190</v>
      </c>
      <c r="D3190" t="s">
        <v>191</v>
      </c>
    </row>
    <row r="3191" spans="1:4" x14ac:dyDescent="0.2">
      <c r="A3191" t="s">
        <v>7293</v>
      </c>
      <c r="B3191" t="s">
        <v>7294</v>
      </c>
      <c r="C3191" t="s">
        <v>190</v>
      </c>
      <c r="D3191" t="s">
        <v>191</v>
      </c>
    </row>
    <row r="3192" spans="1:4" x14ac:dyDescent="0.2">
      <c r="A3192" t="s">
        <v>7295</v>
      </c>
      <c r="B3192" t="s">
        <v>7296</v>
      </c>
      <c r="C3192" t="s">
        <v>7297</v>
      </c>
      <c r="D3192" t="s">
        <v>187</v>
      </c>
    </row>
    <row r="3193" spans="1:4" x14ac:dyDescent="0.2">
      <c r="A3193" t="s">
        <v>7298</v>
      </c>
      <c r="B3193" t="s">
        <v>7299</v>
      </c>
      <c r="C3193" t="s">
        <v>190</v>
      </c>
      <c r="D3193" t="s">
        <v>280</v>
      </c>
    </row>
    <row r="3194" spans="1:4" x14ac:dyDescent="0.2">
      <c r="A3194" t="s">
        <v>7300</v>
      </c>
      <c r="B3194" t="s">
        <v>7301</v>
      </c>
      <c r="C3194" t="s">
        <v>7302</v>
      </c>
      <c r="D3194" t="s">
        <v>195</v>
      </c>
    </row>
    <row r="3195" spans="1:4" x14ac:dyDescent="0.2">
      <c r="A3195" t="s">
        <v>7303</v>
      </c>
      <c r="B3195" t="s">
        <v>7304</v>
      </c>
      <c r="C3195" t="s">
        <v>7305</v>
      </c>
      <c r="D3195" t="s">
        <v>195</v>
      </c>
    </row>
    <row r="3196" spans="1:4" x14ac:dyDescent="0.2">
      <c r="A3196" t="s">
        <v>7306</v>
      </c>
      <c r="B3196" t="s">
        <v>7307</v>
      </c>
      <c r="C3196" t="s">
        <v>7308</v>
      </c>
      <c r="D3196" t="s">
        <v>195</v>
      </c>
    </row>
    <row r="3197" spans="1:4" x14ac:dyDescent="0.2">
      <c r="A3197" t="s">
        <v>7309</v>
      </c>
      <c r="B3197" t="s">
        <v>7310</v>
      </c>
      <c r="C3197" t="s">
        <v>7311</v>
      </c>
      <c r="D3197" t="s">
        <v>195</v>
      </c>
    </row>
    <row r="3198" spans="1:4" x14ac:dyDescent="0.2">
      <c r="A3198" t="s">
        <v>7312</v>
      </c>
      <c r="B3198" t="s">
        <v>7313</v>
      </c>
      <c r="C3198" t="s">
        <v>190</v>
      </c>
      <c r="D3198" t="s">
        <v>191</v>
      </c>
    </row>
    <row r="3199" spans="1:4" x14ac:dyDescent="0.2">
      <c r="A3199" t="s">
        <v>7314</v>
      </c>
      <c r="B3199" t="s">
        <v>7315</v>
      </c>
      <c r="C3199" t="s">
        <v>190</v>
      </c>
      <c r="D3199" t="s">
        <v>191</v>
      </c>
    </row>
    <row r="3200" spans="1:4" x14ac:dyDescent="0.2">
      <c r="A3200" t="s">
        <v>7316</v>
      </c>
      <c r="B3200" t="s">
        <v>7317</v>
      </c>
      <c r="C3200" t="s">
        <v>190</v>
      </c>
      <c r="D3200" t="s">
        <v>191</v>
      </c>
    </row>
    <row r="3201" spans="1:4" x14ac:dyDescent="0.2">
      <c r="A3201" t="s">
        <v>7318</v>
      </c>
      <c r="B3201" t="s">
        <v>7319</v>
      </c>
      <c r="C3201" t="s">
        <v>190</v>
      </c>
      <c r="D3201" t="s">
        <v>7320</v>
      </c>
    </row>
    <row r="3202" spans="1:4" x14ac:dyDescent="0.2">
      <c r="A3202" t="s">
        <v>7321</v>
      </c>
      <c r="B3202" t="s">
        <v>7322</v>
      </c>
      <c r="C3202" t="s">
        <v>190</v>
      </c>
      <c r="D3202" t="s">
        <v>191</v>
      </c>
    </row>
    <row r="3203" spans="1:4" x14ac:dyDescent="0.2">
      <c r="A3203" t="s">
        <v>7323</v>
      </c>
      <c r="B3203" t="s">
        <v>7324</v>
      </c>
      <c r="C3203" t="s">
        <v>7325</v>
      </c>
      <c r="D3203" t="s">
        <v>195</v>
      </c>
    </row>
    <row r="3204" spans="1:4" x14ac:dyDescent="0.2">
      <c r="A3204" t="s">
        <v>7326</v>
      </c>
      <c r="B3204" t="s">
        <v>7327</v>
      </c>
      <c r="C3204" t="s">
        <v>7328</v>
      </c>
      <c r="D3204" t="s">
        <v>187</v>
      </c>
    </row>
    <row r="3205" spans="1:4" x14ac:dyDescent="0.2">
      <c r="A3205" t="s">
        <v>7329</v>
      </c>
      <c r="B3205" t="s">
        <v>7330</v>
      </c>
      <c r="C3205" t="s">
        <v>190</v>
      </c>
      <c r="D3205" t="s">
        <v>191</v>
      </c>
    </row>
    <row r="3206" spans="1:4" x14ac:dyDescent="0.2">
      <c r="A3206" t="s">
        <v>7331</v>
      </c>
      <c r="B3206" t="s">
        <v>7332</v>
      </c>
      <c r="C3206" t="s">
        <v>190</v>
      </c>
      <c r="D3206" t="s">
        <v>191</v>
      </c>
    </row>
    <row r="3207" spans="1:4" x14ac:dyDescent="0.2">
      <c r="A3207" t="s">
        <v>7333</v>
      </c>
      <c r="B3207" t="s">
        <v>7334</v>
      </c>
      <c r="C3207" t="s">
        <v>7335</v>
      </c>
      <c r="D3207" t="s">
        <v>187</v>
      </c>
    </row>
    <row r="3208" spans="1:4" x14ac:dyDescent="0.2">
      <c r="A3208" t="s">
        <v>7336</v>
      </c>
      <c r="B3208" t="s">
        <v>7337</v>
      </c>
      <c r="C3208" t="s">
        <v>190</v>
      </c>
      <c r="D3208" t="s">
        <v>191</v>
      </c>
    </row>
    <row r="3209" spans="1:4" x14ac:dyDescent="0.2">
      <c r="A3209" t="s">
        <v>7338</v>
      </c>
      <c r="B3209" t="s">
        <v>7339</v>
      </c>
      <c r="C3209" t="s">
        <v>190</v>
      </c>
      <c r="D3209" t="s">
        <v>7340</v>
      </c>
    </row>
    <row r="3210" spans="1:4" x14ac:dyDescent="0.2">
      <c r="A3210" t="s">
        <v>7338</v>
      </c>
      <c r="B3210" t="s">
        <v>7341</v>
      </c>
      <c r="C3210" t="s">
        <v>7342</v>
      </c>
      <c r="D3210" t="s">
        <v>187</v>
      </c>
    </row>
    <row r="3211" spans="1:4" x14ac:dyDescent="0.2">
      <c r="A3211" t="s">
        <v>7343</v>
      </c>
      <c r="B3211" t="s">
        <v>7344</v>
      </c>
      <c r="C3211" t="s">
        <v>7345</v>
      </c>
      <c r="D3211" t="s">
        <v>187</v>
      </c>
    </row>
    <row r="3212" spans="1:4" x14ac:dyDescent="0.2">
      <c r="A3212" t="s">
        <v>7346</v>
      </c>
      <c r="B3212" t="s">
        <v>7347</v>
      </c>
      <c r="C3212" t="s">
        <v>7348</v>
      </c>
      <c r="D3212" t="s">
        <v>195</v>
      </c>
    </row>
    <row r="3213" spans="1:4" x14ac:dyDescent="0.2">
      <c r="A3213" t="s">
        <v>7349</v>
      </c>
      <c r="B3213" t="s">
        <v>7350</v>
      </c>
      <c r="C3213" t="s">
        <v>190</v>
      </c>
      <c r="D3213" t="s">
        <v>280</v>
      </c>
    </row>
    <row r="3214" spans="1:4" x14ac:dyDescent="0.2">
      <c r="A3214" t="s">
        <v>7351</v>
      </c>
      <c r="B3214" t="s">
        <v>7352</v>
      </c>
      <c r="C3214" t="s">
        <v>190</v>
      </c>
      <c r="D3214" t="s">
        <v>191</v>
      </c>
    </row>
    <row r="3215" spans="1:4" x14ac:dyDescent="0.2">
      <c r="A3215" t="s">
        <v>7353</v>
      </c>
      <c r="B3215" t="s">
        <v>7354</v>
      </c>
      <c r="C3215" t="s">
        <v>7355</v>
      </c>
      <c r="D3215" t="s">
        <v>187</v>
      </c>
    </row>
    <row r="3216" spans="1:4" x14ac:dyDescent="0.2">
      <c r="A3216" t="s">
        <v>7356</v>
      </c>
      <c r="B3216" t="s">
        <v>7357</v>
      </c>
      <c r="C3216" t="s">
        <v>190</v>
      </c>
      <c r="D3216" t="s">
        <v>191</v>
      </c>
    </row>
    <row r="3217" spans="1:4" x14ac:dyDescent="0.2">
      <c r="A3217" t="s">
        <v>7358</v>
      </c>
      <c r="B3217" t="s">
        <v>7359</v>
      </c>
      <c r="C3217" t="s">
        <v>190</v>
      </c>
      <c r="D3217" t="s">
        <v>7360</v>
      </c>
    </row>
    <row r="3218" spans="1:4" x14ac:dyDescent="0.2">
      <c r="A3218" t="s">
        <v>7361</v>
      </c>
      <c r="B3218" t="s">
        <v>7362</v>
      </c>
      <c r="C3218" t="s">
        <v>7363</v>
      </c>
      <c r="D3218" t="s">
        <v>195</v>
      </c>
    </row>
    <row r="3219" spans="1:4" x14ac:dyDescent="0.2">
      <c r="A3219" t="s">
        <v>7364</v>
      </c>
      <c r="B3219" t="s">
        <v>7365</v>
      </c>
      <c r="C3219" t="s">
        <v>7366</v>
      </c>
      <c r="D3219" t="s">
        <v>195</v>
      </c>
    </row>
    <row r="3220" spans="1:4" x14ac:dyDescent="0.2">
      <c r="A3220" t="s">
        <v>7367</v>
      </c>
      <c r="B3220" t="s">
        <v>7368</v>
      </c>
      <c r="C3220" t="s">
        <v>190</v>
      </c>
      <c r="D3220" t="s">
        <v>191</v>
      </c>
    </row>
    <row r="3221" spans="1:4" x14ac:dyDescent="0.2">
      <c r="A3221" t="s">
        <v>7369</v>
      </c>
      <c r="B3221" t="s">
        <v>7370</v>
      </c>
      <c r="C3221" t="s">
        <v>7371</v>
      </c>
      <c r="D3221" t="s">
        <v>195</v>
      </c>
    </row>
    <row r="3222" spans="1:4" x14ac:dyDescent="0.2">
      <c r="A3222" t="s">
        <v>7372</v>
      </c>
      <c r="B3222" t="s">
        <v>7373</v>
      </c>
      <c r="C3222" t="s">
        <v>190</v>
      </c>
      <c r="D3222" t="s">
        <v>191</v>
      </c>
    </row>
    <row r="3223" spans="1:4" x14ac:dyDescent="0.2">
      <c r="A3223" t="s">
        <v>7374</v>
      </c>
      <c r="B3223" t="s">
        <v>7375</v>
      </c>
      <c r="C3223" t="s">
        <v>7376</v>
      </c>
      <c r="D3223" t="s">
        <v>187</v>
      </c>
    </row>
    <row r="3224" spans="1:4" x14ac:dyDescent="0.2">
      <c r="A3224" t="s">
        <v>7377</v>
      </c>
      <c r="B3224" t="s">
        <v>7378</v>
      </c>
      <c r="C3224" t="s">
        <v>190</v>
      </c>
      <c r="D3224" t="s">
        <v>191</v>
      </c>
    </row>
    <row r="3225" spans="1:4" x14ac:dyDescent="0.2">
      <c r="A3225" t="s">
        <v>7379</v>
      </c>
      <c r="B3225" t="s">
        <v>7380</v>
      </c>
      <c r="C3225" t="s">
        <v>190</v>
      </c>
      <c r="D3225" t="s">
        <v>191</v>
      </c>
    </row>
    <row r="3226" spans="1:4" x14ac:dyDescent="0.2">
      <c r="A3226" t="s">
        <v>7381</v>
      </c>
      <c r="B3226" t="s">
        <v>7382</v>
      </c>
      <c r="C3226" t="s">
        <v>190</v>
      </c>
      <c r="D3226" t="s">
        <v>191</v>
      </c>
    </row>
    <row r="3227" spans="1:4" x14ac:dyDescent="0.2">
      <c r="A3227" t="s">
        <v>7383</v>
      </c>
      <c r="B3227" t="s">
        <v>7384</v>
      </c>
      <c r="C3227" t="s">
        <v>190</v>
      </c>
      <c r="D3227" t="s">
        <v>191</v>
      </c>
    </row>
    <row r="3228" spans="1:4" x14ac:dyDescent="0.2">
      <c r="A3228" t="s">
        <v>7385</v>
      </c>
      <c r="B3228" t="s">
        <v>7386</v>
      </c>
      <c r="C3228" t="s">
        <v>7387</v>
      </c>
      <c r="D3228" t="s">
        <v>195</v>
      </c>
    </row>
    <row r="3229" spans="1:4" x14ac:dyDescent="0.2">
      <c r="A3229" t="s">
        <v>7388</v>
      </c>
      <c r="B3229" t="s">
        <v>7389</v>
      </c>
      <c r="C3229" t="s">
        <v>190</v>
      </c>
      <c r="D3229" t="s">
        <v>191</v>
      </c>
    </row>
    <row r="3230" spans="1:4" x14ac:dyDescent="0.2">
      <c r="A3230" t="s">
        <v>7390</v>
      </c>
      <c r="B3230" t="s">
        <v>7391</v>
      </c>
      <c r="C3230" t="s">
        <v>7392</v>
      </c>
      <c r="D3230" t="s">
        <v>195</v>
      </c>
    </row>
    <row r="3231" spans="1:4" x14ac:dyDescent="0.2">
      <c r="A3231" t="s">
        <v>7393</v>
      </c>
      <c r="B3231" t="s">
        <v>7394</v>
      </c>
      <c r="C3231" t="s">
        <v>190</v>
      </c>
      <c r="D3231" t="s">
        <v>191</v>
      </c>
    </row>
    <row r="3232" spans="1:4" x14ac:dyDescent="0.2">
      <c r="A3232" t="s">
        <v>7395</v>
      </c>
      <c r="B3232" t="s">
        <v>7396</v>
      </c>
      <c r="C3232" t="s">
        <v>190</v>
      </c>
      <c r="D3232" t="s">
        <v>191</v>
      </c>
    </row>
    <row r="3233" spans="1:4" x14ac:dyDescent="0.2">
      <c r="A3233" t="s">
        <v>7397</v>
      </c>
      <c r="B3233" t="s">
        <v>7398</v>
      </c>
      <c r="C3233" t="s">
        <v>7399</v>
      </c>
      <c r="D3233" t="s">
        <v>195</v>
      </c>
    </row>
    <row r="3234" spans="1:4" x14ac:dyDescent="0.2">
      <c r="A3234" t="s">
        <v>7400</v>
      </c>
      <c r="B3234" t="s">
        <v>7401</v>
      </c>
      <c r="C3234" t="s">
        <v>190</v>
      </c>
      <c r="D3234" t="s">
        <v>280</v>
      </c>
    </row>
    <row r="3235" spans="1:4" x14ac:dyDescent="0.2">
      <c r="A3235" t="s">
        <v>7402</v>
      </c>
      <c r="B3235" t="s">
        <v>7403</v>
      </c>
      <c r="C3235" t="s">
        <v>190</v>
      </c>
      <c r="D3235" t="s">
        <v>191</v>
      </c>
    </row>
    <row r="3236" spans="1:4" x14ac:dyDescent="0.2">
      <c r="A3236" t="s">
        <v>7404</v>
      </c>
      <c r="B3236" t="s">
        <v>7405</v>
      </c>
      <c r="C3236" t="s">
        <v>7406</v>
      </c>
      <c r="D3236" t="s">
        <v>195</v>
      </c>
    </row>
    <row r="3237" spans="1:4" x14ac:dyDescent="0.2">
      <c r="A3237" t="s">
        <v>7407</v>
      </c>
      <c r="B3237" t="s">
        <v>7408</v>
      </c>
      <c r="C3237" t="s">
        <v>7409</v>
      </c>
      <c r="D3237" t="s">
        <v>187</v>
      </c>
    </row>
    <row r="3238" spans="1:4" x14ac:dyDescent="0.2">
      <c r="A3238" t="s">
        <v>7410</v>
      </c>
      <c r="B3238" t="s">
        <v>7411</v>
      </c>
      <c r="C3238" t="s">
        <v>190</v>
      </c>
      <c r="D3238" t="s">
        <v>191</v>
      </c>
    </row>
    <row r="3239" spans="1:4" x14ac:dyDescent="0.2">
      <c r="A3239" t="s">
        <v>7412</v>
      </c>
      <c r="B3239" t="s">
        <v>7413</v>
      </c>
      <c r="C3239" t="s">
        <v>7414</v>
      </c>
      <c r="D3239" t="s">
        <v>195</v>
      </c>
    </row>
    <row r="3240" spans="1:4" x14ac:dyDescent="0.2">
      <c r="A3240" t="s">
        <v>7415</v>
      </c>
      <c r="B3240" t="s">
        <v>7416</v>
      </c>
      <c r="C3240" t="s">
        <v>7417</v>
      </c>
      <c r="D3240" t="s">
        <v>195</v>
      </c>
    </row>
    <row r="3241" spans="1:4" x14ac:dyDescent="0.2">
      <c r="A3241" t="s">
        <v>7418</v>
      </c>
      <c r="B3241" t="s">
        <v>7419</v>
      </c>
      <c r="C3241" t="s">
        <v>7420</v>
      </c>
      <c r="D3241" t="s">
        <v>187</v>
      </c>
    </row>
    <row r="3242" spans="1:4" x14ac:dyDescent="0.2">
      <c r="A3242" t="s">
        <v>7421</v>
      </c>
      <c r="B3242" t="s">
        <v>7422</v>
      </c>
      <c r="C3242" t="s">
        <v>190</v>
      </c>
      <c r="D3242" t="s">
        <v>191</v>
      </c>
    </row>
    <row r="3243" spans="1:4" x14ac:dyDescent="0.2">
      <c r="A3243" t="s">
        <v>7423</v>
      </c>
      <c r="B3243" t="s">
        <v>7424</v>
      </c>
      <c r="C3243" t="s">
        <v>7425</v>
      </c>
      <c r="D3243" t="s">
        <v>195</v>
      </c>
    </row>
    <row r="3244" spans="1:4" x14ac:dyDescent="0.2">
      <c r="A3244" t="s">
        <v>7426</v>
      </c>
      <c r="B3244" t="s">
        <v>7427</v>
      </c>
      <c r="C3244" t="s">
        <v>190</v>
      </c>
      <c r="D3244" t="s">
        <v>191</v>
      </c>
    </row>
    <row r="3245" spans="1:4" x14ac:dyDescent="0.2">
      <c r="A3245" t="s">
        <v>7428</v>
      </c>
      <c r="B3245" t="s">
        <v>7429</v>
      </c>
      <c r="C3245" t="s">
        <v>190</v>
      </c>
      <c r="D3245" t="s">
        <v>191</v>
      </c>
    </row>
    <row r="3246" spans="1:4" x14ac:dyDescent="0.2">
      <c r="A3246" t="s">
        <v>7430</v>
      </c>
      <c r="B3246" t="s">
        <v>7431</v>
      </c>
      <c r="C3246" t="s">
        <v>7432</v>
      </c>
      <c r="D3246" t="s">
        <v>187</v>
      </c>
    </row>
    <row r="3247" spans="1:4" x14ac:dyDescent="0.2">
      <c r="A3247" t="s">
        <v>7433</v>
      </c>
      <c r="B3247" t="s">
        <v>7434</v>
      </c>
      <c r="C3247" t="s">
        <v>190</v>
      </c>
      <c r="D3247" t="s">
        <v>191</v>
      </c>
    </row>
    <row r="3248" spans="1:4" x14ac:dyDescent="0.2">
      <c r="A3248" t="s">
        <v>7435</v>
      </c>
      <c r="B3248" t="s">
        <v>7436</v>
      </c>
      <c r="C3248" t="s">
        <v>7437</v>
      </c>
      <c r="D3248" t="s">
        <v>187</v>
      </c>
    </row>
    <row r="3249" spans="1:4" x14ac:dyDescent="0.2">
      <c r="A3249" t="s">
        <v>7438</v>
      </c>
      <c r="B3249" t="s">
        <v>7439</v>
      </c>
      <c r="C3249" t="s">
        <v>190</v>
      </c>
      <c r="D3249" t="s">
        <v>191</v>
      </c>
    </row>
    <row r="3250" spans="1:4" x14ac:dyDescent="0.2">
      <c r="A3250" t="s">
        <v>7440</v>
      </c>
      <c r="B3250" t="s">
        <v>7441</v>
      </c>
      <c r="C3250" t="s">
        <v>190</v>
      </c>
      <c r="D3250" t="s">
        <v>191</v>
      </c>
    </row>
    <row r="3251" spans="1:4" x14ac:dyDescent="0.2">
      <c r="A3251" t="s">
        <v>7442</v>
      </c>
      <c r="B3251" t="s">
        <v>7443</v>
      </c>
      <c r="C3251" t="s">
        <v>190</v>
      </c>
      <c r="D3251" t="s">
        <v>191</v>
      </c>
    </row>
    <row r="3252" spans="1:4" x14ac:dyDescent="0.2">
      <c r="A3252" t="s">
        <v>7444</v>
      </c>
      <c r="B3252" t="s">
        <v>7445</v>
      </c>
      <c r="C3252" t="s">
        <v>7446</v>
      </c>
      <c r="D3252" t="s">
        <v>187</v>
      </c>
    </row>
    <row r="3253" spans="1:4" x14ac:dyDescent="0.2">
      <c r="A3253" t="s">
        <v>7447</v>
      </c>
      <c r="B3253" t="s">
        <v>7448</v>
      </c>
      <c r="C3253" t="s">
        <v>190</v>
      </c>
      <c r="D3253" t="s">
        <v>191</v>
      </c>
    </row>
    <row r="3254" spans="1:4" x14ac:dyDescent="0.2">
      <c r="A3254" t="s">
        <v>7449</v>
      </c>
      <c r="B3254" t="s">
        <v>7450</v>
      </c>
      <c r="C3254" t="s">
        <v>7451</v>
      </c>
      <c r="D3254" t="s">
        <v>195</v>
      </c>
    </row>
    <row r="3255" spans="1:4" x14ac:dyDescent="0.2">
      <c r="A3255" t="s">
        <v>7452</v>
      </c>
      <c r="B3255" t="s">
        <v>7453</v>
      </c>
      <c r="C3255" t="s">
        <v>7454</v>
      </c>
      <c r="D3255" t="s">
        <v>187</v>
      </c>
    </row>
    <row r="3256" spans="1:4" x14ac:dyDescent="0.2">
      <c r="A3256" t="s">
        <v>7455</v>
      </c>
      <c r="B3256" t="s">
        <v>7456</v>
      </c>
      <c r="C3256" t="s">
        <v>7457</v>
      </c>
      <c r="D3256" t="s">
        <v>195</v>
      </c>
    </row>
    <row r="3257" spans="1:4" x14ac:dyDescent="0.2">
      <c r="A3257" t="s">
        <v>7458</v>
      </c>
      <c r="B3257" t="s">
        <v>7459</v>
      </c>
      <c r="C3257" t="s">
        <v>7460</v>
      </c>
      <c r="D3257" t="s">
        <v>187</v>
      </c>
    </row>
    <row r="3258" spans="1:4" x14ac:dyDescent="0.2">
      <c r="A3258" t="s">
        <v>7461</v>
      </c>
      <c r="B3258" t="s">
        <v>7462</v>
      </c>
      <c r="C3258" t="s">
        <v>7463</v>
      </c>
      <c r="D3258" t="s">
        <v>187</v>
      </c>
    </row>
    <row r="3259" spans="1:4" x14ac:dyDescent="0.2">
      <c r="A3259" t="s">
        <v>7464</v>
      </c>
      <c r="B3259" t="s">
        <v>7465</v>
      </c>
      <c r="C3259" t="s">
        <v>190</v>
      </c>
      <c r="D3259" t="s">
        <v>191</v>
      </c>
    </row>
    <row r="3260" spans="1:4" x14ac:dyDescent="0.2">
      <c r="A3260" t="s">
        <v>7466</v>
      </c>
      <c r="B3260" t="s">
        <v>7467</v>
      </c>
      <c r="C3260" t="s">
        <v>190</v>
      </c>
      <c r="D3260" t="s">
        <v>191</v>
      </c>
    </row>
    <row r="3261" spans="1:4" x14ac:dyDescent="0.2">
      <c r="A3261" t="s">
        <v>7468</v>
      </c>
      <c r="B3261" t="s">
        <v>7469</v>
      </c>
      <c r="C3261" t="s">
        <v>190</v>
      </c>
      <c r="D3261" t="s">
        <v>191</v>
      </c>
    </row>
    <row r="3262" spans="1:4" x14ac:dyDescent="0.2">
      <c r="A3262" t="s">
        <v>7470</v>
      </c>
      <c r="B3262" t="s">
        <v>7471</v>
      </c>
      <c r="C3262" t="s">
        <v>7472</v>
      </c>
      <c r="D3262" t="s">
        <v>187</v>
      </c>
    </row>
    <row r="3263" spans="1:4" x14ac:dyDescent="0.2">
      <c r="A3263" t="s">
        <v>7473</v>
      </c>
      <c r="B3263" t="s">
        <v>7474</v>
      </c>
      <c r="C3263" t="s">
        <v>190</v>
      </c>
      <c r="D3263" t="s">
        <v>191</v>
      </c>
    </row>
    <row r="3264" spans="1:4" x14ac:dyDescent="0.2">
      <c r="A3264" t="s">
        <v>7475</v>
      </c>
      <c r="B3264" t="s">
        <v>7476</v>
      </c>
      <c r="C3264" t="s">
        <v>190</v>
      </c>
      <c r="D3264" t="s">
        <v>191</v>
      </c>
    </row>
    <row r="3265" spans="1:4" x14ac:dyDescent="0.2">
      <c r="A3265" t="s">
        <v>7477</v>
      </c>
      <c r="B3265" t="s">
        <v>7478</v>
      </c>
      <c r="C3265" t="s">
        <v>7479</v>
      </c>
      <c r="D3265" t="s">
        <v>187</v>
      </c>
    </row>
    <row r="3266" spans="1:4" x14ac:dyDescent="0.2">
      <c r="A3266" t="s">
        <v>7480</v>
      </c>
      <c r="B3266" t="s">
        <v>7481</v>
      </c>
      <c r="C3266" t="s">
        <v>7482</v>
      </c>
      <c r="D3266" t="s">
        <v>195</v>
      </c>
    </row>
    <row r="3267" spans="1:4" x14ac:dyDescent="0.2">
      <c r="A3267" t="s">
        <v>7483</v>
      </c>
      <c r="B3267" t="s">
        <v>7484</v>
      </c>
      <c r="C3267" t="s">
        <v>7485</v>
      </c>
      <c r="D3267" t="s">
        <v>195</v>
      </c>
    </row>
    <row r="3268" spans="1:4" x14ac:dyDescent="0.2">
      <c r="A3268" t="s">
        <v>7486</v>
      </c>
      <c r="B3268" t="s">
        <v>7487</v>
      </c>
      <c r="C3268" t="s">
        <v>190</v>
      </c>
      <c r="D3268" t="s">
        <v>191</v>
      </c>
    </row>
    <row r="3269" spans="1:4" x14ac:dyDescent="0.2">
      <c r="A3269" t="s">
        <v>7486</v>
      </c>
      <c r="B3269" t="s">
        <v>7488</v>
      </c>
      <c r="C3269" t="s">
        <v>190</v>
      </c>
      <c r="D3269" t="s">
        <v>191</v>
      </c>
    </row>
    <row r="3270" spans="1:4" x14ac:dyDescent="0.2">
      <c r="A3270" t="s">
        <v>7489</v>
      </c>
      <c r="B3270" t="s">
        <v>7490</v>
      </c>
      <c r="C3270" t="s">
        <v>190</v>
      </c>
      <c r="D3270" t="s">
        <v>191</v>
      </c>
    </row>
    <row r="3271" spans="1:4" x14ac:dyDescent="0.2">
      <c r="A3271" t="s">
        <v>7491</v>
      </c>
      <c r="B3271" t="s">
        <v>7492</v>
      </c>
      <c r="C3271" t="s">
        <v>190</v>
      </c>
      <c r="D3271" t="s">
        <v>191</v>
      </c>
    </row>
    <row r="3272" spans="1:4" x14ac:dyDescent="0.2">
      <c r="A3272" t="s">
        <v>7493</v>
      </c>
      <c r="B3272" t="s">
        <v>7494</v>
      </c>
      <c r="C3272" t="s">
        <v>7495</v>
      </c>
      <c r="D3272" t="s">
        <v>195</v>
      </c>
    </row>
    <row r="3273" spans="1:4" x14ac:dyDescent="0.2">
      <c r="A3273" t="s">
        <v>7496</v>
      </c>
      <c r="B3273" t="s">
        <v>7497</v>
      </c>
      <c r="C3273" t="s">
        <v>190</v>
      </c>
      <c r="D3273" t="s">
        <v>191</v>
      </c>
    </row>
    <row r="3274" spans="1:4" x14ac:dyDescent="0.2">
      <c r="A3274" t="s">
        <v>7498</v>
      </c>
      <c r="B3274" t="s">
        <v>7499</v>
      </c>
      <c r="C3274" t="s">
        <v>190</v>
      </c>
      <c r="D3274" t="s">
        <v>191</v>
      </c>
    </row>
    <row r="3275" spans="1:4" x14ac:dyDescent="0.2">
      <c r="A3275" t="s">
        <v>7500</v>
      </c>
      <c r="B3275" t="s">
        <v>7501</v>
      </c>
      <c r="C3275" t="s">
        <v>190</v>
      </c>
      <c r="D3275" t="s">
        <v>191</v>
      </c>
    </row>
    <row r="3276" spans="1:4" x14ac:dyDescent="0.2">
      <c r="A3276" t="s">
        <v>7502</v>
      </c>
      <c r="B3276" t="s">
        <v>7503</v>
      </c>
      <c r="C3276" t="s">
        <v>190</v>
      </c>
      <c r="D3276" t="s">
        <v>191</v>
      </c>
    </row>
    <row r="3277" spans="1:4" x14ac:dyDescent="0.2">
      <c r="A3277" t="s">
        <v>7504</v>
      </c>
      <c r="B3277" t="s">
        <v>7505</v>
      </c>
      <c r="C3277" t="s">
        <v>7506</v>
      </c>
      <c r="D3277" t="s">
        <v>195</v>
      </c>
    </row>
    <row r="3278" spans="1:4" x14ac:dyDescent="0.2">
      <c r="A3278" t="s">
        <v>7507</v>
      </c>
      <c r="B3278" t="s">
        <v>7508</v>
      </c>
      <c r="C3278" t="s">
        <v>190</v>
      </c>
      <c r="D3278" t="s">
        <v>191</v>
      </c>
    </row>
    <row r="3279" spans="1:4" x14ac:dyDescent="0.2">
      <c r="A3279" t="s">
        <v>7509</v>
      </c>
      <c r="B3279" t="s">
        <v>7510</v>
      </c>
      <c r="C3279" t="s">
        <v>190</v>
      </c>
      <c r="D3279" t="s">
        <v>191</v>
      </c>
    </row>
    <row r="3280" spans="1:4" x14ac:dyDescent="0.2">
      <c r="A3280" t="s">
        <v>7511</v>
      </c>
      <c r="B3280" t="s">
        <v>7512</v>
      </c>
      <c r="C3280" t="s">
        <v>190</v>
      </c>
      <c r="D3280" t="s">
        <v>7513</v>
      </c>
    </row>
    <row r="3281" spans="1:4" x14ac:dyDescent="0.2">
      <c r="A3281" t="s">
        <v>7514</v>
      </c>
      <c r="B3281" t="s">
        <v>7515</v>
      </c>
      <c r="C3281" t="s">
        <v>7516</v>
      </c>
      <c r="D3281" t="s">
        <v>195</v>
      </c>
    </row>
    <row r="3282" spans="1:4" x14ac:dyDescent="0.2">
      <c r="A3282" t="s">
        <v>7517</v>
      </c>
      <c r="B3282" t="s">
        <v>7518</v>
      </c>
      <c r="C3282" t="s">
        <v>7519</v>
      </c>
      <c r="D3282" t="s">
        <v>187</v>
      </c>
    </row>
    <row r="3283" spans="1:4" x14ac:dyDescent="0.2">
      <c r="A3283" t="s">
        <v>7520</v>
      </c>
      <c r="B3283" t="s">
        <v>7521</v>
      </c>
      <c r="C3283" t="s">
        <v>7522</v>
      </c>
      <c r="D3283" t="s">
        <v>187</v>
      </c>
    </row>
    <row r="3284" spans="1:4" x14ac:dyDescent="0.2">
      <c r="A3284" t="s">
        <v>7523</v>
      </c>
      <c r="B3284" t="s">
        <v>7524</v>
      </c>
      <c r="C3284" t="s">
        <v>190</v>
      </c>
      <c r="D3284" t="s">
        <v>191</v>
      </c>
    </row>
    <row r="3285" spans="1:4" x14ac:dyDescent="0.2">
      <c r="A3285" t="s">
        <v>7523</v>
      </c>
      <c r="B3285" t="s">
        <v>7521</v>
      </c>
      <c r="C3285" t="s">
        <v>7522</v>
      </c>
      <c r="D3285" t="s">
        <v>187</v>
      </c>
    </row>
    <row r="3286" spans="1:4" x14ac:dyDescent="0.2">
      <c r="A3286" t="s">
        <v>7525</v>
      </c>
      <c r="B3286" t="s">
        <v>7526</v>
      </c>
      <c r="C3286" t="s">
        <v>7527</v>
      </c>
      <c r="D3286" t="s">
        <v>187</v>
      </c>
    </row>
    <row r="3287" spans="1:4" x14ac:dyDescent="0.2">
      <c r="A3287" t="s">
        <v>7528</v>
      </c>
      <c r="B3287" t="s">
        <v>7529</v>
      </c>
      <c r="C3287" t="s">
        <v>190</v>
      </c>
      <c r="D3287" t="s">
        <v>191</v>
      </c>
    </row>
    <row r="3288" spans="1:4" x14ac:dyDescent="0.2">
      <c r="A3288" t="s">
        <v>7530</v>
      </c>
      <c r="B3288" t="s">
        <v>7531</v>
      </c>
      <c r="C3288" t="s">
        <v>7532</v>
      </c>
      <c r="D3288" t="s">
        <v>195</v>
      </c>
    </row>
    <row r="3289" spans="1:4" x14ac:dyDescent="0.2">
      <c r="A3289" t="s">
        <v>7533</v>
      </c>
      <c r="B3289" t="s">
        <v>7534</v>
      </c>
      <c r="C3289" t="s">
        <v>190</v>
      </c>
      <c r="D3289" t="s">
        <v>191</v>
      </c>
    </row>
    <row r="3290" spans="1:4" x14ac:dyDescent="0.2">
      <c r="A3290" t="s">
        <v>7533</v>
      </c>
      <c r="B3290" t="s">
        <v>7535</v>
      </c>
      <c r="C3290" t="s">
        <v>190</v>
      </c>
      <c r="D3290" t="s">
        <v>280</v>
      </c>
    </row>
    <row r="3291" spans="1:4" x14ac:dyDescent="0.2">
      <c r="A3291" t="s">
        <v>7536</v>
      </c>
      <c r="B3291" t="s">
        <v>7537</v>
      </c>
      <c r="C3291" t="s">
        <v>190</v>
      </c>
      <c r="D3291" t="s">
        <v>191</v>
      </c>
    </row>
    <row r="3292" spans="1:4" x14ac:dyDescent="0.2">
      <c r="A3292" t="s">
        <v>7538</v>
      </c>
      <c r="B3292" t="s">
        <v>7539</v>
      </c>
      <c r="C3292" t="s">
        <v>7540</v>
      </c>
      <c r="D3292" t="s">
        <v>187</v>
      </c>
    </row>
    <row r="3293" spans="1:4" x14ac:dyDescent="0.2">
      <c r="A3293" t="s">
        <v>7538</v>
      </c>
      <c r="B3293" t="s">
        <v>7541</v>
      </c>
      <c r="C3293" t="s">
        <v>7542</v>
      </c>
      <c r="D3293" t="s">
        <v>187</v>
      </c>
    </row>
    <row r="3294" spans="1:4" x14ac:dyDescent="0.2">
      <c r="A3294" t="s">
        <v>7543</v>
      </c>
      <c r="B3294" t="s">
        <v>7544</v>
      </c>
      <c r="C3294" t="s">
        <v>7545</v>
      </c>
      <c r="D3294" t="s">
        <v>195</v>
      </c>
    </row>
    <row r="3295" spans="1:4" x14ac:dyDescent="0.2">
      <c r="A3295" t="s">
        <v>7546</v>
      </c>
      <c r="B3295" t="s">
        <v>7547</v>
      </c>
      <c r="C3295" t="s">
        <v>190</v>
      </c>
      <c r="D3295" t="s">
        <v>191</v>
      </c>
    </row>
    <row r="3296" spans="1:4" x14ac:dyDescent="0.2">
      <c r="A3296" t="s">
        <v>7548</v>
      </c>
      <c r="B3296" t="s">
        <v>7549</v>
      </c>
      <c r="C3296" t="s">
        <v>190</v>
      </c>
      <c r="D3296" t="s">
        <v>191</v>
      </c>
    </row>
    <row r="3297" spans="1:4" x14ac:dyDescent="0.2">
      <c r="A3297" t="s">
        <v>7550</v>
      </c>
      <c r="B3297" t="s">
        <v>7551</v>
      </c>
      <c r="C3297" t="s">
        <v>190</v>
      </c>
      <c r="D3297" t="s">
        <v>191</v>
      </c>
    </row>
    <row r="3298" spans="1:4" x14ac:dyDescent="0.2">
      <c r="A3298" t="s">
        <v>7552</v>
      </c>
      <c r="B3298" t="s">
        <v>7553</v>
      </c>
      <c r="C3298" t="s">
        <v>190</v>
      </c>
      <c r="D3298" t="s">
        <v>191</v>
      </c>
    </row>
    <row r="3299" spans="1:4" x14ac:dyDescent="0.2">
      <c r="A3299" t="s">
        <v>7554</v>
      </c>
      <c r="B3299" t="s">
        <v>7555</v>
      </c>
      <c r="C3299" t="s">
        <v>7556</v>
      </c>
      <c r="D3299" t="s">
        <v>187</v>
      </c>
    </row>
    <row r="3300" spans="1:4" x14ac:dyDescent="0.2">
      <c r="A3300" t="s">
        <v>7557</v>
      </c>
      <c r="B3300" t="s">
        <v>7558</v>
      </c>
      <c r="C3300" t="s">
        <v>190</v>
      </c>
      <c r="D3300" t="s">
        <v>191</v>
      </c>
    </row>
    <row r="3301" spans="1:4" x14ac:dyDescent="0.2">
      <c r="A3301" t="s">
        <v>7559</v>
      </c>
      <c r="B3301" t="s">
        <v>7560</v>
      </c>
      <c r="C3301" t="s">
        <v>190</v>
      </c>
      <c r="D3301" t="s">
        <v>191</v>
      </c>
    </row>
    <row r="3302" spans="1:4" x14ac:dyDescent="0.2">
      <c r="A3302" t="s">
        <v>7561</v>
      </c>
      <c r="B3302" t="s">
        <v>7562</v>
      </c>
      <c r="C3302" t="s">
        <v>190</v>
      </c>
      <c r="D3302" t="s">
        <v>191</v>
      </c>
    </row>
    <row r="3303" spans="1:4" x14ac:dyDescent="0.2">
      <c r="A3303" t="s">
        <v>7563</v>
      </c>
      <c r="B3303" t="s">
        <v>7564</v>
      </c>
      <c r="C3303" t="s">
        <v>7565</v>
      </c>
      <c r="D3303" t="s">
        <v>195</v>
      </c>
    </row>
    <row r="3304" spans="1:4" x14ac:dyDescent="0.2">
      <c r="A3304" t="s">
        <v>7566</v>
      </c>
      <c r="B3304" t="s">
        <v>7567</v>
      </c>
      <c r="C3304" t="s">
        <v>190</v>
      </c>
      <c r="D3304" t="s">
        <v>191</v>
      </c>
    </row>
    <row r="3305" spans="1:4" x14ac:dyDescent="0.2">
      <c r="A3305" t="s">
        <v>7568</v>
      </c>
      <c r="B3305" t="s">
        <v>7569</v>
      </c>
      <c r="C3305" t="s">
        <v>190</v>
      </c>
      <c r="D3305" t="s">
        <v>191</v>
      </c>
    </row>
    <row r="3306" spans="1:4" x14ac:dyDescent="0.2">
      <c r="A3306" t="s">
        <v>7570</v>
      </c>
      <c r="B3306" t="s">
        <v>7571</v>
      </c>
      <c r="C3306" t="s">
        <v>190</v>
      </c>
      <c r="D3306" t="s">
        <v>191</v>
      </c>
    </row>
    <row r="3307" spans="1:4" x14ac:dyDescent="0.2">
      <c r="A3307" t="s">
        <v>7572</v>
      </c>
      <c r="B3307" t="s">
        <v>7573</v>
      </c>
      <c r="C3307" t="s">
        <v>7574</v>
      </c>
      <c r="D3307" t="s">
        <v>187</v>
      </c>
    </row>
    <row r="3308" spans="1:4" x14ac:dyDescent="0.2">
      <c r="A3308" t="s">
        <v>7575</v>
      </c>
      <c r="B3308" t="s">
        <v>7576</v>
      </c>
      <c r="C3308" t="s">
        <v>190</v>
      </c>
      <c r="D3308" t="s">
        <v>191</v>
      </c>
    </row>
    <row r="3309" spans="1:4" x14ac:dyDescent="0.2">
      <c r="A3309" t="s">
        <v>7577</v>
      </c>
      <c r="B3309" t="s">
        <v>7578</v>
      </c>
      <c r="C3309" t="s">
        <v>190</v>
      </c>
      <c r="D3309" t="s">
        <v>191</v>
      </c>
    </row>
    <row r="3310" spans="1:4" x14ac:dyDescent="0.2">
      <c r="A3310" t="s">
        <v>7579</v>
      </c>
      <c r="B3310" t="s">
        <v>7580</v>
      </c>
      <c r="C3310" t="s">
        <v>7581</v>
      </c>
      <c r="D3310" t="s">
        <v>187</v>
      </c>
    </row>
    <row r="3311" spans="1:4" x14ac:dyDescent="0.2">
      <c r="A3311" t="s">
        <v>7582</v>
      </c>
      <c r="B3311" t="s">
        <v>7583</v>
      </c>
      <c r="C3311" t="s">
        <v>7584</v>
      </c>
      <c r="D3311" t="s">
        <v>187</v>
      </c>
    </row>
    <row r="3312" spans="1:4" x14ac:dyDescent="0.2">
      <c r="A3312" t="s">
        <v>7585</v>
      </c>
      <c r="B3312" t="s">
        <v>7586</v>
      </c>
      <c r="C3312" t="s">
        <v>7587</v>
      </c>
      <c r="D3312" t="s">
        <v>195</v>
      </c>
    </row>
    <row r="3313" spans="1:4" x14ac:dyDescent="0.2">
      <c r="A3313" t="s">
        <v>7588</v>
      </c>
      <c r="B3313" t="s">
        <v>7589</v>
      </c>
      <c r="C3313" t="s">
        <v>7590</v>
      </c>
      <c r="D3313" t="s">
        <v>195</v>
      </c>
    </row>
    <row r="3314" spans="1:4" x14ac:dyDescent="0.2">
      <c r="A3314" t="s">
        <v>7591</v>
      </c>
      <c r="B3314" t="s">
        <v>7592</v>
      </c>
      <c r="C3314" t="s">
        <v>190</v>
      </c>
      <c r="D3314" t="s">
        <v>191</v>
      </c>
    </row>
    <row r="3315" spans="1:4" x14ac:dyDescent="0.2">
      <c r="A3315" t="s">
        <v>7593</v>
      </c>
      <c r="B3315" t="s">
        <v>7594</v>
      </c>
      <c r="C3315" t="s">
        <v>190</v>
      </c>
      <c r="D3315" t="s">
        <v>191</v>
      </c>
    </row>
    <row r="3316" spans="1:4" x14ac:dyDescent="0.2">
      <c r="A3316" t="s">
        <v>7595</v>
      </c>
      <c r="B3316" t="s">
        <v>7596</v>
      </c>
      <c r="C3316" t="s">
        <v>190</v>
      </c>
      <c r="D3316" t="s">
        <v>191</v>
      </c>
    </row>
    <row r="3317" spans="1:4" x14ac:dyDescent="0.2">
      <c r="A3317" t="s">
        <v>7597</v>
      </c>
      <c r="B3317" t="s">
        <v>7598</v>
      </c>
      <c r="C3317" t="s">
        <v>190</v>
      </c>
      <c r="D3317" t="s">
        <v>191</v>
      </c>
    </row>
    <row r="3318" spans="1:4" x14ac:dyDescent="0.2">
      <c r="A3318" t="s">
        <v>7597</v>
      </c>
      <c r="B3318" t="s">
        <v>7599</v>
      </c>
      <c r="C3318" t="s">
        <v>190</v>
      </c>
      <c r="D3318" t="s">
        <v>191</v>
      </c>
    </row>
    <row r="3319" spans="1:4" x14ac:dyDescent="0.2">
      <c r="A3319" t="s">
        <v>7600</v>
      </c>
      <c r="B3319" t="s">
        <v>7601</v>
      </c>
      <c r="C3319" t="s">
        <v>190</v>
      </c>
      <c r="D3319" t="s">
        <v>191</v>
      </c>
    </row>
    <row r="3320" spans="1:4" x14ac:dyDescent="0.2">
      <c r="A3320" t="s">
        <v>7602</v>
      </c>
      <c r="B3320" t="s">
        <v>7603</v>
      </c>
      <c r="C3320" t="s">
        <v>190</v>
      </c>
      <c r="D3320" t="s">
        <v>280</v>
      </c>
    </row>
    <row r="3321" spans="1:4" x14ac:dyDescent="0.2">
      <c r="A3321" t="s">
        <v>7604</v>
      </c>
      <c r="B3321" t="s">
        <v>7605</v>
      </c>
      <c r="C3321" t="s">
        <v>190</v>
      </c>
      <c r="D3321" t="s">
        <v>191</v>
      </c>
    </row>
    <row r="3322" spans="1:4" x14ac:dyDescent="0.2">
      <c r="A3322" t="s">
        <v>7606</v>
      </c>
      <c r="B3322" t="s">
        <v>7607</v>
      </c>
      <c r="C3322" t="s">
        <v>190</v>
      </c>
      <c r="D3322" t="s">
        <v>191</v>
      </c>
    </row>
    <row r="3323" spans="1:4" x14ac:dyDescent="0.2">
      <c r="A3323" t="s">
        <v>7606</v>
      </c>
      <c r="B3323" t="s">
        <v>7608</v>
      </c>
      <c r="C3323" t="s">
        <v>7609</v>
      </c>
      <c r="D3323" t="s">
        <v>187</v>
      </c>
    </row>
    <row r="3324" spans="1:4" x14ac:dyDescent="0.2">
      <c r="A3324" t="s">
        <v>7610</v>
      </c>
      <c r="B3324" t="s">
        <v>7611</v>
      </c>
      <c r="C3324" t="s">
        <v>7612</v>
      </c>
      <c r="D3324" t="s">
        <v>187</v>
      </c>
    </row>
    <row r="3325" spans="1:4" x14ac:dyDescent="0.2">
      <c r="A3325" t="s">
        <v>7613</v>
      </c>
      <c r="B3325" t="s">
        <v>7614</v>
      </c>
      <c r="C3325" t="s">
        <v>190</v>
      </c>
      <c r="D3325" t="s">
        <v>191</v>
      </c>
    </row>
    <row r="3326" spans="1:4" x14ac:dyDescent="0.2">
      <c r="A3326" t="s">
        <v>7615</v>
      </c>
      <c r="B3326" t="s">
        <v>7616</v>
      </c>
      <c r="C3326" t="s">
        <v>7617</v>
      </c>
      <c r="D3326" t="s">
        <v>195</v>
      </c>
    </row>
    <row r="3327" spans="1:4" x14ac:dyDescent="0.2">
      <c r="A3327" t="s">
        <v>7615</v>
      </c>
      <c r="B3327" t="s">
        <v>7618</v>
      </c>
      <c r="C3327" t="s">
        <v>7619</v>
      </c>
      <c r="D3327" t="s">
        <v>195</v>
      </c>
    </row>
    <row r="3328" spans="1:4" x14ac:dyDescent="0.2">
      <c r="A3328" t="s">
        <v>7620</v>
      </c>
      <c r="B3328" t="s">
        <v>7621</v>
      </c>
      <c r="C3328" t="s">
        <v>190</v>
      </c>
      <c r="D3328" t="s">
        <v>191</v>
      </c>
    </row>
    <row r="3329" spans="1:4" x14ac:dyDescent="0.2">
      <c r="A3329" t="s">
        <v>7622</v>
      </c>
      <c r="B3329" t="s">
        <v>7623</v>
      </c>
      <c r="C3329" t="s">
        <v>190</v>
      </c>
      <c r="D3329" t="s">
        <v>7624</v>
      </c>
    </row>
    <row r="3330" spans="1:4" x14ac:dyDescent="0.2">
      <c r="A3330" t="s">
        <v>7622</v>
      </c>
      <c r="B3330" t="s">
        <v>7625</v>
      </c>
      <c r="C3330" t="s">
        <v>190</v>
      </c>
      <c r="D3330" t="s">
        <v>191</v>
      </c>
    </row>
    <row r="3331" spans="1:4" x14ac:dyDescent="0.2">
      <c r="A3331" t="s">
        <v>7626</v>
      </c>
      <c r="B3331" t="s">
        <v>7627</v>
      </c>
      <c r="C3331" t="s">
        <v>190</v>
      </c>
      <c r="D3331" t="s">
        <v>191</v>
      </c>
    </row>
    <row r="3332" spans="1:4" x14ac:dyDescent="0.2">
      <c r="A3332" t="s">
        <v>7628</v>
      </c>
      <c r="B3332" t="s">
        <v>7629</v>
      </c>
      <c r="C3332" t="s">
        <v>190</v>
      </c>
      <c r="D3332" t="s">
        <v>191</v>
      </c>
    </row>
    <row r="3333" spans="1:4" x14ac:dyDescent="0.2">
      <c r="A3333" t="s">
        <v>7630</v>
      </c>
      <c r="B3333" t="s">
        <v>7631</v>
      </c>
      <c r="C3333" t="s">
        <v>190</v>
      </c>
      <c r="D3333" t="s">
        <v>191</v>
      </c>
    </row>
    <row r="3334" spans="1:4" x14ac:dyDescent="0.2">
      <c r="A3334" t="s">
        <v>7632</v>
      </c>
      <c r="B3334" t="s">
        <v>7633</v>
      </c>
      <c r="C3334" t="s">
        <v>190</v>
      </c>
      <c r="D3334" t="s">
        <v>191</v>
      </c>
    </row>
    <row r="3335" spans="1:4" x14ac:dyDescent="0.2">
      <c r="A3335" t="s">
        <v>7634</v>
      </c>
      <c r="B3335" t="s">
        <v>7635</v>
      </c>
      <c r="C3335" t="s">
        <v>190</v>
      </c>
      <c r="D3335" t="s">
        <v>191</v>
      </c>
    </row>
    <row r="3336" spans="1:4" x14ac:dyDescent="0.2">
      <c r="A3336" t="s">
        <v>7636</v>
      </c>
      <c r="B3336" t="s">
        <v>7637</v>
      </c>
      <c r="C3336" t="s">
        <v>7638</v>
      </c>
      <c r="D3336" t="s">
        <v>187</v>
      </c>
    </row>
    <row r="3337" spans="1:4" x14ac:dyDescent="0.2">
      <c r="A3337" t="s">
        <v>7639</v>
      </c>
      <c r="B3337" t="s">
        <v>7640</v>
      </c>
      <c r="C3337" t="s">
        <v>190</v>
      </c>
      <c r="D3337" t="s">
        <v>191</v>
      </c>
    </row>
    <row r="3338" spans="1:4" x14ac:dyDescent="0.2">
      <c r="A3338" t="s">
        <v>7641</v>
      </c>
      <c r="B3338" t="s">
        <v>7642</v>
      </c>
      <c r="C3338" t="s">
        <v>7643</v>
      </c>
      <c r="D3338" t="s">
        <v>187</v>
      </c>
    </row>
    <row r="3339" spans="1:4" x14ac:dyDescent="0.2">
      <c r="A3339" t="s">
        <v>7644</v>
      </c>
      <c r="B3339" t="s">
        <v>7645</v>
      </c>
      <c r="C3339" t="s">
        <v>7646</v>
      </c>
      <c r="D3339" t="s">
        <v>195</v>
      </c>
    </row>
    <row r="3340" spans="1:4" x14ac:dyDescent="0.2">
      <c r="A3340" t="s">
        <v>7647</v>
      </c>
      <c r="B3340" t="s">
        <v>7648</v>
      </c>
      <c r="C3340" t="s">
        <v>190</v>
      </c>
      <c r="D3340" t="s">
        <v>191</v>
      </c>
    </row>
    <row r="3341" spans="1:4" x14ac:dyDescent="0.2">
      <c r="A3341" t="s">
        <v>7649</v>
      </c>
      <c r="B3341" t="s">
        <v>7650</v>
      </c>
      <c r="C3341" t="s">
        <v>190</v>
      </c>
      <c r="D3341" t="s">
        <v>191</v>
      </c>
    </row>
    <row r="3342" spans="1:4" x14ac:dyDescent="0.2">
      <c r="A3342" t="s">
        <v>7651</v>
      </c>
      <c r="B3342" t="s">
        <v>7652</v>
      </c>
      <c r="C3342" t="s">
        <v>190</v>
      </c>
      <c r="D3342" t="s">
        <v>191</v>
      </c>
    </row>
    <row r="3343" spans="1:4" x14ac:dyDescent="0.2">
      <c r="A3343" t="s">
        <v>7653</v>
      </c>
      <c r="B3343" t="s">
        <v>7654</v>
      </c>
      <c r="C3343" t="s">
        <v>7655</v>
      </c>
      <c r="D3343" t="s">
        <v>187</v>
      </c>
    </row>
    <row r="3344" spans="1:4" x14ac:dyDescent="0.2">
      <c r="A3344" t="s">
        <v>7656</v>
      </c>
      <c r="B3344" t="s">
        <v>7657</v>
      </c>
      <c r="C3344" t="s">
        <v>190</v>
      </c>
      <c r="D3344" t="s">
        <v>191</v>
      </c>
    </row>
    <row r="3345" spans="1:4" x14ac:dyDescent="0.2">
      <c r="A3345" t="s">
        <v>7656</v>
      </c>
      <c r="B3345" t="s">
        <v>7658</v>
      </c>
      <c r="C3345" t="s">
        <v>190</v>
      </c>
      <c r="D3345" t="s">
        <v>191</v>
      </c>
    </row>
    <row r="3346" spans="1:4" x14ac:dyDescent="0.2">
      <c r="A3346" t="s">
        <v>7659</v>
      </c>
      <c r="B3346" t="s">
        <v>7660</v>
      </c>
      <c r="C3346" t="s">
        <v>190</v>
      </c>
      <c r="D3346" t="s">
        <v>191</v>
      </c>
    </row>
    <row r="3347" spans="1:4" x14ac:dyDescent="0.2">
      <c r="A3347" t="s">
        <v>7661</v>
      </c>
      <c r="B3347" t="s">
        <v>7662</v>
      </c>
      <c r="C3347" t="s">
        <v>190</v>
      </c>
      <c r="D3347" t="s">
        <v>280</v>
      </c>
    </row>
    <row r="3348" spans="1:4" x14ac:dyDescent="0.2">
      <c r="A3348" t="s">
        <v>7663</v>
      </c>
      <c r="B3348" t="s">
        <v>7664</v>
      </c>
      <c r="C3348" t="s">
        <v>190</v>
      </c>
      <c r="D3348" t="s">
        <v>280</v>
      </c>
    </row>
    <row r="3349" spans="1:4" x14ac:dyDescent="0.2">
      <c r="A3349" t="s">
        <v>7663</v>
      </c>
      <c r="B3349" t="s">
        <v>7665</v>
      </c>
      <c r="C3349" t="s">
        <v>190</v>
      </c>
      <c r="D3349" t="s">
        <v>280</v>
      </c>
    </row>
    <row r="3350" spans="1:4" x14ac:dyDescent="0.2">
      <c r="A3350" t="s">
        <v>7666</v>
      </c>
      <c r="B3350" t="s">
        <v>7667</v>
      </c>
      <c r="C3350" t="s">
        <v>7668</v>
      </c>
      <c r="D3350" t="s">
        <v>195</v>
      </c>
    </row>
    <row r="3351" spans="1:4" x14ac:dyDescent="0.2">
      <c r="A3351" t="s">
        <v>7669</v>
      </c>
      <c r="B3351" t="s">
        <v>7670</v>
      </c>
      <c r="C3351" t="s">
        <v>7671</v>
      </c>
      <c r="D3351" t="s">
        <v>195</v>
      </c>
    </row>
    <row r="3352" spans="1:4" x14ac:dyDescent="0.2">
      <c r="A3352" t="s">
        <v>7672</v>
      </c>
      <c r="B3352" t="s">
        <v>7673</v>
      </c>
      <c r="C3352" t="s">
        <v>7674</v>
      </c>
      <c r="D3352" t="s">
        <v>195</v>
      </c>
    </row>
    <row r="3353" spans="1:4" x14ac:dyDescent="0.2">
      <c r="A3353" t="s">
        <v>7675</v>
      </c>
      <c r="B3353" t="s">
        <v>7676</v>
      </c>
      <c r="C3353" t="s">
        <v>190</v>
      </c>
      <c r="D3353" t="s">
        <v>191</v>
      </c>
    </row>
    <row r="3354" spans="1:4" x14ac:dyDescent="0.2">
      <c r="A3354" t="s">
        <v>7677</v>
      </c>
      <c r="B3354" t="s">
        <v>7678</v>
      </c>
      <c r="C3354" t="s">
        <v>7679</v>
      </c>
      <c r="D3354" t="s">
        <v>195</v>
      </c>
    </row>
    <row r="3355" spans="1:4" x14ac:dyDescent="0.2">
      <c r="A3355" t="s">
        <v>7680</v>
      </c>
      <c r="B3355" t="s">
        <v>7681</v>
      </c>
      <c r="C3355" t="s">
        <v>190</v>
      </c>
      <c r="D3355" t="s">
        <v>191</v>
      </c>
    </row>
    <row r="3356" spans="1:4" x14ac:dyDescent="0.2">
      <c r="A3356" t="s">
        <v>7682</v>
      </c>
      <c r="B3356" t="s">
        <v>7683</v>
      </c>
      <c r="C3356" t="s">
        <v>7684</v>
      </c>
      <c r="D3356" t="s">
        <v>195</v>
      </c>
    </row>
    <row r="3357" spans="1:4" x14ac:dyDescent="0.2">
      <c r="A3357" t="s">
        <v>7685</v>
      </c>
      <c r="B3357" t="s">
        <v>7686</v>
      </c>
      <c r="C3357" t="s">
        <v>7687</v>
      </c>
      <c r="D3357" t="s">
        <v>195</v>
      </c>
    </row>
    <row r="3358" spans="1:4" x14ac:dyDescent="0.2">
      <c r="A3358" t="s">
        <v>7688</v>
      </c>
      <c r="B3358" t="s">
        <v>7689</v>
      </c>
      <c r="C3358" t="s">
        <v>7690</v>
      </c>
      <c r="D3358" t="s">
        <v>195</v>
      </c>
    </row>
    <row r="3359" spans="1:4" x14ac:dyDescent="0.2">
      <c r="A3359" t="s">
        <v>7691</v>
      </c>
      <c r="B3359" t="s">
        <v>7692</v>
      </c>
      <c r="C3359" t="s">
        <v>190</v>
      </c>
      <c r="D3359" t="s">
        <v>191</v>
      </c>
    </row>
    <row r="3360" spans="1:4" x14ac:dyDescent="0.2">
      <c r="A3360" t="s">
        <v>7693</v>
      </c>
      <c r="B3360" t="s">
        <v>7694</v>
      </c>
      <c r="C3360" t="s">
        <v>190</v>
      </c>
      <c r="D3360" t="s">
        <v>191</v>
      </c>
    </row>
    <row r="3361" spans="1:4" x14ac:dyDescent="0.2">
      <c r="A3361" t="s">
        <v>7695</v>
      </c>
      <c r="B3361" t="s">
        <v>7696</v>
      </c>
      <c r="C3361" t="s">
        <v>190</v>
      </c>
      <c r="D3361" t="s">
        <v>191</v>
      </c>
    </row>
    <row r="3362" spans="1:4" x14ac:dyDescent="0.2">
      <c r="A3362" t="s">
        <v>7697</v>
      </c>
      <c r="B3362" t="s">
        <v>7698</v>
      </c>
      <c r="C3362" t="s">
        <v>190</v>
      </c>
      <c r="D3362" t="s">
        <v>191</v>
      </c>
    </row>
    <row r="3363" spans="1:4" x14ac:dyDescent="0.2">
      <c r="A3363" t="s">
        <v>7699</v>
      </c>
      <c r="B3363" t="s">
        <v>7700</v>
      </c>
      <c r="C3363" t="s">
        <v>190</v>
      </c>
      <c r="D3363" t="s">
        <v>191</v>
      </c>
    </row>
    <row r="3364" spans="1:4" x14ac:dyDescent="0.2">
      <c r="A3364" t="s">
        <v>7701</v>
      </c>
      <c r="B3364" t="s">
        <v>7702</v>
      </c>
      <c r="C3364" t="s">
        <v>7703</v>
      </c>
      <c r="D3364" t="s">
        <v>195</v>
      </c>
    </row>
    <row r="3365" spans="1:4" x14ac:dyDescent="0.2">
      <c r="A3365" t="s">
        <v>7704</v>
      </c>
      <c r="B3365" t="s">
        <v>7705</v>
      </c>
      <c r="C3365" t="s">
        <v>190</v>
      </c>
      <c r="D3365" t="s">
        <v>7706</v>
      </c>
    </row>
    <row r="3366" spans="1:4" x14ac:dyDescent="0.2">
      <c r="A3366" t="s">
        <v>7707</v>
      </c>
      <c r="B3366" t="s">
        <v>7708</v>
      </c>
      <c r="C3366" t="s">
        <v>190</v>
      </c>
      <c r="D3366" t="s">
        <v>191</v>
      </c>
    </row>
    <row r="3367" spans="1:4" x14ac:dyDescent="0.2">
      <c r="A3367" t="s">
        <v>7709</v>
      </c>
      <c r="B3367" t="s">
        <v>7710</v>
      </c>
      <c r="C3367" t="s">
        <v>7711</v>
      </c>
      <c r="D3367" t="s">
        <v>195</v>
      </c>
    </row>
    <row r="3368" spans="1:4" x14ac:dyDescent="0.2">
      <c r="A3368" t="s">
        <v>7712</v>
      </c>
      <c r="B3368" t="s">
        <v>7713</v>
      </c>
      <c r="C3368" t="s">
        <v>190</v>
      </c>
      <c r="D3368" t="s">
        <v>191</v>
      </c>
    </row>
    <row r="3369" spans="1:4" x14ac:dyDescent="0.2">
      <c r="A3369" t="s">
        <v>7714</v>
      </c>
      <c r="B3369" t="s">
        <v>7715</v>
      </c>
      <c r="C3369" t="s">
        <v>7716</v>
      </c>
      <c r="D3369" t="s">
        <v>187</v>
      </c>
    </row>
    <row r="3370" spans="1:4" x14ac:dyDescent="0.2">
      <c r="A3370" t="s">
        <v>7717</v>
      </c>
      <c r="B3370" t="s">
        <v>7718</v>
      </c>
      <c r="C3370" t="s">
        <v>190</v>
      </c>
      <c r="D3370" t="s">
        <v>191</v>
      </c>
    </row>
    <row r="3371" spans="1:4" x14ac:dyDescent="0.2">
      <c r="A3371" t="s">
        <v>7719</v>
      </c>
      <c r="B3371" t="s">
        <v>7720</v>
      </c>
      <c r="C3371" t="s">
        <v>7721</v>
      </c>
      <c r="D3371" t="s">
        <v>187</v>
      </c>
    </row>
    <row r="3372" spans="1:4" x14ac:dyDescent="0.2">
      <c r="A3372" t="s">
        <v>7722</v>
      </c>
      <c r="B3372" t="s">
        <v>7723</v>
      </c>
      <c r="C3372" t="s">
        <v>7724</v>
      </c>
      <c r="D3372" t="s">
        <v>195</v>
      </c>
    </row>
    <row r="3373" spans="1:4" x14ac:dyDescent="0.2">
      <c r="A3373" t="s">
        <v>7725</v>
      </c>
      <c r="B3373" t="s">
        <v>7726</v>
      </c>
      <c r="C3373" t="s">
        <v>190</v>
      </c>
      <c r="D3373" t="s">
        <v>191</v>
      </c>
    </row>
    <row r="3374" spans="1:4" x14ac:dyDescent="0.2">
      <c r="A3374" t="s">
        <v>7727</v>
      </c>
      <c r="B3374" t="s">
        <v>7728</v>
      </c>
      <c r="C3374" t="s">
        <v>190</v>
      </c>
      <c r="D3374" t="s">
        <v>191</v>
      </c>
    </row>
    <row r="3375" spans="1:4" x14ac:dyDescent="0.2">
      <c r="A3375" t="s">
        <v>7729</v>
      </c>
      <c r="B3375" t="s">
        <v>7730</v>
      </c>
      <c r="C3375" t="s">
        <v>7731</v>
      </c>
      <c r="D3375" t="s">
        <v>195</v>
      </c>
    </row>
    <row r="3376" spans="1:4" x14ac:dyDescent="0.2">
      <c r="A3376" t="s">
        <v>7732</v>
      </c>
      <c r="B3376" t="s">
        <v>7733</v>
      </c>
      <c r="C3376" t="s">
        <v>190</v>
      </c>
      <c r="D3376" t="s">
        <v>191</v>
      </c>
    </row>
    <row r="3377" spans="1:4" x14ac:dyDescent="0.2">
      <c r="A3377" t="s">
        <v>7734</v>
      </c>
      <c r="B3377" t="s">
        <v>7735</v>
      </c>
      <c r="C3377" t="s">
        <v>190</v>
      </c>
      <c r="D3377" t="s">
        <v>191</v>
      </c>
    </row>
    <row r="3378" spans="1:4" x14ac:dyDescent="0.2">
      <c r="A3378" t="s">
        <v>7736</v>
      </c>
      <c r="B3378" t="s">
        <v>7737</v>
      </c>
      <c r="C3378" t="s">
        <v>190</v>
      </c>
      <c r="D3378" t="s">
        <v>191</v>
      </c>
    </row>
    <row r="3379" spans="1:4" x14ac:dyDescent="0.2">
      <c r="A3379" t="s">
        <v>7738</v>
      </c>
      <c r="B3379" t="s">
        <v>7739</v>
      </c>
      <c r="C3379" t="s">
        <v>7740</v>
      </c>
      <c r="D3379" t="s">
        <v>187</v>
      </c>
    </row>
    <row r="3380" spans="1:4" x14ac:dyDescent="0.2">
      <c r="A3380" t="s">
        <v>7741</v>
      </c>
      <c r="B3380" t="s">
        <v>7742</v>
      </c>
      <c r="C3380" t="s">
        <v>190</v>
      </c>
      <c r="D3380" t="s">
        <v>191</v>
      </c>
    </row>
    <row r="3381" spans="1:4" x14ac:dyDescent="0.2">
      <c r="A3381" t="s">
        <v>7743</v>
      </c>
      <c r="B3381" t="s">
        <v>7744</v>
      </c>
      <c r="C3381" t="s">
        <v>190</v>
      </c>
      <c r="D3381" t="s">
        <v>191</v>
      </c>
    </row>
    <row r="3382" spans="1:4" x14ac:dyDescent="0.2">
      <c r="A3382" t="s">
        <v>7745</v>
      </c>
      <c r="B3382" t="s">
        <v>7746</v>
      </c>
      <c r="C3382" t="s">
        <v>190</v>
      </c>
      <c r="D3382" t="s">
        <v>191</v>
      </c>
    </row>
    <row r="3383" spans="1:4" x14ac:dyDescent="0.2">
      <c r="A3383" t="s">
        <v>7747</v>
      </c>
      <c r="B3383" t="s">
        <v>7748</v>
      </c>
      <c r="C3383" t="s">
        <v>7749</v>
      </c>
      <c r="D3383" t="s">
        <v>187</v>
      </c>
    </row>
    <row r="3384" spans="1:4" x14ac:dyDescent="0.2">
      <c r="A3384" t="s">
        <v>7750</v>
      </c>
      <c r="B3384" t="s">
        <v>7751</v>
      </c>
      <c r="C3384" t="s">
        <v>190</v>
      </c>
      <c r="D3384" t="s">
        <v>191</v>
      </c>
    </row>
    <row r="3385" spans="1:4" x14ac:dyDescent="0.2">
      <c r="A3385" t="s">
        <v>7752</v>
      </c>
      <c r="B3385" t="s">
        <v>7753</v>
      </c>
      <c r="C3385" t="s">
        <v>190</v>
      </c>
      <c r="D3385" t="s">
        <v>191</v>
      </c>
    </row>
    <row r="3386" spans="1:4" x14ac:dyDescent="0.2">
      <c r="A3386" t="s">
        <v>7754</v>
      </c>
      <c r="B3386" t="s">
        <v>7755</v>
      </c>
      <c r="C3386" t="s">
        <v>7756</v>
      </c>
      <c r="D3386" t="s">
        <v>195</v>
      </c>
    </row>
    <row r="3387" spans="1:4" x14ac:dyDescent="0.2">
      <c r="A3387" t="s">
        <v>7757</v>
      </c>
      <c r="B3387" t="s">
        <v>7758</v>
      </c>
      <c r="C3387" t="s">
        <v>190</v>
      </c>
      <c r="D3387" t="s">
        <v>191</v>
      </c>
    </row>
    <row r="3388" spans="1:4" x14ac:dyDescent="0.2">
      <c r="A3388" t="s">
        <v>7759</v>
      </c>
      <c r="B3388" t="s">
        <v>7760</v>
      </c>
      <c r="C3388" t="s">
        <v>7761</v>
      </c>
      <c r="D3388" t="s">
        <v>195</v>
      </c>
    </row>
    <row r="3389" spans="1:4" x14ac:dyDescent="0.2">
      <c r="A3389" t="s">
        <v>7762</v>
      </c>
      <c r="B3389" t="s">
        <v>7763</v>
      </c>
      <c r="C3389" t="s">
        <v>190</v>
      </c>
      <c r="D3389" t="s">
        <v>191</v>
      </c>
    </row>
    <row r="3390" spans="1:4" x14ac:dyDescent="0.2">
      <c r="A3390" t="s">
        <v>7764</v>
      </c>
      <c r="B3390" t="s">
        <v>7765</v>
      </c>
      <c r="C3390" t="s">
        <v>7766</v>
      </c>
      <c r="D3390" t="s">
        <v>187</v>
      </c>
    </row>
    <row r="3391" spans="1:4" x14ac:dyDescent="0.2">
      <c r="A3391" t="s">
        <v>7767</v>
      </c>
      <c r="B3391" t="s">
        <v>7768</v>
      </c>
      <c r="C3391" t="s">
        <v>7769</v>
      </c>
      <c r="D3391" t="s">
        <v>187</v>
      </c>
    </row>
    <row r="3392" spans="1:4" x14ac:dyDescent="0.2">
      <c r="A3392" t="s">
        <v>7770</v>
      </c>
      <c r="B3392" t="s">
        <v>7771</v>
      </c>
      <c r="C3392" t="s">
        <v>7772</v>
      </c>
      <c r="D3392" t="s">
        <v>195</v>
      </c>
    </row>
    <row r="3393" spans="1:4" x14ac:dyDescent="0.2">
      <c r="A3393" t="s">
        <v>7773</v>
      </c>
      <c r="B3393" t="s">
        <v>7774</v>
      </c>
      <c r="C3393" t="s">
        <v>190</v>
      </c>
      <c r="D3393" t="s">
        <v>280</v>
      </c>
    </row>
    <row r="3394" spans="1:4" x14ac:dyDescent="0.2">
      <c r="A3394" t="s">
        <v>7775</v>
      </c>
      <c r="B3394" t="s">
        <v>7776</v>
      </c>
      <c r="C3394" t="s">
        <v>7777</v>
      </c>
      <c r="D3394" t="s">
        <v>195</v>
      </c>
    </row>
    <row r="3395" spans="1:4" x14ac:dyDescent="0.2">
      <c r="A3395" t="s">
        <v>7778</v>
      </c>
      <c r="B3395" t="s">
        <v>7779</v>
      </c>
      <c r="C3395" t="s">
        <v>190</v>
      </c>
      <c r="D3395" t="s">
        <v>191</v>
      </c>
    </row>
    <row r="3396" spans="1:4" x14ac:dyDescent="0.2">
      <c r="A3396" t="s">
        <v>7780</v>
      </c>
      <c r="B3396" t="s">
        <v>7781</v>
      </c>
      <c r="C3396" t="s">
        <v>7782</v>
      </c>
      <c r="D3396" t="s">
        <v>187</v>
      </c>
    </row>
    <row r="3397" spans="1:4" x14ac:dyDescent="0.2">
      <c r="A3397" t="s">
        <v>7783</v>
      </c>
      <c r="B3397" t="s">
        <v>7784</v>
      </c>
      <c r="C3397" t="s">
        <v>190</v>
      </c>
      <c r="D3397" t="s">
        <v>191</v>
      </c>
    </row>
    <row r="3398" spans="1:4" x14ac:dyDescent="0.2">
      <c r="A3398" t="s">
        <v>7785</v>
      </c>
      <c r="B3398" t="s">
        <v>7786</v>
      </c>
      <c r="C3398" t="s">
        <v>7787</v>
      </c>
      <c r="D3398" t="s">
        <v>195</v>
      </c>
    </row>
    <row r="3399" spans="1:4" x14ac:dyDescent="0.2">
      <c r="A3399" t="s">
        <v>7788</v>
      </c>
      <c r="B3399" t="s">
        <v>7789</v>
      </c>
      <c r="C3399" t="s">
        <v>7790</v>
      </c>
      <c r="D3399" t="s">
        <v>195</v>
      </c>
    </row>
    <row r="3400" spans="1:4" x14ac:dyDescent="0.2">
      <c r="A3400" t="s">
        <v>7791</v>
      </c>
      <c r="B3400" t="s">
        <v>7792</v>
      </c>
      <c r="C3400" t="s">
        <v>190</v>
      </c>
      <c r="D3400" t="s">
        <v>191</v>
      </c>
    </row>
    <row r="3401" spans="1:4" x14ac:dyDescent="0.2">
      <c r="A3401" t="s">
        <v>7791</v>
      </c>
      <c r="B3401" t="s">
        <v>7793</v>
      </c>
      <c r="C3401" t="s">
        <v>190</v>
      </c>
      <c r="D3401" t="s">
        <v>191</v>
      </c>
    </row>
    <row r="3402" spans="1:4" x14ac:dyDescent="0.2">
      <c r="A3402" t="s">
        <v>7794</v>
      </c>
      <c r="B3402" t="s">
        <v>7795</v>
      </c>
      <c r="C3402" t="s">
        <v>190</v>
      </c>
      <c r="D3402" t="s">
        <v>7796</v>
      </c>
    </row>
    <row r="3403" spans="1:4" x14ac:dyDescent="0.2">
      <c r="A3403" t="s">
        <v>7797</v>
      </c>
      <c r="B3403" t="s">
        <v>7798</v>
      </c>
      <c r="C3403" t="s">
        <v>190</v>
      </c>
      <c r="D3403" t="s">
        <v>7799</v>
      </c>
    </row>
    <row r="3404" spans="1:4" x14ac:dyDescent="0.2">
      <c r="A3404" t="s">
        <v>7800</v>
      </c>
      <c r="B3404" t="s">
        <v>7801</v>
      </c>
      <c r="C3404" t="s">
        <v>190</v>
      </c>
      <c r="D3404" t="s">
        <v>7802</v>
      </c>
    </row>
    <row r="3405" spans="1:4" x14ac:dyDescent="0.2">
      <c r="A3405" t="s">
        <v>7803</v>
      </c>
      <c r="B3405" t="s">
        <v>7804</v>
      </c>
      <c r="C3405" t="s">
        <v>190</v>
      </c>
      <c r="D3405" t="s">
        <v>7805</v>
      </c>
    </row>
    <row r="3406" spans="1:4" x14ac:dyDescent="0.2">
      <c r="A3406" t="s">
        <v>7806</v>
      </c>
      <c r="B3406" t="s">
        <v>7807</v>
      </c>
      <c r="C3406" t="s">
        <v>190</v>
      </c>
      <c r="D3406" t="s">
        <v>191</v>
      </c>
    </row>
    <row r="3407" spans="1:4" x14ac:dyDescent="0.2">
      <c r="A3407" t="s">
        <v>7808</v>
      </c>
      <c r="B3407" t="s">
        <v>7809</v>
      </c>
      <c r="C3407" t="s">
        <v>190</v>
      </c>
      <c r="D3407" t="s">
        <v>191</v>
      </c>
    </row>
    <row r="3408" spans="1:4" x14ac:dyDescent="0.2">
      <c r="A3408" t="s">
        <v>7810</v>
      </c>
      <c r="B3408" t="s">
        <v>7811</v>
      </c>
      <c r="C3408" t="s">
        <v>190</v>
      </c>
      <c r="D3408" t="s">
        <v>191</v>
      </c>
    </row>
    <row r="3409" spans="1:4" x14ac:dyDescent="0.2">
      <c r="A3409" t="s">
        <v>7812</v>
      </c>
      <c r="B3409" t="s">
        <v>7813</v>
      </c>
      <c r="C3409" t="s">
        <v>190</v>
      </c>
      <c r="D3409" t="s">
        <v>191</v>
      </c>
    </row>
    <row r="3410" spans="1:4" x14ac:dyDescent="0.2">
      <c r="A3410" t="s">
        <v>7814</v>
      </c>
      <c r="B3410" t="s">
        <v>7815</v>
      </c>
      <c r="C3410" t="s">
        <v>7816</v>
      </c>
      <c r="D3410" t="s">
        <v>187</v>
      </c>
    </row>
    <row r="3411" spans="1:4" x14ac:dyDescent="0.2">
      <c r="A3411" t="s">
        <v>7817</v>
      </c>
      <c r="B3411" t="s">
        <v>7818</v>
      </c>
      <c r="C3411" t="s">
        <v>190</v>
      </c>
      <c r="D3411" t="s">
        <v>191</v>
      </c>
    </row>
    <row r="3412" spans="1:4" x14ac:dyDescent="0.2">
      <c r="A3412" t="s">
        <v>7819</v>
      </c>
      <c r="B3412" t="s">
        <v>7820</v>
      </c>
      <c r="C3412" t="s">
        <v>190</v>
      </c>
      <c r="D3412" t="s">
        <v>191</v>
      </c>
    </row>
    <row r="3413" spans="1:4" x14ac:dyDescent="0.2">
      <c r="A3413" t="s">
        <v>7819</v>
      </c>
      <c r="B3413" t="s">
        <v>7821</v>
      </c>
      <c r="C3413" t="s">
        <v>190</v>
      </c>
      <c r="D3413" t="s">
        <v>191</v>
      </c>
    </row>
    <row r="3414" spans="1:4" x14ac:dyDescent="0.2">
      <c r="A3414" t="s">
        <v>7822</v>
      </c>
      <c r="B3414" t="s">
        <v>7823</v>
      </c>
      <c r="C3414" t="s">
        <v>190</v>
      </c>
      <c r="D3414" t="s">
        <v>191</v>
      </c>
    </row>
    <row r="3415" spans="1:4" x14ac:dyDescent="0.2">
      <c r="A3415" t="s">
        <v>7824</v>
      </c>
      <c r="B3415" t="s">
        <v>7825</v>
      </c>
      <c r="C3415" t="s">
        <v>7826</v>
      </c>
      <c r="D3415" t="s">
        <v>187</v>
      </c>
    </row>
    <row r="3416" spans="1:4" x14ac:dyDescent="0.2">
      <c r="A3416" t="s">
        <v>7827</v>
      </c>
      <c r="B3416" t="s">
        <v>7828</v>
      </c>
      <c r="C3416" t="s">
        <v>190</v>
      </c>
      <c r="D3416" t="s">
        <v>7829</v>
      </c>
    </row>
    <row r="3417" spans="1:4" x14ac:dyDescent="0.2">
      <c r="A3417" t="s">
        <v>7830</v>
      </c>
      <c r="B3417" t="s">
        <v>7831</v>
      </c>
      <c r="C3417" t="s">
        <v>190</v>
      </c>
      <c r="D3417" t="s">
        <v>191</v>
      </c>
    </row>
    <row r="3418" spans="1:4" x14ac:dyDescent="0.2">
      <c r="A3418" t="s">
        <v>7832</v>
      </c>
      <c r="B3418" t="s">
        <v>7833</v>
      </c>
      <c r="C3418" t="s">
        <v>190</v>
      </c>
      <c r="D3418" t="s">
        <v>191</v>
      </c>
    </row>
    <row r="3419" spans="1:4" x14ac:dyDescent="0.2">
      <c r="A3419" t="s">
        <v>7834</v>
      </c>
      <c r="B3419" t="s">
        <v>7835</v>
      </c>
      <c r="C3419" t="s">
        <v>7836</v>
      </c>
      <c r="D3419" t="s">
        <v>195</v>
      </c>
    </row>
    <row r="3420" spans="1:4" x14ac:dyDescent="0.2">
      <c r="A3420" t="s">
        <v>7834</v>
      </c>
      <c r="B3420" t="s">
        <v>7837</v>
      </c>
      <c r="C3420" t="s">
        <v>7838</v>
      </c>
      <c r="D3420" t="s">
        <v>195</v>
      </c>
    </row>
    <row r="3421" spans="1:4" x14ac:dyDescent="0.2">
      <c r="A3421" t="s">
        <v>7839</v>
      </c>
      <c r="B3421" t="s">
        <v>7840</v>
      </c>
      <c r="C3421" t="s">
        <v>190</v>
      </c>
      <c r="D3421" t="s">
        <v>191</v>
      </c>
    </row>
    <row r="3422" spans="1:4" x14ac:dyDescent="0.2">
      <c r="A3422" t="s">
        <v>7839</v>
      </c>
      <c r="B3422" t="s">
        <v>7841</v>
      </c>
      <c r="C3422" t="s">
        <v>190</v>
      </c>
      <c r="D3422" t="s">
        <v>191</v>
      </c>
    </row>
    <row r="3423" spans="1:4" x14ac:dyDescent="0.2">
      <c r="A3423" t="s">
        <v>7842</v>
      </c>
      <c r="B3423" t="s">
        <v>7843</v>
      </c>
      <c r="C3423" t="s">
        <v>190</v>
      </c>
      <c r="D3423" t="s">
        <v>191</v>
      </c>
    </row>
    <row r="3424" spans="1:4" x14ac:dyDescent="0.2">
      <c r="A3424" t="s">
        <v>7844</v>
      </c>
      <c r="B3424" t="s">
        <v>7845</v>
      </c>
      <c r="C3424" t="s">
        <v>190</v>
      </c>
      <c r="D3424" t="s">
        <v>191</v>
      </c>
    </row>
    <row r="3425" spans="1:4" x14ac:dyDescent="0.2">
      <c r="A3425" t="s">
        <v>7846</v>
      </c>
      <c r="B3425" t="s">
        <v>7847</v>
      </c>
      <c r="C3425" t="s">
        <v>190</v>
      </c>
      <c r="D3425" t="s">
        <v>191</v>
      </c>
    </row>
    <row r="3426" spans="1:4" x14ac:dyDescent="0.2">
      <c r="A3426" t="s">
        <v>7848</v>
      </c>
      <c r="B3426" t="s">
        <v>7849</v>
      </c>
      <c r="C3426" t="s">
        <v>7850</v>
      </c>
      <c r="D3426" t="s">
        <v>195</v>
      </c>
    </row>
    <row r="3427" spans="1:4" x14ac:dyDescent="0.2">
      <c r="A3427" t="s">
        <v>7851</v>
      </c>
      <c r="B3427" t="s">
        <v>7852</v>
      </c>
      <c r="C3427" t="s">
        <v>190</v>
      </c>
      <c r="D3427" t="s">
        <v>191</v>
      </c>
    </row>
    <row r="3428" spans="1:4" x14ac:dyDescent="0.2">
      <c r="A3428" t="s">
        <v>7853</v>
      </c>
      <c r="B3428" t="s">
        <v>7854</v>
      </c>
      <c r="C3428" t="s">
        <v>190</v>
      </c>
      <c r="D3428" t="s">
        <v>191</v>
      </c>
    </row>
    <row r="3429" spans="1:4" x14ac:dyDescent="0.2">
      <c r="A3429" t="s">
        <v>7855</v>
      </c>
      <c r="B3429" t="s">
        <v>7856</v>
      </c>
      <c r="C3429" t="s">
        <v>7857</v>
      </c>
      <c r="D3429" t="s">
        <v>187</v>
      </c>
    </row>
    <row r="3430" spans="1:4" x14ac:dyDescent="0.2">
      <c r="A3430" t="s">
        <v>7858</v>
      </c>
      <c r="B3430" t="s">
        <v>7859</v>
      </c>
      <c r="C3430" t="s">
        <v>190</v>
      </c>
      <c r="D3430" t="s">
        <v>191</v>
      </c>
    </row>
    <row r="3431" spans="1:4" x14ac:dyDescent="0.2">
      <c r="A3431" t="s">
        <v>7860</v>
      </c>
      <c r="B3431" t="s">
        <v>7861</v>
      </c>
      <c r="C3431" t="s">
        <v>7862</v>
      </c>
      <c r="D3431" t="s">
        <v>195</v>
      </c>
    </row>
    <row r="3432" spans="1:4" x14ac:dyDescent="0.2">
      <c r="A3432" t="s">
        <v>7863</v>
      </c>
      <c r="B3432" t="s">
        <v>7864</v>
      </c>
      <c r="C3432" t="s">
        <v>190</v>
      </c>
      <c r="D3432" t="s">
        <v>191</v>
      </c>
    </row>
    <row r="3433" spans="1:4" x14ac:dyDescent="0.2">
      <c r="A3433" t="s">
        <v>7865</v>
      </c>
      <c r="B3433" t="s">
        <v>7866</v>
      </c>
      <c r="C3433" t="s">
        <v>190</v>
      </c>
      <c r="D3433" t="s">
        <v>191</v>
      </c>
    </row>
    <row r="3434" spans="1:4" x14ac:dyDescent="0.2">
      <c r="A3434" t="s">
        <v>7867</v>
      </c>
      <c r="B3434" t="s">
        <v>7868</v>
      </c>
      <c r="C3434" t="s">
        <v>7869</v>
      </c>
      <c r="D3434" t="s">
        <v>195</v>
      </c>
    </row>
    <row r="3435" spans="1:4" x14ac:dyDescent="0.2">
      <c r="A3435" t="s">
        <v>7870</v>
      </c>
      <c r="B3435" t="s">
        <v>7871</v>
      </c>
      <c r="C3435" t="s">
        <v>190</v>
      </c>
      <c r="D3435" t="s">
        <v>191</v>
      </c>
    </row>
    <row r="3436" spans="1:4" x14ac:dyDescent="0.2">
      <c r="A3436" t="s">
        <v>7872</v>
      </c>
      <c r="B3436" t="s">
        <v>7873</v>
      </c>
      <c r="C3436" t="s">
        <v>190</v>
      </c>
      <c r="D3436" t="s">
        <v>191</v>
      </c>
    </row>
    <row r="3437" spans="1:4" x14ac:dyDescent="0.2">
      <c r="A3437" t="s">
        <v>7874</v>
      </c>
      <c r="B3437" t="s">
        <v>7875</v>
      </c>
      <c r="C3437" t="s">
        <v>190</v>
      </c>
      <c r="D3437" t="s">
        <v>191</v>
      </c>
    </row>
    <row r="3438" spans="1:4" x14ac:dyDescent="0.2">
      <c r="A3438" t="s">
        <v>7876</v>
      </c>
      <c r="B3438" t="s">
        <v>7877</v>
      </c>
      <c r="C3438" t="s">
        <v>190</v>
      </c>
      <c r="D3438" t="s">
        <v>191</v>
      </c>
    </row>
    <row r="3439" spans="1:4" x14ac:dyDescent="0.2">
      <c r="A3439" t="s">
        <v>7878</v>
      </c>
      <c r="B3439" t="s">
        <v>7879</v>
      </c>
      <c r="C3439" t="s">
        <v>190</v>
      </c>
      <c r="D3439" t="s">
        <v>191</v>
      </c>
    </row>
    <row r="3440" spans="1:4" x14ac:dyDescent="0.2">
      <c r="A3440" t="s">
        <v>7878</v>
      </c>
      <c r="B3440" t="s">
        <v>7880</v>
      </c>
      <c r="C3440" t="s">
        <v>190</v>
      </c>
      <c r="D3440" t="s">
        <v>7881</v>
      </c>
    </row>
    <row r="3441" spans="1:4" x14ac:dyDescent="0.2">
      <c r="A3441" t="s">
        <v>7882</v>
      </c>
      <c r="B3441" t="s">
        <v>7880</v>
      </c>
      <c r="C3441" t="s">
        <v>190</v>
      </c>
      <c r="D3441" t="s">
        <v>191</v>
      </c>
    </row>
    <row r="3442" spans="1:4" x14ac:dyDescent="0.2">
      <c r="A3442" t="s">
        <v>7882</v>
      </c>
      <c r="B3442" t="s">
        <v>7883</v>
      </c>
      <c r="C3442" t="s">
        <v>7884</v>
      </c>
      <c r="D3442" t="s">
        <v>187</v>
      </c>
    </row>
    <row r="3443" spans="1:4" x14ac:dyDescent="0.2">
      <c r="A3443" t="s">
        <v>7882</v>
      </c>
      <c r="B3443" t="s">
        <v>7885</v>
      </c>
      <c r="C3443" t="s">
        <v>190</v>
      </c>
      <c r="D3443" t="s">
        <v>191</v>
      </c>
    </row>
    <row r="3444" spans="1:4" x14ac:dyDescent="0.2">
      <c r="A3444" t="s">
        <v>7882</v>
      </c>
      <c r="B3444" t="s">
        <v>7886</v>
      </c>
      <c r="C3444" t="s">
        <v>190</v>
      </c>
      <c r="D3444" t="s">
        <v>191</v>
      </c>
    </row>
    <row r="3445" spans="1:4" x14ac:dyDescent="0.2">
      <c r="A3445" t="s">
        <v>7882</v>
      </c>
      <c r="B3445" t="s">
        <v>7887</v>
      </c>
      <c r="C3445" t="s">
        <v>7888</v>
      </c>
      <c r="D3445" t="s">
        <v>187</v>
      </c>
    </row>
    <row r="3446" spans="1:4" x14ac:dyDescent="0.2">
      <c r="A3446" t="s">
        <v>7882</v>
      </c>
      <c r="B3446" t="s">
        <v>7889</v>
      </c>
      <c r="C3446" t="s">
        <v>190</v>
      </c>
      <c r="D3446" t="s">
        <v>191</v>
      </c>
    </row>
    <row r="3447" spans="1:4" x14ac:dyDescent="0.2">
      <c r="A3447" t="s">
        <v>7882</v>
      </c>
      <c r="B3447" t="s">
        <v>7890</v>
      </c>
      <c r="C3447" t="s">
        <v>7891</v>
      </c>
      <c r="D3447" t="s">
        <v>187</v>
      </c>
    </row>
    <row r="3448" spans="1:4" x14ac:dyDescent="0.2">
      <c r="A3448" t="s">
        <v>7892</v>
      </c>
      <c r="B3448" t="s">
        <v>7893</v>
      </c>
      <c r="C3448" t="s">
        <v>190</v>
      </c>
      <c r="D3448" t="s">
        <v>191</v>
      </c>
    </row>
    <row r="3449" spans="1:4" x14ac:dyDescent="0.2">
      <c r="A3449" t="s">
        <v>7894</v>
      </c>
      <c r="B3449" t="s">
        <v>7895</v>
      </c>
      <c r="C3449" t="s">
        <v>190</v>
      </c>
      <c r="D3449" t="s">
        <v>191</v>
      </c>
    </row>
    <row r="3450" spans="1:4" x14ac:dyDescent="0.2">
      <c r="A3450" t="s">
        <v>7896</v>
      </c>
      <c r="B3450" t="s">
        <v>7897</v>
      </c>
      <c r="C3450" t="s">
        <v>7898</v>
      </c>
      <c r="D3450" t="s">
        <v>195</v>
      </c>
    </row>
    <row r="3451" spans="1:4" x14ac:dyDescent="0.2">
      <c r="A3451" t="s">
        <v>7899</v>
      </c>
      <c r="B3451" t="s">
        <v>7900</v>
      </c>
      <c r="C3451" t="s">
        <v>190</v>
      </c>
      <c r="D3451" t="s">
        <v>191</v>
      </c>
    </row>
    <row r="3452" spans="1:4" x14ac:dyDescent="0.2">
      <c r="A3452" t="s">
        <v>7901</v>
      </c>
      <c r="B3452" t="s">
        <v>7902</v>
      </c>
      <c r="C3452" t="s">
        <v>190</v>
      </c>
      <c r="D3452" t="s">
        <v>191</v>
      </c>
    </row>
    <row r="3453" spans="1:4" x14ac:dyDescent="0.2">
      <c r="A3453" t="s">
        <v>7903</v>
      </c>
      <c r="B3453" t="s">
        <v>7904</v>
      </c>
      <c r="C3453" t="s">
        <v>190</v>
      </c>
      <c r="D3453" t="s">
        <v>191</v>
      </c>
    </row>
    <row r="3454" spans="1:4" x14ac:dyDescent="0.2">
      <c r="A3454" t="s">
        <v>7905</v>
      </c>
      <c r="B3454" t="s">
        <v>7906</v>
      </c>
      <c r="C3454" t="s">
        <v>7907</v>
      </c>
      <c r="D3454" t="s">
        <v>195</v>
      </c>
    </row>
    <row r="3455" spans="1:4" x14ac:dyDescent="0.2">
      <c r="A3455" t="s">
        <v>7908</v>
      </c>
      <c r="B3455" t="s">
        <v>7909</v>
      </c>
      <c r="C3455" t="s">
        <v>190</v>
      </c>
      <c r="D3455" t="s">
        <v>191</v>
      </c>
    </row>
    <row r="3456" spans="1:4" x14ac:dyDescent="0.2">
      <c r="A3456" t="s">
        <v>7910</v>
      </c>
      <c r="B3456" t="s">
        <v>7911</v>
      </c>
      <c r="C3456" t="s">
        <v>190</v>
      </c>
      <c r="D3456" t="s">
        <v>191</v>
      </c>
    </row>
    <row r="3457" spans="1:4" x14ac:dyDescent="0.2">
      <c r="A3457" t="s">
        <v>7912</v>
      </c>
      <c r="B3457" t="s">
        <v>7913</v>
      </c>
      <c r="C3457" t="s">
        <v>7914</v>
      </c>
      <c r="D3457" t="s">
        <v>195</v>
      </c>
    </row>
    <row r="3458" spans="1:4" x14ac:dyDescent="0.2">
      <c r="A3458" t="s">
        <v>7915</v>
      </c>
      <c r="B3458" t="s">
        <v>7916</v>
      </c>
      <c r="C3458" t="s">
        <v>190</v>
      </c>
      <c r="D3458" t="s">
        <v>191</v>
      </c>
    </row>
    <row r="3459" spans="1:4" x14ac:dyDescent="0.2">
      <c r="A3459" t="s">
        <v>7917</v>
      </c>
      <c r="B3459" t="s">
        <v>7918</v>
      </c>
      <c r="C3459" t="s">
        <v>190</v>
      </c>
      <c r="D3459" t="s">
        <v>191</v>
      </c>
    </row>
    <row r="3460" spans="1:4" x14ac:dyDescent="0.2">
      <c r="A3460" t="s">
        <v>7919</v>
      </c>
      <c r="B3460" t="s">
        <v>7920</v>
      </c>
      <c r="C3460" t="s">
        <v>7921</v>
      </c>
      <c r="D3460" t="s">
        <v>195</v>
      </c>
    </row>
    <row r="3461" spans="1:4" x14ac:dyDescent="0.2">
      <c r="A3461" t="s">
        <v>7922</v>
      </c>
      <c r="B3461" t="s">
        <v>7923</v>
      </c>
      <c r="C3461" t="s">
        <v>7924</v>
      </c>
      <c r="D3461" t="s">
        <v>195</v>
      </c>
    </row>
    <row r="3462" spans="1:4" x14ac:dyDescent="0.2">
      <c r="A3462" t="s">
        <v>7922</v>
      </c>
      <c r="B3462" t="s">
        <v>7925</v>
      </c>
      <c r="C3462" t="s">
        <v>190</v>
      </c>
      <c r="D3462" t="s">
        <v>191</v>
      </c>
    </row>
    <row r="3463" spans="1:4" x14ac:dyDescent="0.2">
      <c r="A3463" t="s">
        <v>7922</v>
      </c>
      <c r="B3463" t="s">
        <v>7926</v>
      </c>
      <c r="C3463" t="s">
        <v>190</v>
      </c>
      <c r="D3463" t="s">
        <v>191</v>
      </c>
    </row>
    <row r="3464" spans="1:4" x14ac:dyDescent="0.2">
      <c r="A3464" t="s">
        <v>7922</v>
      </c>
      <c r="B3464" t="s">
        <v>7927</v>
      </c>
      <c r="C3464" t="s">
        <v>7928</v>
      </c>
      <c r="D3464" t="s">
        <v>195</v>
      </c>
    </row>
    <row r="3465" spans="1:4" x14ac:dyDescent="0.2">
      <c r="A3465" t="s">
        <v>7929</v>
      </c>
      <c r="B3465" t="s">
        <v>7930</v>
      </c>
      <c r="C3465" t="s">
        <v>7931</v>
      </c>
      <c r="D3465" t="s">
        <v>187</v>
      </c>
    </row>
    <row r="3466" spans="1:4" x14ac:dyDescent="0.2">
      <c r="A3466" t="s">
        <v>7932</v>
      </c>
      <c r="B3466" t="s">
        <v>7933</v>
      </c>
      <c r="C3466" t="s">
        <v>190</v>
      </c>
      <c r="D3466" t="s">
        <v>191</v>
      </c>
    </row>
    <row r="3467" spans="1:4" x14ac:dyDescent="0.2">
      <c r="A3467" t="s">
        <v>7934</v>
      </c>
      <c r="B3467" t="s">
        <v>7935</v>
      </c>
      <c r="C3467" t="s">
        <v>190</v>
      </c>
      <c r="D3467" t="s">
        <v>280</v>
      </c>
    </row>
    <row r="3468" spans="1:4" x14ac:dyDescent="0.2">
      <c r="A3468" t="s">
        <v>7936</v>
      </c>
      <c r="B3468" t="s">
        <v>7937</v>
      </c>
      <c r="C3468" t="s">
        <v>190</v>
      </c>
      <c r="D3468" t="s">
        <v>191</v>
      </c>
    </row>
    <row r="3469" spans="1:4" x14ac:dyDescent="0.2">
      <c r="A3469" t="s">
        <v>7938</v>
      </c>
      <c r="B3469" t="s">
        <v>7939</v>
      </c>
      <c r="C3469" t="s">
        <v>190</v>
      </c>
      <c r="D3469" t="s">
        <v>191</v>
      </c>
    </row>
    <row r="3470" spans="1:4" x14ac:dyDescent="0.2">
      <c r="A3470" t="s">
        <v>7940</v>
      </c>
      <c r="B3470" t="s">
        <v>7941</v>
      </c>
      <c r="C3470" t="s">
        <v>190</v>
      </c>
      <c r="D3470" t="s">
        <v>191</v>
      </c>
    </row>
    <row r="3471" spans="1:4" x14ac:dyDescent="0.2">
      <c r="A3471" t="s">
        <v>7942</v>
      </c>
      <c r="B3471" t="s">
        <v>7943</v>
      </c>
      <c r="C3471" t="s">
        <v>7944</v>
      </c>
      <c r="D3471" t="s">
        <v>187</v>
      </c>
    </row>
    <row r="3472" spans="1:4" x14ac:dyDescent="0.2">
      <c r="A3472" t="s">
        <v>7945</v>
      </c>
      <c r="B3472" t="s">
        <v>7946</v>
      </c>
      <c r="C3472" t="s">
        <v>7947</v>
      </c>
      <c r="D3472" t="s">
        <v>187</v>
      </c>
    </row>
    <row r="3473" spans="1:4" x14ac:dyDescent="0.2">
      <c r="A3473" t="s">
        <v>7948</v>
      </c>
      <c r="B3473" t="s">
        <v>7949</v>
      </c>
      <c r="C3473" t="s">
        <v>190</v>
      </c>
      <c r="D3473" t="s">
        <v>191</v>
      </c>
    </row>
    <row r="3474" spans="1:4" x14ac:dyDescent="0.2">
      <c r="A3474" t="s">
        <v>7950</v>
      </c>
      <c r="B3474" t="s">
        <v>7951</v>
      </c>
      <c r="C3474" t="s">
        <v>190</v>
      </c>
      <c r="D3474" t="s">
        <v>191</v>
      </c>
    </row>
    <row r="3475" spans="1:4" x14ac:dyDescent="0.2">
      <c r="A3475" t="s">
        <v>7952</v>
      </c>
      <c r="B3475" t="s">
        <v>7953</v>
      </c>
      <c r="C3475" t="s">
        <v>190</v>
      </c>
      <c r="D3475" t="s">
        <v>191</v>
      </c>
    </row>
    <row r="3476" spans="1:4" x14ac:dyDescent="0.2">
      <c r="A3476" t="s">
        <v>7954</v>
      </c>
      <c r="B3476" t="s">
        <v>7955</v>
      </c>
      <c r="C3476" t="s">
        <v>7956</v>
      </c>
      <c r="D3476" t="s">
        <v>195</v>
      </c>
    </row>
    <row r="3477" spans="1:4" x14ac:dyDescent="0.2">
      <c r="A3477" t="s">
        <v>7957</v>
      </c>
      <c r="B3477" t="s">
        <v>7958</v>
      </c>
      <c r="C3477" t="s">
        <v>190</v>
      </c>
      <c r="D3477" t="s">
        <v>191</v>
      </c>
    </row>
    <row r="3478" spans="1:4" x14ac:dyDescent="0.2">
      <c r="A3478" t="s">
        <v>7959</v>
      </c>
      <c r="B3478" t="s">
        <v>7960</v>
      </c>
      <c r="C3478" t="s">
        <v>190</v>
      </c>
      <c r="D3478" t="s">
        <v>191</v>
      </c>
    </row>
    <row r="3479" spans="1:4" x14ac:dyDescent="0.2">
      <c r="A3479" t="s">
        <v>7961</v>
      </c>
      <c r="B3479" t="s">
        <v>7962</v>
      </c>
      <c r="C3479" t="s">
        <v>7963</v>
      </c>
      <c r="D3479" t="s">
        <v>187</v>
      </c>
    </row>
    <row r="3480" spans="1:4" x14ac:dyDescent="0.2">
      <c r="A3480" t="s">
        <v>7964</v>
      </c>
      <c r="B3480" t="s">
        <v>7965</v>
      </c>
      <c r="C3480" t="s">
        <v>190</v>
      </c>
      <c r="D3480" t="s">
        <v>191</v>
      </c>
    </row>
    <row r="3481" spans="1:4" x14ac:dyDescent="0.2">
      <c r="A3481" t="s">
        <v>7966</v>
      </c>
      <c r="B3481" t="s">
        <v>7967</v>
      </c>
      <c r="C3481" t="s">
        <v>7968</v>
      </c>
      <c r="D3481" t="s">
        <v>195</v>
      </c>
    </row>
    <row r="3482" spans="1:4" x14ac:dyDescent="0.2">
      <c r="A3482" t="s">
        <v>7969</v>
      </c>
      <c r="B3482" t="s">
        <v>7970</v>
      </c>
      <c r="C3482" t="s">
        <v>7971</v>
      </c>
      <c r="D3482" t="s">
        <v>187</v>
      </c>
    </row>
    <row r="3483" spans="1:4" x14ac:dyDescent="0.2">
      <c r="A3483" t="s">
        <v>7972</v>
      </c>
      <c r="B3483" t="s">
        <v>7973</v>
      </c>
      <c r="C3483" t="s">
        <v>190</v>
      </c>
      <c r="D3483" t="s">
        <v>191</v>
      </c>
    </row>
    <row r="3484" spans="1:4" x14ac:dyDescent="0.2">
      <c r="A3484" t="s">
        <v>7974</v>
      </c>
      <c r="B3484" t="s">
        <v>7975</v>
      </c>
      <c r="C3484" t="s">
        <v>190</v>
      </c>
      <c r="D3484" t="s">
        <v>191</v>
      </c>
    </row>
    <row r="3485" spans="1:4" x14ac:dyDescent="0.2">
      <c r="A3485" t="s">
        <v>7976</v>
      </c>
      <c r="B3485" t="s">
        <v>7977</v>
      </c>
      <c r="C3485" t="s">
        <v>190</v>
      </c>
      <c r="D3485" t="s">
        <v>191</v>
      </c>
    </row>
    <row r="3486" spans="1:4" x14ac:dyDescent="0.2">
      <c r="A3486" t="s">
        <v>7978</v>
      </c>
      <c r="B3486" t="s">
        <v>7979</v>
      </c>
      <c r="C3486" t="s">
        <v>190</v>
      </c>
      <c r="D3486" t="s">
        <v>191</v>
      </c>
    </row>
    <row r="3487" spans="1:4" x14ac:dyDescent="0.2">
      <c r="A3487" t="s">
        <v>7980</v>
      </c>
      <c r="B3487" t="s">
        <v>7981</v>
      </c>
      <c r="C3487" t="s">
        <v>7982</v>
      </c>
      <c r="D3487" t="s">
        <v>187</v>
      </c>
    </row>
    <row r="3488" spans="1:4" x14ac:dyDescent="0.2">
      <c r="A3488" t="s">
        <v>7983</v>
      </c>
      <c r="B3488" t="s">
        <v>7984</v>
      </c>
      <c r="C3488" t="s">
        <v>190</v>
      </c>
      <c r="D3488" t="s">
        <v>191</v>
      </c>
    </row>
    <row r="3489" spans="1:4" x14ac:dyDescent="0.2">
      <c r="A3489" t="s">
        <v>7985</v>
      </c>
      <c r="B3489" t="s">
        <v>7986</v>
      </c>
      <c r="C3489" t="s">
        <v>190</v>
      </c>
      <c r="D3489" t="s">
        <v>191</v>
      </c>
    </row>
    <row r="3490" spans="1:4" x14ac:dyDescent="0.2">
      <c r="A3490" t="s">
        <v>7987</v>
      </c>
      <c r="B3490" t="s">
        <v>7988</v>
      </c>
      <c r="C3490" t="s">
        <v>190</v>
      </c>
      <c r="D3490" t="s">
        <v>191</v>
      </c>
    </row>
    <row r="3491" spans="1:4" x14ac:dyDescent="0.2">
      <c r="A3491" t="s">
        <v>7989</v>
      </c>
      <c r="B3491" t="s">
        <v>7990</v>
      </c>
      <c r="C3491" t="s">
        <v>190</v>
      </c>
      <c r="D3491" t="s">
        <v>191</v>
      </c>
    </row>
    <row r="3492" spans="1:4" x14ac:dyDescent="0.2">
      <c r="A3492" t="s">
        <v>7991</v>
      </c>
      <c r="B3492" t="s">
        <v>7992</v>
      </c>
      <c r="C3492" t="s">
        <v>7993</v>
      </c>
      <c r="D3492" t="s">
        <v>195</v>
      </c>
    </row>
    <row r="3493" spans="1:4" x14ac:dyDescent="0.2">
      <c r="A3493" t="s">
        <v>7994</v>
      </c>
      <c r="B3493" t="s">
        <v>7995</v>
      </c>
      <c r="C3493" t="s">
        <v>190</v>
      </c>
      <c r="D3493" t="s">
        <v>191</v>
      </c>
    </row>
    <row r="3494" spans="1:4" x14ac:dyDescent="0.2">
      <c r="A3494" t="s">
        <v>7996</v>
      </c>
      <c r="B3494" t="s">
        <v>7997</v>
      </c>
      <c r="C3494" t="s">
        <v>190</v>
      </c>
      <c r="D3494" t="s">
        <v>191</v>
      </c>
    </row>
    <row r="3495" spans="1:4" x14ac:dyDescent="0.2">
      <c r="A3495" t="s">
        <v>7998</v>
      </c>
      <c r="B3495" t="s">
        <v>7999</v>
      </c>
      <c r="C3495" t="s">
        <v>190</v>
      </c>
      <c r="D3495" t="s">
        <v>191</v>
      </c>
    </row>
    <row r="3496" spans="1:4" x14ac:dyDescent="0.2">
      <c r="A3496" t="s">
        <v>8000</v>
      </c>
      <c r="B3496" t="s">
        <v>8001</v>
      </c>
      <c r="C3496" t="s">
        <v>8002</v>
      </c>
      <c r="D3496" t="s">
        <v>195</v>
      </c>
    </row>
    <row r="3497" spans="1:4" x14ac:dyDescent="0.2">
      <c r="A3497" t="s">
        <v>8003</v>
      </c>
      <c r="B3497" t="s">
        <v>8004</v>
      </c>
      <c r="C3497" t="s">
        <v>8005</v>
      </c>
      <c r="D3497" t="s">
        <v>195</v>
      </c>
    </row>
    <row r="3498" spans="1:4" x14ac:dyDescent="0.2">
      <c r="A3498" t="s">
        <v>8006</v>
      </c>
      <c r="B3498" t="s">
        <v>8007</v>
      </c>
      <c r="C3498" t="s">
        <v>8008</v>
      </c>
      <c r="D3498" t="s">
        <v>195</v>
      </c>
    </row>
    <row r="3499" spans="1:4" x14ac:dyDescent="0.2">
      <c r="A3499" t="s">
        <v>8009</v>
      </c>
      <c r="B3499" t="s">
        <v>8010</v>
      </c>
      <c r="C3499" t="s">
        <v>8011</v>
      </c>
      <c r="D3499" t="s">
        <v>187</v>
      </c>
    </row>
    <row r="3500" spans="1:4" x14ac:dyDescent="0.2">
      <c r="A3500" t="s">
        <v>8012</v>
      </c>
      <c r="B3500" t="s">
        <v>8013</v>
      </c>
      <c r="C3500" t="s">
        <v>190</v>
      </c>
      <c r="D3500" t="s">
        <v>191</v>
      </c>
    </row>
    <row r="3501" spans="1:4" x14ac:dyDescent="0.2">
      <c r="A3501" t="s">
        <v>8014</v>
      </c>
      <c r="B3501" t="s">
        <v>8015</v>
      </c>
      <c r="C3501" t="s">
        <v>8016</v>
      </c>
      <c r="D3501" t="s">
        <v>187</v>
      </c>
    </row>
    <row r="3502" spans="1:4" x14ac:dyDescent="0.2">
      <c r="A3502" t="s">
        <v>8017</v>
      </c>
      <c r="B3502" t="s">
        <v>8018</v>
      </c>
      <c r="C3502" t="s">
        <v>190</v>
      </c>
      <c r="D3502" t="s">
        <v>191</v>
      </c>
    </row>
    <row r="3503" spans="1:4" x14ac:dyDescent="0.2">
      <c r="A3503" t="s">
        <v>8019</v>
      </c>
      <c r="B3503" t="s">
        <v>8020</v>
      </c>
      <c r="C3503" t="s">
        <v>190</v>
      </c>
      <c r="D3503" t="s">
        <v>191</v>
      </c>
    </row>
    <row r="3504" spans="1:4" x14ac:dyDescent="0.2">
      <c r="A3504" t="s">
        <v>8021</v>
      </c>
      <c r="B3504" t="s">
        <v>8022</v>
      </c>
      <c r="C3504" t="s">
        <v>8023</v>
      </c>
      <c r="D3504" t="s">
        <v>187</v>
      </c>
    </row>
    <row r="3505" spans="1:4" x14ac:dyDescent="0.2">
      <c r="A3505" t="s">
        <v>8024</v>
      </c>
      <c r="B3505" t="s">
        <v>8025</v>
      </c>
      <c r="C3505" t="s">
        <v>190</v>
      </c>
      <c r="D3505" t="s">
        <v>191</v>
      </c>
    </row>
    <row r="3506" spans="1:4" x14ac:dyDescent="0.2">
      <c r="A3506" t="s">
        <v>8026</v>
      </c>
      <c r="B3506" t="s">
        <v>8027</v>
      </c>
      <c r="C3506" t="s">
        <v>8028</v>
      </c>
      <c r="D3506" t="s">
        <v>195</v>
      </c>
    </row>
    <row r="3507" spans="1:4" x14ac:dyDescent="0.2">
      <c r="A3507" t="s">
        <v>8029</v>
      </c>
      <c r="B3507" t="s">
        <v>8030</v>
      </c>
      <c r="C3507" t="s">
        <v>8031</v>
      </c>
      <c r="D3507" t="s">
        <v>187</v>
      </c>
    </row>
    <row r="3508" spans="1:4" x14ac:dyDescent="0.2">
      <c r="A3508" t="s">
        <v>8032</v>
      </c>
      <c r="B3508" t="s">
        <v>8033</v>
      </c>
      <c r="C3508" t="s">
        <v>190</v>
      </c>
      <c r="D3508" t="s">
        <v>191</v>
      </c>
    </row>
    <row r="3509" spans="1:4" x14ac:dyDescent="0.2">
      <c r="A3509" t="s">
        <v>8034</v>
      </c>
      <c r="B3509" t="s">
        <v>8035</v>
      </c>
      <c r="C3509" t="s">
        <v>190</v>
      </c>
      <c r="D3509" t="s">
        <v>191</v>
      </c>
    </row>
    <row r="3510" spans="1:4" x14ac:dyDescent="0.2">
      <c r="A3510" t="s">
        <v>8036</v>
      </c>
      <c r="B3510" t="s">
        <v>8037</v>
      </c>
      <c r="C3510" t="s">
        <v>8038</v>
      </c>
      <c r="D3510" t="s">
        <v>187</v>
      </c>
    </row>
    <row r="3511" spans="1:4" x14ac:dyDescent="0.2">
      <c r="A3511" t="s">
        <v>8039</v>
      </c>
      <c r="B3511" t="s">
        <v>8040</v>
      </c>
      <c r="C3511" t="s">
        <v>8041</v>
      </c>
      <c r="D3511" t="s">
        <v>195</v>
      </c>
    </row>
    <row r="3512" spans="1:4" x14ac:dyDescent="0.2">
      <c r="A3512" t="s">
        <v>8042</v>
      </c>
      <c r="B3512" t="s">
        <v>8043</v>
      </c>
      <c r="C3512" t="s">
        <v>8044</v>
      </c>
      <c r="D3512" t="s">
        <v>187</v>
      </c>
    </row>
    <row r="3513" spans="1:4" x14ac:dyDescent="0.2">
      <c r="A3513" t="s">
        <v>8045</v>
      </c>
      <c r="B3513" t="s">
        <v>8046</v>
      </c>
      <c r="C3513" t="s">
        <v>190</v>
      </c>
      <c r="D3513" t="s">
        <v>191</v>
      </c>
    </row>
    <row r="3514" spans="1:4" x14ac:dyDescent="0.2">
      <c r="A3514" t="s">
        <v>8045</v>
      </c>
      <c r="B3514" t="s">
        <v>8047</v>
      </c>
      <c r="C3514" t="s">
        <v>190</v>
      </c>
      <c r="D3514" t="s">
        <v>280</v>
      </c>
    </row>
    <row r="3515" spans="1:4" x14ac:dyDescent="0.2">
      <c r="A3515" t="s">
        <v>8048</v>
      </c>
      <c r="B3515" t="s">
        <v>8049</v>
      </c>
      <c r="C3515" t="s">
        <v>8050</v>
      </c>
      <c r="D3515" t="s">
        <v>187</v>
      </c>
    </row>
    <row r="3516" spans="1:4" x14ac:dyDescent="0.2">
      <c r="A3516" t="s">
        <v>8051</v>
      </c>
      <c r="B3516" t="s">
        <v>8052</v>
      </c>
      <c r="C3516" t="s">
        <v>190</v>
      </c>
      <c r="D3516" t="s">
        <v>191</v>
      </c>
    </row>
    <row r="3517" spans="1:4" x14ac:dyDescent="0.2">
      <c r="A3517" t="s">
        <v>8053</v>
      </c>
      <c r="B3517" t="s">
        <v>8054</v>
      </c>
      <c r="C3517" t="s">
        <v>8055</v>
      </c>
      <c r="D3517" t="s">
        <v>187</v>
      </c>
    </row>
    <row r="3518" spans="1:4" x14ac:dyDescent="0.2">
      <c r="A3518" t="s">
        <v>8056</v>
      </c>
      <c r="B3518" t="s">
        <v>8057</v>
      </c>
      <c r="C3518" t="s">
        <v>190</v>
      </c>
      <c r="D3518" t="s">
        <v>191</v>
      </c>
    </row>
    <row r="3519" spans="1:4" x14ac:dyDescent="0.2">
      <c r="A3519" t="s">
        <v>8058</v>
      </c>
      <c r="B3519" t="s">
        <v>8059</v>
      </c>
      <c r="C3519" t="s">
        <v>8060</v>
      </c>
      <c r="D3519" t="s">
        <v>195</v>
      </c>
    </row>
    <row r="3520" spans="1:4" x14ac:dyDescent="0.2">
      <c r="A3520" t="s">
        <v>8061</v>
      </c>
      <c r="B3520" t="s">
        <v>8062</v>
      </c>
      <c r="C3520" t="s">
        <v>190</v>
      </c>
      <c r="D3520" t="s">
        <v>191</v>
      </c>
    </row>
    <row r="3521" spans="1:4" x14ac:dyDescent="0.2">
      <c r="A3521" t="s">
        <v>8063</v>
      </c>
      <c r="B3521" t="s">
        <v>8064</v>
      </c>
      <c r="C3521" t="s">
        <v>190</v>
      </c>
      <c r="D3521" t="s">
        <v>280</v>
      </c>
    </row>
    <row r="3522" spans="1:4" x14ac:dyDescent="0.2">
      <c r="A3522" t="s">
        <v>8065</v>
      </c>
      <c r="B3522" t="s">
        <v>8066</v>
      </c>
      <c r="C3522" t="s">
        <v>190</v>
      </c>
      <c r="D3522" t="s">
        <v>280</v>
      </c>
    </row>
    <row r="3523" spans="1:4" x14ac:dyDescent="0.2">
      <c r="A3523" t="s">
        <v>8067</v>
      </c>
      <c r="B3523" t="s">
        <v>8068</v>
      </c>
      <c r="C3523" t="s">
        <v>190</v>
      </c>
      <c r="D3523" t="s">
        <v>191</v>
      </c>
    </row>
    <row r="3524" spans="1:4" x14ac:dyDescent="0.2">
      <c r="A3524" t="s">
        <v>8069</v>
      </c>
      <c r="B3524" t="s">
        <v>8070</v>
      </c>
      <c r="C3524" t="s">
        <v>190</v>
      </c>
      <c r="D3524" t="s">
        <v>191</v>
      </c>
    </row>
    <row r="3525" spans="1:4" x14ac:dyDescent="0.2">
      <c r="A3525" t="s">
        <v>8071</v>
      </c>
      <c r="B3525" t="s">
        <v>8072</v>
      </c>
      <c r="C3525" t="s">
        <v>8073</v>
      </c>
      <c r="D3525" t="s">
        <v>195</v>
      </c>
    </row>
    <row r="3526" spans="1:4" x14ac:dyDescent="0.2">
      <c r="A3526" t="s">
        <v>8074</v>
      </c>
      <c r="B3526" t="s">
        <v>8075</v>
      </c>
      <c r="C3526" t="s">
        <v>190</v>
      </c>
      <c r="D3526" t="s">
        <v>191</v>
      </c>
    </row>
    <row r="3527" spans="1:4" x14ac:dyDescent="0.2">
      <c r="A3527" t="s">
        <v>8076</v>
      </c>
      <c r="B3527" t="s">
        <v>8077</v>
      </c>
      <c r="C3527" t="s">
        <v>190</v>
      </c>
      <c r="D3527" t="s">
        <v>191</v>
      </c>
    </row>
    <row r="3528" spans="1:4" x14ac:dyDescent="0.2">
      <c r="A3528" t="s">
        <v>8078</v>
      </c>
      <c r="B3528" t="s">
        <v>8079</v>
      </c>
      <c r="C3528" t="s">
        <v>190</v>
      </c>
      <c r="D3528" t="s">
        <v>191</v>
      </c>
    </row>
    <row r="3529" spans="1:4" x14ac:dyDescent="0.2">
      <c r="A3529" t="s">
        <v>8080</v>
      </c>
      <c r="B3529" t="s">
        <v>8081</v>
      </c>
      <c r="C3529" t="s">
        <v>190</v>
      </c>
      <c r="D3529" t="s">
        <v>191</v>
      </c>
    </row>
    <row r="3530" spans="1:4" x14ac:dyDescent="0.2">
      <c r="A3530" t="s">
        <v>8082</v>
      </c>
      <c r="B3530" t="s">
        <v>8083</v>
      </c>
      <c r="C3530" t="s">
        <v>190</v>
      </c>
      <c r="D3530" t="s">
        <v>191</v>
      </c>
    </row>
    <row r="3531" spans="1:4" x14ac:dyDescent="0.2">
      <c r="A3531" t="s">
        <v>8084</v>
      </c>
      <c r="B3531" t="s">
        <v>8085</v>
      </c>
      <c r="C3531" t="s">
        <v>190</v>
      </c>
      <c r="D3531" t="s">
        <v>191</v>
      </c>
    </row>
    <row r="3532" spans="1:4" x14ac:dyDescent="0.2">
      <c r="A3532" t="s">
        <v>8084</v>
      </c>
      <c r="B3532" t="s">
        <v>8086</v>
      </c>
      <c r="C3532" t="s">
        <v>190</v>
      </c>
      <c r="D3532" t="s">
        <v>191</v>
      </c>
    </row>
    <row r="3533" spans="1:4" x14ac:dyDescent="0.2">
      <c r="A3533" t="s">
        <v>8087</v>
      </c>
      <c r="B3533" t="s">
        <v>8088</v>
      </c>
      <c r="C3533" t="s">
        <v>190</v>
      </c>
      <c r="D3533" t="s">
        <v>191</v>
      </c>
    </row>
    <row r="3534" spans="1:4" x14ac:dyDescent="0.2">
      <c r="A3534" t="s">
        <v>8089</v>
      </c>
      <c r="B3534" t="s">
        <v>8090</v>
      </c>
      <c r="C3534" t="s">
        <v>190</v>
      </c>
      <c r="D3534" t="s">
        <v>191</v>
      </c>
    </row>
    <row r="3535" spans="1:4" x14ac:dyDescent="0.2">
      <c r="A3535" t="s">
        <v>8091</v>
      </c>
      <c r="B3535" t="s">
        <v>8092</v>
      </c>
      <c r="C3535" t="s">
        <v>8093</v>
      </c>
      <c r="D3535" t="s">
        <v>187</v>
      </c>
    </row>
    <row r="3536" spans="1:4" x14ac:dyDescent="0.2">
      <c r="A3536" t="s">
        <v>8094</v>
      </c>
      <c r="B3536" t="s">
        <v>8095</v>
      </c>
      <c r="C3536" t="s">
        <v>190</v>
      </c>
      <c r="D3536" t="s">
        <v>191</v>
      </c>
    </row>
    <row r="3537" spans="1:4" x14ac:dyDescent="0.2">
      <c r="A3537" t="s">
        <v>8096</v>
      </c>
      <c r="B3537" t="s">
        <v>8097</v>
      </c>
      <c r="C3537" t="s">
        <v>190</v>
      </c>
      <c r="D3537" t="s">
        <v>8098</v>
      </c>
    </row>
    <row r="3538" spans="1:4" x14ac:dyDescent="0.2">
      <c r="A3538" t="s">
        <v>8099</v>
      </c>
      <c r="B3538" t="s">
        <v>8100</v>
      </c>
      <c r="C3538" t="s">
        <v>8101</v>
      </c>
      <c r="D3538" t="s">
        <v>195</v>
      </c>
    </row>
    <row r="3539" spans="1:4" x14ac:dyDescent="0.2">
      <c r="A3539" t="s">
        <v>8102</v>
      </c>
      <c r="B3539" t="s">
        <v>8103</v>
      </c>
      <c r="C3539" t="s">
        <v>8104</v>
      </c>
      <c r="D3539" t="s">
        <v>195</v>
      </c>
    </row>
    <row r="3540" spans="1:4" x14ac:dyDescent="0.2">
      <c r="A3540" t="s">
        <v>8105</v>
      </c>
      <c r="B3540" t="s">
        <v>8106</v>
      </c>
      <c r="C3540" t="s">
        <v>190</v>
      </c>
      <c r="D3540" t="s">
        <v>191</v>
      </c>
    </row>
    <row r="3541" spans="1:4" x14ac:dyDescent="0.2">
      <c r="A3541" t="s">
        <v>8107</v>
      </c>
      <c r="B3541" t="s">
        <v>8108</v>
      </c>
      <c r="C3541" t="s">
        <v>190</v>
      </c>
      <c r="D3541" t="s">
        <v>191</v>
      </c>
    </row>
    <row r="3542" spans="1:4" x14ac:dyDescent="0.2">
      <c r="A3542" t="s">
        <v>8107</v>
      </c>
      <c r="B3542" t="s">
        <v>8109</v>
      </c>
      <c r="C3542" t="s">
        <v>8110</v>
      </c>
      <c r="D3542" t="s">
        <v>195</v>
      </c>
    </row>
    <row r="3543" spans="1:4" x14ac:dyDescent="0.2">
      <c r="A3543" t="s">
        <v>8111</v>
      </c>
      <c r="B3543" t="s">
        <v>8112</v>
      </c>
      <c r="C3543" t="s">
        <v>190</v>
      </c>
      <c r="D3543" t="s">
        <v>191</v>
      </c>
    </row>
    <row r="3544" spans="1:4" x14ac:dyDescent="0.2">
      <c r="A3544" t="s">
        <v>8113</v>
      </c>
      <c r="B3544" t="s">
        <v>8114</v>
      </c>
      <c r="C3544" t="s">
        <v>190</v>
      </c>
      <c r="D3544" t="s">
        <v>191</v>
      </c>
    </row>
    <row r="3545" spans="1:4" x14ac:dyDescent="0.2">
      <c r="A3545" t="s">
        <v>8115</v>
      </c>
      <c r="B3545" t="s">
        <v>8116</v>
      </c>
      <c r="C3545" t="s">
        <v>8117</v>
      </c>
      <c r="D3545" t="s">
        <v>195</v>
      </c>
    </row>
    <row r="3546" spans="1:4" x14ac:dyDescent="0.2">
      <c r="A3546" t="s">
        <v>8118</v>
      </c>
      <c r="B3546" t="s">
        <v>8119</v>
      </c>
      <c r="C3546" t="s">
        <v>190</v>
      </c>
      <c r="D3546" t="s">
        <v>191</v>
      </c>
    </row>
    <row r="3547" spans="1:4" x14ac:dyDescent="0.2">
      <c r="A3547" t="s">
        <v>8120</v>
      </c>
      <c r="B3547" t="s">
        <v>8121</v>
      </c>
      <c r="C3547" t="s">
        <v>8122</v>
      </c>
      <c r="D3547" t="s">
        <v>187</v>
      </c>
    </row>
    <row r="3548" spans="1:4" x14ac:dyDescent="0.2">
      <c r="A3548" t="s">
        <v>8120</v>
      </c>
      <c r="B3548" t="s">
        <v>8123</v>
      </c>
      <c r="C3548" t="s">
        <v>190</v>
      </c>
      <c r="D3548" t="s">
        <v>191</v>
      </c>
    </row>
    <row r="3549" spans="1:4" x14ac:dyDescent="0.2">
      <c r="A3549" t="s">
        <v>8120</v>
      </c>
      <c r="B3549" t="s">
        <v>8124</v>
      </c>
      <c r="C3549" t="s">
        <v>190</v>
      </c>
      <c r="D3549" t="s">
        <v>191</v>
      </c>
    </row>
    <row r="3550" spans="1:4" x14ac:dyDescent="0.2">
      <c r="A3550" t="s">
        <v>8125</v>
      </c>
      <c r="B3550" t="s">
        <v>8123</v>
      </c>
      <c r="C3550" t="s">
        <v>190</v>
      </c>
      <c r="D3550" t="s">
        <v>8126</v>
      </c>
    </row>
    <row r="3551" spans="1:4" x14ac:dyDescent="0.2">
      <c r="A3551" t="s">
        <v>8125</v>
      </c>
      <c r="B3551" t="s">
        <v>8124</v>
      </c>
      <c r="C3551" t="s">
        <v>190</v>
      </c>
      <c r="D3551" t="s">
        <v>8126</v>
      </c>
    </row>
    <row r="3552" spans="1:4" x14ac:dyDescent="0.2">
      <c r="A3552" t="s">
        <v>8127</v>
      </c>
      <c r="B3552" t="s">
        <v>8128</v>
      </c>
      <c r="C3552" t="s">
        <v>8129</v>
      </c>
      <c r="D3552" t="s">
        <v>195</v>
      </c>
    </row>
    <row r="3553" spans="1:4" x14ac:dyDescent="0.2">
      <c r="A3553" t="s">
        <v>8130</v>
      </c>
      <c r="B3553" t="s">
        <v>8131</v>
      </c>
      <c r="C3553" t="s">
        <v>8132</v>
      </c>
      <c r="D3553" t="s">
        <v>187</v>
      </c>
    </row>
    <row r="3554" spans="1:4" x14ac:dyDescent="0.2">
      <c r="A3554" t="s">
        <v>8133</v>
      </c>
      <c r="B3554" t="s">
        <v>8134</v>
      </c>
      <c r="C3554" t="s">
        <v>8135</v>
      </c>
      <c r="D3554" t="s">
        <v>195</v>
      </c>
    </row>
    <row r="3555" spans="1:4" x14ac:dyDescent="0.2">
      <c r="A3555" t="s">
        <v>8136</v>
      </c>
      <c r="B3555" t="s">
        <v>8137</v>
      </c>
      <c r="C3555" t="s">
        <v>8138</v>
      </c>
      <c r="D3555" t="s">
        <v>187</v>
      </c>
    </row>
    <row r="3556" spans="1:4" x14ac:dyDescent="0.2">
      <c r="A3556" t="s">
        <v>8139</v>
      </c>
      <c r="B3556" t="s">
        <v>8140</v>
      </c>
      <c r="C3556" t="s">
        <v>8141</v>
      </c>
      <c r="D3556" t="s">
        <v>195</v>
      </c>
    </row>
    <row r="3557" spans="1:4" x14ac:dyDescent="0.2">
      <c r="A3557" t="s">
        <v>8142</v>
      </c>
      <c r="B3557" t="s">
        <v>8143</v>
      </c>
      <c r="C3557" t="s">
        <v>8144</v>
      </c>
      <c r="D3557" t="s">
        <v>187</v>
      </c>
    </row>
    <row r="3558" spans="1:4" x14ac:dyDescent="0.2">
      <c r="A3558" t="s">
        <v>8145</v>
      </c>
      <c r="B3558" t="s">
        <v>8146</v>
      </c>
      <c r="C3558" t="s">
        <v>190</v>
      </c>
      <c r="D3558" t="s">
        <v>191</v>
      </c>
    </row>
    <row r="3559" spans="1:4" x14ac:dyDescent="0.2">
      <c r="A3559" t="s">
        <v>8147</v>
      </c>
      <c r="B3559" t="s">
        <v>8148</v>
      </c>
      <c r="C3559" t="s">
        <v>190</v>
      </c>
      <c r="D3559" t="s">
        <v>191</v>
      </c>
    </row>
    <row r="3560" spans="1:4" x14ac:dyDescent="0.2">
      <c r="A3560" t="s">
        <v>8149</v>
      </c>
      <c r="B3560" t="s">
        <v>8150</v>
      </c>
      <c r="C3560" t="s">
        <v>190</v>
      </c>
      <c r="D3560" t="s">
        <v>191</v>
      </c>
    </row>
    <row r="3561" spans="1:4" x14ac:dyDescent="0.2">
      <c r="A3561" t="s">
        <v>8149</v>
      </c>
      <c r="B3561" t="s">
        <v>8151</v>
      </c>
      <c r="C3561" t="s">
        <v>190</v>
      </c>
      <c r="D3561" t="s">
        <v>191</v>
      </c>
    </row>
    <row r="3562" spans="1:4" x14ac:dyDescent="0.2">
      <c r="A3562" t="s">
        <v>8152</v>
      </c>
      <c r="B3562" t="s">
        <v>8153</v>
      </c>
      <c r="C3562" t="s">
        <v>190</v>
      </c>
      <c r="D3562" t="s">
        <v>191</v>
      </c>
    </row>
    <row r="3563" spans="1:4" x14ac:dyDescent="0.2">
      <c r="A3563" t="s">
        <v>8154</v>
      </c>
      <c r="B3563" t="s">
        <v>8155</v>
      </c>
      <c r="C3563" t="s">
        <v>8156</v>
      </c>
      <c r="D3563" t="s">
        <v>187</v>
      </c>
    </row>
    <row r="3564" spans="1:4" x14ac:dyDescent="0.2">
      <c r="A3564" t="s">
        <v>8157</v>
      </c>
      <c r="B3564" t="s">
        <v>8158</v>
      </c>
      <c r="C3564" t="s">
        <v>190</v>
      </c>
      <c r="D3564" t="s">
        <v>191</v>
      </c>
    </row>
    <row r="3565" spans="1:4" x14ac:dyDescent="0.2">
      <c r="A3565" t="s">
        <v>8159</v>
      </c>
      <c r="B3565" t="s">
        <v>8160</v>
      </c>
      <c r="C3565" t="s">
        <v>190</v>
      </c>
      <c r="D3565" t="s">
        <v>191</v>
      </c>
    </row>
    <row r="3566" spans="1:4" x14ac:dyDescent="0.2">
      <c r="A3566" t="s">
        <v>8159</v>
      </c>
      <c r="B3566" t="s">
        <v>8161</v>
      </c>
      <c r="C3566" t="s">
        <v>190</v>
      </c>
      <c r="D3566" t="s">
        <v>191</v>
      </c>
    </row>
    <row r="3567" spans="1:4" x14ac:dyDescent="0.2">
      <c r="A3567" t="s">
        <v>8159</v>
      </c>
      <c r="B3567" t="s">
        <v>8162</v>
      </c>
      <c r="C3567" t="s">
        <v>190</v>
      </c>
      <c r="D3567" t="s">
        <v>191</v>
      </c>
    </row>
    <row r="3568" spans="1:4" x14ac:dyDescent="0.2">
      <c r="A3568" t="s">
        <v>8163</v>
      </c>
      <c r="B3568" t="s">
        <v>8164</v>
      </c>
      <c r="C3568" t="s">
        <v>190</v>
      </c>
      <c r="D3568" t="s">
        <v>191</v>
      </c>
    </row>
    <row r="3569" spans="1:4" x14ac:dyDescent="0.2">
      <c r="A3569" t="s">
        <v>8165</v>
      </c>
      <c r="B3569" t="s">
        <v>8166</v>
      </c>
      <c r="C3569" t="s">
        <v>8167</v>
      </c>
      <c r="D3569" t="s">
        <v>187</v>
      </c>
    </row>
    <row r="3570" spans="1:4" x14ac:dyDescent="0.2">
      <c r="A3570" t="s">
        <v>8168</v>
      </c>
      <c r="B3570" t="s">
        <v>8169</v>
      </c>
      <c r="C3570" t="s">
        <v>8170</v>
      </c>
      <c r="D3570" t="s">
        <v>195</v>
      </c>
    </row>
    <row r="3571" spans="1:4" x14ac:dyDescent="0.2">
      <c r="A3571" t="s">
        <v>8171</v>
      </c>
      <c r="B3571" t="s">
        <v>8172</v>
      </c>
      <c r="C3571" t="s">
        <v>8173</v>
      </c>
      <c r="D3571" t="s">
        <v>195</v>
      </c>
    </row>
    <row r="3572" spans="1:4" x14ac:dyDescent="0.2">
      <c r="A3572" t="s">
        <v>8174</v>
      </c>
      <c r="B3572" t="s">
        <v>8175</v>
      </c>
      <c r="C3572" t="s">
        <v>8176</v>
      </c>
      <c r="D3572" t="s">
        <v>195</v>
      </c>
    </row>
    <row r="3573" spans="1:4" x14ac:dyDescent="0.2">
      <c r="A3573" t="s">
        <v>8177</v>
      </c>
      <c r="B3573" t="s">
        <v>8178</v>
      </c>
      <c r="C3573" t="s">
        <v>8179</v>
      </c>
      <c r="D3573" t="s">
        <v>195</v>
      </c>
    </row>
    <row r="3574" spans="1:4" x14ac:dyDescent="0.2">
      <c r="A3574" t="s">
        <v>8180</v>
      </c>
      <c r="B3574" t="s">
        <v>8181</v>
      </c>
      <c r="C3574" t="s">
        <v>190</v>
      </c>
      <c r="D3574" t="s">
        <v>191</v>
      </c>
    </row>
    <row r="3575" spans="1:4" x14ac:dyDescent="0.2">
      <c r="A3575" t="s">
        <v>8182</v>
      </c>
      <c r="B3575" t="s">
        <v>8183</v>
      </c>
      <c r="C3575" t="s">
        <v>190</v>
      </c>
      <c r="D3575" t="s">
        <v>191</v>
      </c>
    </row>
    <row r="3576" spans="1:4" x14ac:dyDescent="0.2">
      <c r="A3576" t="s">
        <v>8184</v>
      </c>
      <c r="B3576" t="s">
        <v>8185</v>
      </c>
      <c r="C3576" t="s">
        <v>190</v>
      </c>
      <c r="D3576" t="s">
        <v>191</v>
      </c>
    </row>
    <row r="3577" spans="1:4" x14ac:dyDescent="0.2">
      <c r="A3577" t="s">
        <v>8184</v>
      </c>
      <c r="B3577" t="s">
        <v>8186</v>
      </c>
      <c r="C3577" t="s">
        <v>190</v>
      </c>
      <c r="D3577" t="s">
        <v>191</v>
      </c>
    </row>
    <row r="3578" spans="1:4" x14ac:dyDescent="0.2">
      <c r="A3578" t="s">
        <v>8184</v>
      </c>
      <c r="B3578" t="s">
        <v>8187</v>
      </c>
      <c r="C3578" t="s">
        <v>190</v>
      </c>
      <c r="D3578" t="s">
        <v>191</v>
      </c>
    </row>
    <row r="3579" spans="1:4" x14ac:dyDescent="0.2">
      <c r="A3579" t="s">
        <v>8184</v>
      </c>
      <c r="B3579" t="s">
        <v>8188</v>
      </c>
      <c r="C3579" t="s">
        <v>8189</v>
      </c>
      <c r="D3579" t="s">
        <v>195</v>
      </c>
    </row>
    <row r="3580" spans="1:4" x14ac:dyDescent="0.2">
      <c r="A3580" t="s">
        <v>8184</v>
      </c>
      <c r="B3580" t="s">
        <v>8190</v>
      </c>
      <c r="C3580" t="s">
        <v>8191</v>
      </c>
      <c r="D3580" t="s">
        <v>195</v>
      </c>
    </row>
    <row r="3581" spans="1:4" x14ac:dyDescent="0.2">
      <c r="A3581" t="s">
        <v>8184</v>
      </c>
      <c r="B3581" t="s">
        <v>8192</v>
      </c>
      <c r="C3581" t="s">
        <v>8193</v>
      </c>
      <c r="D3581" t="s">
        <v>195</v>
      </c>
    </row>
    <row r="3582" spans="1:4" x14ac:dyDescent="0.2">
      <c r="A3582" t="s">
        <v>8184</v>
      </c>
      <c r="B3582" t="s">
        <v>8194</v>
      </c>
      <c r="C3582" t="s">
        <v>190</v>
      </c>
      <c r="D3582" t="s">
        <v>191</v>
      </c>
    </row>
    <row r="3583" spans="1:4" x14ac:dyDescent="0.2">
      <c r="A3583" t="s">
        <v>8184</v>
      </c>
      <c r="B3583" t="s">
        <v>8195</v>
      </c>
      <c r="C3583" t="s">
        <v>8196</v>
      </c>
      <c r="D3583" t="s">
        <v>195</v>
      </c>
    </row>
    <row r="3584" spans="1:4" x14ac:dyDescent="0.2">
      <c r="A3584" t="s">
        <v>8197</v>
      </c>
      <c r="B3584" t="s">
        <v>8198</v>
      </c>
      <c r="C3584" t="s">
        <v>8199</v>
      </c>
      <c r="D3584" t="s">
        <v>187</v>
      </c>
    </row>
    <row r="3585" spans="1:4" x14ac:dyDescent="0.2">
      <c r="A3585" t="s">
        <v>8200</v>
      </c>
      <c r="B3585" t="s">
        <v>8201</v>
      </c>
      <c r="C3585" t="s">
        <v>8202</v>
      </c>
      <c r="D3585" t="s">
        <v>187</v>
      </c>
    </row>
    <row r="3586" spans="1:4" x14ac:dyDescent="0.2">
      <c r="A3586" t="s">
        <v>8200</v>
      </c>
      <c r="B3586" t="s">
        <v>8203</v>
      </c>
      <c r="C3586" t="s">
        <v>8204</v>
      </c>
      <c r="D3586" t="s">
        <v>187</v>
      </c>
    </row>
    <row r="3587" spans="1:4" x14ac:dyDescent="0.2">
      <c r="A3587" t="s">
        <v>8205</v>
      </c>
      <c r="B3587" t="s">
        <v>8206</v>
      </c>
      <c r="C3587" t="s">
        <v>190</v>
      </c>
      <c r="D3587" t="s">
        <v>191</v>
      </c>
    </row>
    <row r="3588" spans="1:4" x14ac:dyDescent="0.2">
      <c r="A3588" t="s">
        <v>8207</v>
      </c>
      <c r="B3588" t="s">
        <v>8208</v>
      </c>
      <c r="C3588" t="s">
        <v>8209</v>
      </c>
      <c r="D3588" t="s">
        <v>195</v>
      </c>
    </row>
    <row r="3589" spans="1:4" x14ac:dyDescent="0.2">
      <c r="A3589" t="s">
        <v>8210</v>
      </c>
      <c r="B3589" t="s">
        <v>8211</v>
      </c>
      <c r="C3589" t="s">
        <v>190</v>
      </c>
      <c r="D3589" t="s">
        <v>8212</v>
      </c>
    </row>
    <row r="3590" spans="1:4" x14ac:dyDescent="0.2">
      <c r="A3590" t="s">
        <v>8213</v>
      </c>
      <c r="B3590" t="s">
        <v>8214</v>
      </c>
      <c r="C3590" t="s">
        <v>190</v>
      </c>
      <c r="D3590" t="s">
        <v>191</v>
      </c>
    </row>
    <row r="3591" spans="1:4" x14ac:dyDescent="0.2">
      <c r="A3591" t="s">
        <v>8215</v>
      </c>
      <c r="B3591" t="s">
        <v>8216</v>
      </c>
      <c r="C3591" t="s">
        <v>8217</v>
      </c>
      <c r="D3591" t="s">
        <v>195</v>
      </c>
    </row>
    <row r="3592" spans="1:4" x14ac:dyDescent="0.2">
      <c r="A3592" t="s">
        <v>8218</v>
      </c>
      <c r="B3592" t="s">
        <v>8219</v>
      </c>
      <c r="C3592" t="s">
        <v>190</v>
      </c>
      <c r="D3592" t="s">
        <v>191</v>
      </c>
    </row>
    <row r="3593" spans="1:4" x14ac:dyDescent="0.2">
      <c r="A3593" t="s">
        <v>8218</v>
      </c>
      <c r="B3593" t="s">
        <v>8220</v>
      </c>
      <c r="C3593" t="s">
        <v>190</v>
      </c>
      <c r="D3593" t="s">
        <v>191</v>
      </c>
    </row>
    <row r="3594" spans="1:4" x14ac:dyDescent="0.2">
      <c r="A3594" t="s">
        <v>8218</v>
      </c>
      <c r="B3594" t="s">
        <v>8221</v>
      </c>
      <c r="C3594" t="s">
        <v>190</v>
      </c>
      <c r="D3594" t="s">
        <v>191</v>
      </c>
    </row>
    <row r="3595" spans="1:4" x14ac:dyDescent="0.2">
      <c r="A3595" t="s">
        <v>8222</v>
      </c>
      <c r="B3595" t="s">
        <v>8223</v>
      </c>
      <c r="C3595" t="s">
        <v>190</v>
      </c>
      <c r="D3595" t="s">
        <v>191</v>
      </c>
    </row>
    <row r="3596" spans="1:4" x14ac:dyDescent="0.2">
      <c r="A3596" t="s">
        <v>8222</v>
      </c>
      <c r="B3596" t="s">
        <v>8220</v>
      </c>
      <c r="C3596" t="s">
        <v>190</v>
      </c>
      <c r="D3596" t="s">
        <v>8224</v>
      </c>
    </row>
    <row r="3597" spans="1:4" x14ac:dyDescent="0.2">
      <c r="A3597" t="s">
        <v>8222</v>
      </c>
      <c r="B3597" t="s">
        <v>8225</v>
      </c>
      <c r="C3597" t="s">
        <v>190</v>
      </c>
      <c r="D3597" t="s">
        <v>191</v>
      </c>
    </row>
    <row r="3598" spans="1:4" x14ac:dyDescent="0.2">
      <c r="A3598" t="s">
        <v>8222</v>
      </c>
      <c r="B3598" t="s">
        <v>8221</v>
      </c>
      <c r="C3598" t="s">
        <v>190</v>
      </c>
      <c r="D3598" t="s">
        <v>8224</v>
      </c>
    </row>
    <row r="3599" spans="1:4" x14ac:dyDescent="0.2">
      <c r="A3599" t="s">
        <v>8222</v>
      </c>
      <c r="B3599" t="s">
        <v>8226</v>
      </c>
      <c r="C3599" t="s">
        <v>190</v>
      </c>
      <c r="D3599" t="s">
        <v>191</v>
      </c>
    </row>
    <row r="3600" spans="1:4" x14ac:dyDescent="0.2">
      <c r="A3600" t="s">
        <v>8222</v>
      </c>
      <c r="B3600" t="s">
        <v>8227</v>
      </c>
      <c r="C3600" t="s">
        <v>190</v>
      </c>
      <c r="D3600" t="s">
        <v>191</v>
      </c>
    </row>
    <row r="3601" spans="1:4" x14ac:dyDescent="0.2">
      <c r="A3601" t="s">
        <v>8222</v>
      </c>
      <c r="B3601" t="s">
        <v>8228</v>
      </c>
      <c r="C3601" t="s">
        <v>190</v>
      </c>
      <c r="D3601" t="s">
        <v>191</v>
      </c>
    </row>
    <row r="3602" spans="1:4" x14ac:dyDescent="0.2">
      <c r="A3602" t="s">
        <v>8222</v>
      </c>
      <c r="B3602" t="s">
        <v>8229</v>
      </c>
      <c r="C3602" t="s">
        <v>190</v>
      </c>
      <c r="D3602" t="s">
        <v>191</v>
      </c>
    </row>
    <row r="3603" spans="1:4" x14ac:dyDescent="0.2">
      <c r="A3603" t="s">
        <v>8222</v>
      </c>
      <c r="B3603" t="s">
        <v>8230</v>
      </c>
      <c r="C3603" t="s">
        <v>190</v>
      </c>
      <c r="D3603" t="s">
        <v>191</v>
      </c>
    </row>
    <row r="3604" spans="1:4" x14ac:dyDescent="0.2">
      <c r="A3604" t="s">
        <v>8222</v>
      </c>
      <c r="B3604" t="s">
        <v>8231</v>
      </c>
      <c r="C3604" t="s">
        <v>190</v>
      </c>
      <c r="D3604" t="s">
        <v>8232</v>
      </c>
    </row>
    <row r="3605" spans="1:4" x14ac:dyDescent="0.2">
      <c r="A3605" t="s">
        <v>8222</v>
      </c>
      <c r="B3605" t="s">
        <v>8233</v>
      </c>
      <c r="C3605" t="s">
        <v>190</v>
      </c>
      <c r="D3605" t="s">
        <v>191</v>
      </c>
    </row>
    <row r="3606" spans="1:4" x14ac:dyDescent="0.2">
      <c r="A3606" t="s">
        <v>8222</v>
      </c>
      <c r="B3606" t="s">
        <v>8234</v>
      </c>
      <c r="C3606" t="s">
        <v>190</v>
      </c>
      <c r="D3606" t="s">
        <v>8232</v>
      </c>
    </row>
    <row r="3607" spans="1:4" x14ac:dyDescent="0.2">
      <c r="A3607" t="s">
        <v>8222</v>
      </c>
      <c r="B3607" t="s">
        <v>8235</v>
      </c>
      <c r="C3607" t="s">
        <v>190</v>
      </c>
      <c r="D3607" t="s">
        <v>8232</v>
      </c>
    </row>
    <row r="3608" spans="1:4" x14ac:dyDescent="0.2">
      <c r="A3608" t="s">
        <v>8222</v>
      </c>
      <c r="B3608" t="s">
        <v>8236</v>
      </c>
      <c r="C3608" t="s">
        <v>190</v>
      </c>
      <c r="D3608" t="s">
        <v>191</v>
      </c>
    </row>
    <row r="3609" spans="1:4" x14ac:dyDescent="0.2">
      <c r="A3609" t="s">
        <v>8237</v>
      </c>
      <c r="B3609" t="s">
        <v>8225</v>
      </c>
      <c r="C3609" t="s">
        <v>190</v>
      </c>
      <c r="D3609" t="s">
        <v>8238</v>
      </c>
    </row>
    <row r="3610" spans="1:4" x14ac:dyDescent="0.2">
      <c r="A3610" t="s">
        <v>8237</v>
      </c>
      <c r="B3610" t="s">
        <v>8226</v>
      </c>
      <c r="C3610" t="s">
        <v>190</v>
      </c>
      <c r="D3610" t="s">
        <v>8238</v>
      </c>
    </row>
    <row r="3611" spans="1:4" x14ac:dyDescent="0.2">
      <c r="A3611" t="s">
        <v>8237</v>
      </c>
      <c r="B3611" t="s">
        <v>8227</v>
      </c>
      <c r="C3611" t="s">
        <v>190</v>
      </c>
      <c r="D3611" t="s">
        <v>8238</v>
      </c>
    </row>
    <row r="3612" spans="1:4" x14ac:dyDescent="0.2">
      <c r="A3612" t="s">
        <v>8237</v>
      </c>
      <c r="B3612" t="s">
        <v>8228</v>
      </c>
      <c r="C3612" t="s">
        <v>190</v>
      </c>
      <c r="D3612" t="s">
        <v>8238</v>
      </c>
    </row>
    <row r="3613" spans="1:4" x14ac:dyDescent="0.2">
      <c r="A3613" t="s">
        <v>8237</v>
      </c>
      <c r="B3613" t="s">
        <v>8229</v>
      </c>
      <c r="C3613" t="s">
        <v>190</v>
      </c>
      <c r="D3613" t="s">
        <v>8238</v>
      </c>
    </row>
    <row r="3614" spans="1:4" x14ac:dyDescent="0.2">
      <c r="A3614" t="s">
        <v>8237</v>
      </c>
      <c r="B3614" t="s">
        <v>8230</v>
      </c>
      <c r="C3614" t="s">
        <v>190</v>
      </c>
      <c r="D3614" t="s">
        <v>8238</v>
      </c>
    </row>
    <row r="3615" spans="1:4" x14ac:dyDescent="0.2">
      <c r="A3615" t="s">
        <v>8237</v>
      </c>
      <c r="B3615" t="s">
        <v>8231</v>
      </c>
      <c r="C3615" t="s">
        <v>190</v>
      </c>
      <c r="D3615" t="s">
        <v>8232</v>
      </c>
    </row>
    <row r="3616" spans="1:4" x14ac:dyDescent="0.2">
      <c r="A3616" t="s">
        <v>8237</v>
      </c>
      <c r="B3616" t="s">
        <v>8233</v>
      </c>
      <c r="C3616" t="s">
        <v>190</v>
      </c>
      <c r="D3616" t="s">
        <v>8238</v>
      </c>
    </row>
    <row r="3617" spans="1:4" x14ac:dyDescent="0.2">
      <c r="A3617" t="s">
        <v>8237</v>
      </c>
      <c r="B3617" t="s">
        <v>8234</v>
      </c>
      <c r="C3617" t="s">
        <v>190</v>
      </c>
      <c r="D3617" t="s">
        <v>8232</v>
      </c>
    </row>
    <row r="3618" spans="1:4" x14ac:dyDescent="0.2">
      <c r="A3618" t="s">
        <v>8237</v>
      </c>
      <c r="B3618" t="s">
        <v>8235</v>
      </c>
      <c r="C3618" t="s">
        <v>190</v>
      </c>
      <c r="D3618" t="s">
        <v>8232</v>
      </c>
    </row>
    <row r="3619" spans="1:4" x14ac:dyDescent="0.2">
      <c r="A3619" t="s">
        <v>8237</v>
      </c>
      <c r="B3619" t="s">
        <v>8236</v>
      </c>
      <c r="C3619" t="s">
        <v>190</v>
      </c>
      <c r="D3619" t="s">
        <v>8238</v>
      </c>
    </row>
    <row r="3620" spans="1:4" x14ac:dyDescent="0.2">
      <c r="A3620" t="s">
        <v>8239</v>
      </c>
      <c r="B3620" t="s">
        <v>8240</v>
      </c>
      <c r="C3620" t="s">
        <v>190</v>
      </c>
      <c r="D3620" t="s">
        <v>191</v>
      </c>
    </row>
    <row r="3621" spans="1:4" x14ac:dyDescent="0.2">
      <c r="A3621" t="s">
        <v>8241</v>
      </c>
      <c r="B3621" t="s">
        <v>8242</v>
      </c>
      <c r="C3621" t="s">
        <v>190</v>
      </c>
      <c r="D3621" t="s">
        <v>191</v>
      </c>
    </row>
    <row r="3622" spans="1:4" x14ac:dyDescent="0.2">
      <c r="A3622" t="s">
        <v>8243</v>
      </c>
      <c r="B3622" t="s">
        <v>8244</v>
      </c>
      <c r="C3622" t="s">
        <v>190</v>
      </c>
      <c r="D3622" t="s">
        <v>191</v>
      </c>
    </row>
    <row r="3623" spans="1:4" x14ac:dyDescent="0.2">
      <c r="A3623" t="s">
        <v>8245</v>
      </c>
      <c r="B3623" t="s">
        <v>8246</v>
      </c>
      <c r="C3623" t="s">
        <v>190</v>
      </c>
      <c r="D3623" t="s">
        <v>191</v>
      </c>
    </row>
    <row r="3624" spans="1:4" x14ac:dyDescent="0.2">
      <c r="A3624" t="s">
        <v>8247</v>
      </c>
      <c r="B3624" t="s">
        <v>8248</v>
      </c>
      <c r="C3624" t="s">
        <v>190</v>
      </c>
      <c r="D3624" t="s">
        <v>191</v>
      </c>
    </row>
    <row r="3625" spans="1:4" x14ac:dyDescent="0.2">
      <c r="A3625" t="s">
        <v>8249</v>
      </c>
      <c r="B3625" t="s">
        <v>8250</v>
      </c>
      <c r="C3625" t="s">
        <v>190</v>
      </c>
      <c r="D3625" t="s">
        <v>191</v>
      </c>
    </row>
    <row r="3626" spans="1:4" x14ac:dyDescent="0.2">
      <c r="A3626" t="s">
        <v>8251</v>
      </c>
      <c r="B3626" t="s">
        <v>8252</v>
      </c>
      <c r="C3626" t="s">
        <v>190</v>
      </c>
      <c r="D3626" t="s">
        <v>191</v>
      </c>
    </row>
    <row r="3627" spans="1:4" x14ac:dyDescent="0.2">
      <c r="A3627" t="s">
        <v>8251</v>
      </c>
      <c r="B3627" t="s">
        <v>8253</v>
      </c>
      <c r="C3627" t="s">
        <v>190</v>
      </c>
      <c r="D3627" t="s">
        <v>191</v>
      </c>
    </row>
    <row r="3628" spans="1:4" x14ac:dyDescent="0.2">
      <c r="A3628" t="s">
        <v>8254</v>
      </c>
      <c r="B3628" t="s">
        <v>8255</v>
      </c>
      <c r="C3628" t="s">
        <v>8256</v>
      </c>
      <c r="D3628" t="s">
        <v>195</v>
      </c>
    </row>
    <row r="3629" spans="1:4" x14ac:dyDescent="0.2">
      <c r="A3629" t="s">
        <v>8257</v>
      </c>
      <c r="B3629" t="s">
        <v>8258</v>
      </c>
      <c r="C3629" t="s">
        <v>8259</v>
      </c>
      <c r="D3629" t="s">
        <v>195</v>
      </c>
    </row>
    <row r="3630" spans="1:4" x14ac:dyDescent="0.2">
      <c r="A3630" t="s">
        <v>8260</v>
      </c>
      <c r="B3630" t="s">
        <v>8261</v>
      </c>
      <c r="C3630" t="s">
        <v>190</v>
      </c>
      <c r="D3630" t="s">
        <v>280</v>
      </c>
    </row>
    <row r="3631" spans="1:4" x14ac:dyDescent="0.2">
      <c r="A3631" t="s">
        <v>8262</v>
      </c>
      <c r="B3631" t="s">
        <v>8263</v>
      </c>
      <c r="C3631" t="s">
        <v>190</v>
      </c>
      <c r="D3631" t="s">
        <v>191</v>
      </c>
    </row>
    <row r="3632" spans="1:4" x14ac:dyDescent="0.2">
      <c r="A3632" t="s">
        <v>8264</v>
      </c>
      <c r="B3632" t="s">
        <v>8265</v>
      </c>
      <c r="C3632" t="s">
        <v>190</v>
      </c>
      <c r="D3632" t="s">
        <v>191</v>
      </c>
    </row>
    <row r="3633" spans="1:4" x14ac:dyDescent="0.2">
      <c r="A3633" t="s">
        <v>8266</v>
      </c>
      <c r="B3633" t="s">
        <v>8267</v>
      </c>
      <c r="C3633" t="s">
        <v>190</v>
      </c>
      <c r="D3633" t="s">
        <v>191</v>
      </c>
    </row>
    <row r="3634" spans="1:4" x14ac:dyDescent="0.2">
      <c r="A3634" t="s">
        <v>8268</v>
      </c>
      <c r="B3634" t="s">
        <v>8269</v>
      </c>
      <c r="C3634" t="s">
        <v>190</v>
      </c>
      <c r="D3634" t="s">
        <v>191</v>
      </c>
    </row>
    <row r="3635" spans="1:4" x14ac:dyDescent="0.2">
      <c r="A3635" t="s">
        <v>8270</v>
      </c>
      <c r="B3635" t="s">
        <v>8271</v>
      </c>
      <c r="C3635" t="s">
        <v>190</v>
      </c>
      <c r="D3635" t="s">
        <v>191</v>
      </c>
    </row>
    <row r="3636" spans="1:4" x14ac:dyDescent="0.2">
      <c r="A3636" t="s">
        <v>8272</v>
      </c>
      <c r="B3636" t="s">
        <v>8273</v>
      </c>
      <c r="C3636" t="s">
        <v>8274</v>
      </c>
      <c r="D3636" t="s">
        <v>187</v>
      </c>
    </row>
    <row r="3637" spans="1:4" x14ac:dyDescent="0.2">
      <c r="A3637" t="s">
        <v>8275</v>
      </c>
      <c r="B3637" t="s">
        <v>8276</v>
      </c>
      <c r="C3637" t="s">
        <v>190</v>
      </c>
      <c r="D3637" t="s">
        <v>191</v>
      </c>
    </row>
    <row r="3638" spans="1:4" x14ac:dyDescent="0.2">
      <c r="A3638" t="s">
        <v>8275</v>
      </c>
      <c r="B3638" t="s">
        <v>8277</v>
      </c>
      <c r="C3638" t="s">
        <v>8278</v>
      </c>
      <c r="D3638" t="s">
        <v>195</v>
      </c>
    </row>
    <row r="3639" spans="1:4" x14ac:dyDescent="0.2">
      <c r="A3639" t="s">
        <v>8279</v>
      </c>
      <c r="B3639" t="s">
        <v>8280</v>
      </c>
      <c r="C3639" t="s">
        <v>190</v>
      </c>
      <c r="D3639" t="s">
        <v>191</v>
      </c>
    </row>
    <row r="3640" spans="1:4" x14ac:dyDescent="0.2">
      <c r="A3640" t="s">
        <v>8281</v>
      </c>
      <c r="B3640" t="s">
        <v>8282</v>
      </c>
      <c r="C3640" t="s">
        <v>8283</v>
      </c>
      <c r="D3640" t="s">
        <v>195</v>
      </c>
    </row>
    <row r="3641" spans="1:4" x14ac:dyDescent="0.2">
      <c r="A3641" t="s">
        <v>8284</v>
      </c>
      <c r="B3641" t="s">
        <v>8285</v>
      </c>
      <c r="C3641" t="s">
        <v>8286</v>
      </c>
      <c r="D3641" t="s">
        <v>187</v>
      </c>
    </row>
    <row r="3642" spans="1:4" x14ac:dyDescent="0.2">
      <c r="A3642" t="s">
        <v>8287</v>
      </c>
      <c r="B3642" t="s">
        <v>8288</v>
      </c>
      <c r="C3642" t="s">
        <v>8289</v>
      </c>
      <c r="D3642" t="s">
        <v>195</v>
      </c>
    </row>
    <row r="3643" spans="1:4" x14ac:dyDescent="0.2">
      <c r="A3643" t="s">
        <v>8290</v>
      </c>
      <c r="B3643" t="s">
        <v>8291</v>
      </c>
      <c r="C3643" t="s">
        <v>8292</v>
      </c>
      <c r="D3643" t="s">
        <v>195</v>
      </c>
    </row>
    <row r="3644" spans="1:4" x14ac:dyDescent="0.2">
      <c r="A3644" t="s">
        <v>8293</v>
      </c>
      <c r="B3644" t="s">
        <v>8294</v>
      </c>
      <c r="C3644" t="s">
        <v>190</v>
      </c>
      <c r="D3644" t="s">
        <v>191</v>
      </c>
    </row>
    <row r="3645" spans="1:4" x14ac:dyDescent="0.2">
      <c r="A3645" t="s">
        <v>8295</v>
      </c>
      <c r="B3645" t="s">
        <v>8296</v>
      </c>
      <c r="C3645" t="s">
        <v>8297</v>
      </c>
      <c r="D3645" t="s">
        <v>195</v>
      </c>
    </row>
    <row r="3646" spans="1:4" x14ac:dyDescent="0.2">
      <c r="A3646" t="s">
        <v>8298</v>
      </c>
      <c r="B3646" t="s">
        <v>8299</v>
      </c>
      <c r="C3646" t="s">
        <v>190</v>
      </c>
      <c r="D3646" t="s">
        <v>191</v>
      </c>
    </row>
    <row r="3647" spans="1:4" x14ac:dyDescent="0.2">
      <c r="A3647" t="s">
        <v>8300</v>
      </c>
      <c r="B3647" t="s">
        <v>8301</v>
      </c>
      <c r="C3647" t="s">
        <v>190</v>
      </c>
      <c r="D3647" t="s">
        <v>191</v>
      </c>
    </row>
    <row r="3648" spans="1:4" x14ac:dyDescent="0.2">
      <c r="A3648" t="s">
        <v>8302</v>
      </c>
      <c r="B3648" t="s">
        <v>8303</v>
      </c>
      <c r="C3648" t="s">
        <v>190</v>
      </c>
      <c r="D3648" t="s">
        <v>191</v>
      </c>
    </row>
    <row r="3649" spans="1:4" x14ac:dyDescent="0.2">
      <c r="A3649" t="s">
        <v>8304</v>
      </c>
      <c r="B3649" t="s">
        <v>8305</v>
      </c>
      <c r="C3649" t="s">
        <v>190</v>
      </c>
      <c r="D3649" t="s">
        <v>191</v>
      </c>
    </row>
    <row r="3650" spans="1:4" x14ac:dyDescent="0.2">
      <c r="A3650" t="s">
        <v>8306</v>
      </c>
      <c r="B3650" t="s">
        <v>8307</v>
      </c>
      <c r="C3650" t="s">
        <v>190</v>
      </c>
      <c r="D3650" t="s">
        <v>191</v>
      </c>
    </row>
    <row r="3651" spans="1:4" x14ac:dyDescent="0.2">
      <c r="A3651" t="s">
        <v>8308</v>
      </c>
      <c r="B3651" t="s">
        <v>8309</v>
      </c>
      <c r="C3651" t="s">
        <v>8310</v>
      </c>
      <c r="D3651" t="s">
        <v>187</v>
      </c>
    </row>
    <row r="3652" spans="1:4" x14ac:dyDescent="0.2">
      <c r="A3652" t="s">
        <v>8311</v>
      </c>
      <c r="B3652" t="s">
        <v>8312</v>
      </c>
      <c r="C3652" t="s">
        <v>190</v>
      </c>
      <c r="D3652" t="s">
        <v>191</v>
      </c>
    </row>
    <row r="3653" spans="1:4" x14ac:dyDescent="0.2">
      <c r="A3653" t="s">
        <v>8313</v>
      </c>
      <c r="B3653" t="s">
        <v>8314</v>
      </c>
      <c r="C3653" t="s">
        <v>8315</v>
      </c>
      <c r="D3653" t="s">
        <v>187</v>
      </c>
    </row>
    <row r="3654" spans="1:4" x14ac:dyDescent="0.2">
      <c r="A3654" t="s">
        <v>8316</v>
      </c>
      <c r="B3654" t="s">
        <v>8317</v>
      </c>
      <c r="C3654" t="s">
        <v>190</v>
      </c>
      <c r="D3654" t="s">
        <v>191</v>
      </c>
    </row>
    <row r="3655" spans="1:4" x14ac:dyDescent="0.2">
      <c r="A3655" t="s">
        <v>8318</v>
      </c>
      <c r="B3655" t="s">
        <v>8319</v>
      </c>
      <c r="C3655" t="s">
        <v>190</v>
      </c>
      <c r="D3655" t="s">
        <v>191</v>
      </c>
    </row>
    <row r="3656" spans="1:4" x14ac:dyDescent="0.2">
      <c r="A3656" t="s">
        <v>8320</v>
      </c>
      <c r="B3656" t="s">
        <v>8321</v>
      </c>
      <c r="C3656" t="s">
        <v>8322</v>
      </c>
      <c r="D3656" t="s">
        <v>195</v>
      </c>
    </row>
    <row r="3657" spans="1:4" x14ac:dyDescent="0.2">
      <c r="A3657" t="s">
        <v>8323</v>
      </c>
      <c r="B3657" t="s">
        <v>8324</v>
      </c>
      <c r="C3657" t="s">
        <v>8325</v>
      </c>
      <c r="D3657" t="s">
        <v>195</v>
      </c>
    </row>
    <row r="3658" spans="1:4" x14ac:dyDescent="0.2">
      <c r="A3658" t="s">
        <v>8326</v>
      </c>
      <c r="B3658" t="s">
        <v>8327</v>
      </c>
      <c r="C3658" t="s">
        <v>190</v>
      </c>
      <c r="D3658" t="s">
        <v>191</v>
      </c>
    </row>
    <row r="3659" spans="1:4" x14ac:dyDescent="0.2">
      <c r="A3659" t="s">
        <v>8328</v>
      </c>
      <c r="B3659" t="s">
        <v>8329</v>
      </c>
      <c r="C3659" t="s">
        <v>8330</v>
      </c>
      <c r="D3659" t="s">
        <v>187</v>
      </c>
    </row>
    <row r="3660" spans="1:4" x14ac:dyDescent="0.2">
      <c r="A3660" t="s">
        <v>8331</v>
      </c>
      <c r="B3660" t="s">
        <v>8332</v>
      </c>
      <c r="C3660" t="s">
        <v>8333</v>
      </c>
      <c r="D3660" t="s">
        <v>195</v>
      </c>
    </row>
    <row r="3661" spans="1:4" x14ac:dyDescent="0.2">
      <c r="A3661" t="s">
        <v>8334</v>
      </c>
      <c r="B3661" t="s">
        <v>8335</v>
      </c>
      <c r="C3661" t="s">
        <v>190</v>
      </c>
      <c r="D3661" t="s">
        <v>191</v>
      </c>
    </row>
    <row r="3662" spans="1:4" x14ac:dyDescent="0.2">
      <c r="A3662" t="s">
        <v>8336</v>
      </c>
      <c r="B3662" t="s">
        <v>8337</v>
      </c>
      <c r="C3662" t="s">
        <v>8338</v>
      </c>
      <c r="D3662" t="s">
        <v>187</v>
      </c>
    </row>
    <row r="3663" spans="1:4" x14ac:dyDescent="0.2">
      <c r="A3663" t="s">
        <v>8336</v>
      </c>
      <c r="B3663" t="s">
        <v>8339</v>
      </c>
      <c r="C3663" t="s">
        <v>8340</v>
      </c>
      <c r="D3663" t="s">
        <v>187</v>
      </c>
    </row>
    <row r="3664" spans="1:4" x14ac:dyDescent="0.2">
      <c r="A3664" t="s">
        <v>8336</v>
      </c>
      <c r="B3664" t="s">
        <v>8341</v>
      </c>
      <c r="C3664" t="s">
        <v>190</v>
      </c>
      <c r="D3664" t="s">
        <v>8342</v>
      </c>
    </row>
    <row r="3665" spans="1:4" x14ac:dyDescent="0.2">
      <c r="A3665" t="s">
        <v>8336</v>
      </c>
      <c r="B3665" t="s">
        <v>8343</v>
      </c>
      <c r="C3665" t="s">
        <v>190</v>
      </c>
      <c r="D3665" t="s">
        <v>191</v>
      </c>
    </row>
    <row r="3666" spans="1:4" x14ac:dyDescent="0.2">
      <c r="A3666" t="s">
        <v>8336</v>
      </c>
      <c r="B3666" t="s">
        <v>8344</v>
      </c>
      <c r="C3666" t="s">
        <v>8345</v>
      </c>
      <c r="D3666" t="s">
        <v>195</v>
      </c>
    </row>
    <row r="3667" spans="1:4" x14ac:dyDescent="0.2">
      <c r="A3667" t="s">
        <v>8346</v>
      </c>
      <c r="B3667" t="s">
        <v>8347</v>
      </c>
      <c r="C3667" t="s">
        <v>190</v>
      </c>
      <c r="D3667" t="s">
        <v>8348</v>
      </c>
    </row>
    <row r="3668" spans="1:4" x14ac:dyDescent="0.2">
      <c r="A3668" t="s">
        <v>8346</v>
      </c>
      <c r="B3668" t="s">
        <v>8349</v>
      </c>
      <c r="C3668" t="s">
        <v>8350</v>
      </c>
      <c r="D3668" t="s">
        <v>187</v>
      </c>
    </row>
    <row r="3669" spans="1:4" x14ac:dyDescent="0.2">
      <c r="A3669" t="s">
        <v>8346</v>
      </c>
      <c r="B3669" t="s">
        <v>8351</v>
      </c>
      <c r="C3669" t="s">
        <v>8352</v>
      </c>
      <c r="D3669" t="s">
        <v>195</v>
      </c>
    </row>
    <row r="3670" spans="1:4" x14ac:dyDescent="0.2">
      <c r="A3670" t="s">
        <v>8353</v>
      </c>
      <c r="B3670" t="s">
        <v>8354</v>
      </c>
      <c r="C3670" t="s">
        <v>8355</v>
      </c>
      <c r="D3670" t="s">
        <v>195</v>
      </c>
    </row>
    <row r="3671" spans="1:4" x14ac:dyDescent="0.2">
      <c r="A3671" t="s">
        <v>8356</v>
      </c>
      <c r="B3671" t="s">
        <v>8357</v>
      </c>
      <c r="C3671" t="s">
        <v>190</v>
      </c>
      <c r="D3671" t="s">
        <v>191</v>
      </c>
    </row>
    <row r="3672" spans="1:4" x14ac:dyDescent="0.2">
      <c r="A3672" t="s">
        <v>8358</v>
      </c>
      <c r="B3672" t="s">
        <v>8359</v>
      </c>
      <c r="C3672" t="s">
        <v>190</v>
      </c>
      <c r="D3672" t="s">
        <v>191</v>
      </c>
    </row>
    <row r="3673" spans="1:4" x14ac:dyDescent="0.2">
      <c r="A3673" t="s">
        <v>8360</v>
      </c>
      <c r="B3673" t="s">
        <v>8361</v>
      </c>
      <c r="C3673" t="s">
        <v>190</v>
      </c>
      <c r="D3673" t="s">
        <v>8362</v>
      </c>
    </row>
    <row r="3674" spans="1:4" x14ac:dyDescent="0.2">
      <c r="A3674" t="s">
        <v>8360</v>
      </c>
      <c r="B3674" t="s">
        <v>8363</v>
      </c>
      <c r="C3674" t="s">
        <v>190</v>
      </c>
      <c r="D3674" t="s">
        <v>191</v>
      </c>
    </row>
    <row r="3675" spans="1:4" x14ac:dyDescent="0.2">
      <c r="A3675" t="s">
        <v>8360</v>
      </c>
      <c r="B3675" t="s">
        <v>8364</v>
      </c>
      <c r="C3675" t="s">
        <v>190</v>
      </c>
      <c r="D3675" t="s">
        <v>8362</v>
      </c>
    </row>
    <row r="3676" spans="1:4" x14ac:dyDescent="0.2">
      <c r="A3676" t="s">
        <v>8360</v>
      </c>
      <c r="B3676" t="s">
        <v>8365</v>
      </c>
      <c r="C3676" t="s">
        <v>190</v>
      </c>
      <c r="D3676" t="s">
        <v>191</v>
      </c>
    </row>
    <row r="3677" spans="1:4" x14ac:dyDescent="0.2">
      <c r="A3677" t="s">
        <v>8360</v>
      </c>
      <c r="B3677" t="s">
        <v>8366</v>
      </c>
      <c r="C3677" t="s">
        <v>190</v>
      </c>
      <c r="D3677" t="s">
        <v>191</v>
      </c>
    </row>
    <row r="3678" spans="1:4" x14ac:dyDescent="0.2">
      <c r="A3678" t="s">
        <v>8367</v>
      </c>
      <c r="B3678" t="s">
        <v>8368</v>
      </c>
      <c r="C3678" t="s">
        <v>190</v>
      </c>
      <c r="D3678" t="s">
        <v>191</v>
      </c>
    </row>
    <row r="3679" spans="1:4" x14ac:dyDescent="0.2">
      <c r="A3679" t="s">
        <v>8367</v>
      </c>
      <c r="B3679" t="s">
        <v>8369</v>
      </c>
      <c r="C3679" t="s">
        <v>190</v>
      </c>
      <c r="D3679" t="s">
        <v>191</v>
      </c>
    </row>
    <row r="3680" spans="1:4" x14ac:dyDescent="0.2">
      <c r="A3680" t="s">
        <v>8370</v>
      </c>
      <c r="B3680" t="s">
        <v>8371</v>
      </c>
      <c r="C3680" t="s">
        <v>190</v>
      </c>
      <c r="D3680" t="s">
        <v>191</v>
      </c>
    </row>
    <row r="3681" spans="1:4" x14ac:dyDescent="0.2">
      <c r="A3681" t="s">
        <v>8372</v>
      </c>
      <c r="B3681" t="s">
        <v>8373</v>
      </c>
      <c r="C3681" t="s">
        <v>190</v>
      </c>
      <c r="D3681" t="s">
        <v>191</v>
      </c>
    </row>
    <row r="3682" spans="1:4" x14ac:dyDescent="0.2">
      <c r="A3682" t="s">
        <v>8374</v>
      </c>
      <c r="B3682" t="s">
        <v>8375</v>
      </c>
      <c r="C3682" t="s">
        <v>190</v>
      </c>
      <c r="D3682" t="s">
        <v>191</v>
      </c>
    </row>
    <row r="3683" spans="1:4" x14ac:dyDescent="0.2">
      <c r="A3683" t="s">
        <v>8376</v>
      </c>
      <c r="B3683" t="s">
        <v>8377</v>
      </c>
      <c r="C3683" t="s">
        <v>190</v>
      </c>
      <c r="D3683" t="s">
        <v>191</v>
      </c>
    </row>
    <row r="3684" spans="1:4" x14ac:dyDescent="0.2">
      <c r="A3684" t="s">
        <v>8378</v>
      </c>
      <c r="B3684" t="s">
        <v>8379</v>
      </c>
      <c r="C3684" t="s">
        <v>190</v>
      </c>
      <c r="D3684" t="s">
        <v>191</v>
      </c>
    </row>
    <row r="3685" spans="1:4" x14ac:dyDescent="0.2">
      <c r="A3685" t="s">
        <v>8380</v>
      </c>
      <c r="B3685" t="s">
        <v>8381</v>
      </c>
      <c r="C3685" t="s">
        <v>8382</v>
      </c>
      <c r="D3685" t="s">
        <v>195</v>
      </c>
    </row>
    <row r="3686" spans="1:4" x14ac:dyDescent="0.2">
      <c r="A3686" t="s">
        <v>8383</v>
      </c>
      <c r="B3686" t="s">
        <v>8384</v>
      </c>
      <c r="C3686" t="s">
        <v>190</v>
      </c>
      <c r="D3686" t="s">
        <v>191</v>
      </c>
    </row>
    <row r="3687" spans="1:4" x14ac:dyDescent="0.2">
      <c r="A3687" t="s">
        <v>8385</v>
      </c>
      <c r="B3687" t="s">
        <v>8386</v>
      </c>
      <c r="C3687" t="s">
        <v>8387</v>
      </c>
      <c r="D3687" t="s">
        <v>195</v>
      </c>
    </row>
    <row r="3688" spans="1:4" x14ac:dyDescent="0.2">
      <c r="A3688" t="s">
        <v>8388</v>
      </c>
      <c r="B3688" t="s">
        <v>8389</v>
      </c>
      <c r="C3688" t="s">
        <v>190</v>
      </c>
      <c r="D3688" t="s">
        <v>191</v>
      </c>
    </row>
    <row r="3689" spans="1:4" x14ac:dyDescent="0.2">
      <c r="A3689" t="s">
        <v>8390</v>
      </c>
      <c r="B3689" t="s">
        <v>8391</v>
      </c>
      <c r="C3689" t="s">
        <v>190</v>
      </c>
      <c r="D3689" t="s">
        <v>191</v>
      </c>
    </row>
    <row r="3690" spans="1:4" x14ac:dyDescent="0.2">
      <c r="A3690" t="s">
        <v>8392</v>
      </c>
      <c r="B3690" t="s">
        <v>8393</v>
      </c>
      <c r="C3690" t="s">
        <v>190</v>
      </c>
      <c r="D3690" t="s">
        <v>191</v>
      </c>
    </row>
    <row r="3691" spans="1:4" x14ac:dyDescent="0.2">
      <c r="A3691" t="s">
        <v>8394</v>
      </c>
      <c r="B3691" t="s">
        <v>8395</v>
      </c>
      <c r="C3691" t="s">
        <v>190</v>
      </c>
      <c r="D3691" t="s">
        <v>191</v>
      </c>
    </row>
    <row r="3692" spans="1:4" x14ac:dyDescent="0.2">
      <c r="A3692" t="s">
        <v>8394</v>
      </c>
      <c r="B3692" t="s">
        <v>8396</v>
      </c>
      <c r="C3692" t="s">
        <v>190</v>
      </c>
      <c r="D3692" t="s">
        <v>191</v>
      </c>
    </row>
    <row r="3693" spans="1:4" x14ac:dyDescent="0.2">
      <c r="A3693" t="s">
        <v>8397</v>
      </c>
      <c r="B3693" t="s">
        <v>8398</v>
      </c>
      <c r="C3693" t="s">
        <v>8399</v>
      </c>
      <c r="D3693" t="s">
        <v>195</v>
      </c>
    </row>
    <row r="3694" spans="1:4" x14ac:dyDescent="0.2">
      <c r="A3694" t="s">
        <v>8400</v>
      </c>
      <c r="B3694" t="s">
        <v>8401</v>
      </c>
      <c r="C3694" t="s">
        <v>190</v>
      </c>
      <c r="D3694" t="s">
        <v>191</v>
      </c>
    </row>
    <row r="3695" spans="1:4" x14ac:dyDescent="0.2">
      <c r="A3695" t="s">
        <v>8402</v>
      </c>
      <c r="B3695" t="s">
        <v>8403</v>
      </c>
      <c r="C3695" t="s">
        <v>190</v>
      </c>
      <c r="D3695" t="s">
        <v>191</v>
      </c>
    </row>
    <row r="3696" spans="1:4" x14ac:dyDescent="0.2">
      <c r="A3696" t="s">
        <v>8404</v>
      </c>
      <c r="B3696" t="s">
        <v>8405</v>
      </c>
      <c r="C3696" t="s">
        <v>8406</v>
      </c>
      <c r="D3696" t="s">
        <v>195</v>
      </c>
    </row>
    <row r="3697" spans="1:4" x14ac:dyDescent="0.2">
      <c r="A3697" t="s">
        <v>8407</v>
      </c>
      <c r="B3697" t="s">
        <v>8408</v>
      </c>
      <c r="C3697" t="s">
        <v>190</v>
      </c>
      <c r="D3697" t="s">
        <v>191</v>
      </c>
    </row>
    <row r="3698" spans="1:4" x14ac:dyDescent="0.2">
      <c r="A3698" t="s">
        <v>8409</v>
      </c>
      <c r="B3698" t="s">
        <v>8410</v>
      </c>
      <c r="C3698" t="s">
        <v>8411</v>
      </c>
      <c r="D3698" t="s">
        <v>195</v>
      </c>
    </row>
    <row r="3699" spans="1:4" x14ac:dyDescent="0.2">
      <c r="A3699" t="s">
        <v>8412</v>
      </c>
      <c r="B3699" t="s">
        <v>8413</v>
      </c>
      <c r="C3699" t="s">
        <v>8414</v>
      </c>
      <c r="D3699" t="s">
        <v>195</v>
      </c>
    </row>
    <row r="3700" spans="1:4" x14ac:dyDescent="0.2">
      <c r="A3700" t="s">
        <v>8415</v>
      </c>
      <c r="B3700" t="s">
        <v>8416</v>
      </c>
      <c r="C3700" t="s">
        <v>8417</v>
      </c>
      <c r="D3700" t="s">
        <v>187</v>
      </c>
    </row>
    <row r="3701" spans="1:4" x14ac:dyDescent="0.2">
      <c r="A3701" t="s">
        <v>8415</v>
      </c>
      <c r="B3701" t="s">
        <v>8418</v>
      </c>
      <c r="C3701" t="s">
        <v>190</v>
      </c>
      <c r="D3701" t="s">
        <v>191</v>
      </c>
    </row>
    <row r="3702" spans="1:4" x14ac:dyDescent="0.2">
      <c r="A3702" t="s">
        <v>8419</v>
      </c>
      <c r="B3702" t="s">
        <v>8420</v>
      </c>
      <c r="C3702" t="s">
        <v>190</v>
      </c>
      <c r="D3702" t="s">
        <v>191</v>
      </c>
    </row>
    <row r="3703" spans="1:4" x14ac:dyDescent="0.2">
      <c r="A3703" t="s">
        <v>8421</v>
      </c>
      <c r="B3703" t="s">
        <v>8422</v>
      </c>
      <c r="C3703" t="s">
        <v>8423</v>
      </c>
      <c r="D3703" t="s">
        <v>187</v>
      </c>
    </row>
    <row r="3704" spans="1:4" x14ac:dyDescent="0.2">
      <c r="A3704" t="s">
        <v>8424</v>
      </c>
      <c r="B3704" t="s">
        <v>8425</v>
      </c>
      <c r="C3704" t="s">
        <v>190</v>
      </c>
      <c r="D3704" t="s">
        <v>191</v>
      </c>
    </row>
    <row r="3705" spans="1:4" x14ac:dyDescent="0.2">
      <c r="A3705" t="s">
        <v>8426</v>
      </c>
      <c r="B3705" t="s">
        <v>8427</v>
      </c>
      <c r="C3705" t="s">
        <v>190</v>
      </c>
      <c r="D3705" t="s">
        <v>191</v>
      </c>
    </row>
    <row r="3706" spans="1:4" x14ac:dyDescent="0.2">
      <c r="A3706" t="s">
        <v>8428</v>
      </c>
      <c r="B3706" t="s">
        <v>8429</v>
      </c>
      <c r="C3706" t="s">
        <v>190</v>
      </c>
      <c r="D3706" t="s">
        <v>191</v>
      </c>
    </row>
    <row r="3707" spans="1:4" x14ac:dyDescent="0.2">
      <c r="A3707" t="s">
        <v>8430</v>
      </c>
      <c r="B3707" t="s">
        <v>8431</v>
      </c>
      <c r="C3707" t="s">
        <v>190</v>
      </c>
      <c r="D3707" t="s">
        <v>191</v>
      </c>
    </row>
    <row r="3708" spans="1:4" x14ac:dyDescent="0.2">
      <c r="A3708" t="s">
        <v>8432</v>
      </c>
      <c r="B3708" t="s">
        <v>8433</v>
      </c>
      <c r="C3708" t="s">
        <v>190</v>
      </c>
      <c r="D3708" t="s">
        <v>280</v>
      </c>
    </row>
    <row r="3709" spans="1:4" x14ac:dyDescent="0.2">
      <c r="A3709" t="s">
        <v>8434</v>
      </c>
      <c r="B3709" t="s">
        <v>8435</v>
      </c>
      <c r="C3709" t="s">
        <v>190</v>
      </c>
      <c r="D3709" t="s">
        <v>191</v>
      </c>
    </row>
    <row r="3710" spans="1:4" x14ac:dyDescent="0.2">
      <c r="A3710" t="s">
        <v>8436</v>
      </c>
      <c r="B3710" t="s">
        <v>8437</v>
      </c>
      <c r="C3710" t="s">
        <v>190</v>
      </c>
      <c r="D3710" t="s">
        <v>8438</v>
      </c>
    </row>
    <row r="3711" spans="1:4" x14ac:dyDescent="0.2">
      <c r="A3711" t="s">
        <v>8436</v>
      </c>
      <c r="B3711" t="s">
        <v>8439</v>
      </c>
      <c r="C3711" t="s">
        <v>190</v>
      </c>
      <c r="D3711" t="s">
        <v>191</v>
      </c>
    </row>
    <row r="3712" spans="1:4" x14ac:dyDescent="0.2">
      <c r="A3712" t="s">
        <v>8436</v>
      </c>
      <c r="B3712" t="s">
        <v>8440</v>
      </c>
      <c r="C3712" t="s">
        <v>190</v>
      </c>
      <c r="D3712" t="s">
        <v>191</v>
      </c>
    </row>
    <row r="3713" spans="1:4" x14ac:dyDescent="0.2">
      <c r="A3713" t="s">
        <v>8436</v>
      </c>
      <c r="B3713" t="s">
        <v>8341</v>
      </c>
      <c r="C3713" t="s">
        <v>190</v>
      </c>
      <c r="D3713" t="s">
        <v>191</v>
      </c>
    </row>
    <row r="3714" spans="1:4" x14ac:dyDescent="0.2">
      <c r="A3714" t="s">
        <v>8436</v>
      </c>
      <c r="B3714" t="s">
        <v>8441</v>
      </c>
      <c r="C3714" t="s">
        <v>190</v>
      </c>
      <c r="D3714" t="s">
        <v>191</v>
      </c>
    </row>
    <row r="3715" spans="1:4" x14ac:dyDescent="0.2">
      <c r="A3715" t="s">
        <v>8436</v>
      </c>
      <c r="B3715" t="s">
        <v>8442</v>
      </c>
      <c r="C3715" t="s">
        <v>190</v>
      </c>
      <c r="D3715" t="s">
        <v>191</v>
      </c>
    </row>
    <row r="3716" spans="1:4" x14ac:dyDescent="0.2">
      <c r="A3716" t="s">
        <v>8436</v>
      </c>
      <c r="B3716" t="s">
        <v>8344</v>
      </c>
      <c r="C3716" t="s">
        <v>8345</v>
      </c>
      <c r="D3716" t="s">
        <v>195</v>
      </c>
    </row>
    <row r="3717" spans="1:4" x14ac:dyDescent="0.2">
      <c r="A3717" t="s">
        <v>8436</v>
      </c>
      <c r="B3717" t="s">
        <v>8443</v>
      </c>
      <c r="C3717" t="s">
        <v>8444</v>
      </c>
      <c r="D3717" t="s">
        <v>187</v>
      </c>
    </row>
    <row r="3718" spans="1:4" x14ac:dyDescent="0.2">
      <c r="A3718" t="s">
        <v>8445</v>
      </c>
      <c r="B3718" t="s">
        <v>8446</v>
      </c>
      <c r="C3718" t="s">
        <v>190</v>
      </c>
      <c r="D3718" t="s">
        <v>191</v>
      </c>
    </row>
    <row r="3719" spans="1:4" x14ac:dyDescent="0.2">
      <c r="A3719" t="s">
        <v>8445</v>
      </c>
      <c r="B3719" t="s">
        <v>8447</v>
      </c>
      <c r="C3719" t="s">
        <v>190</v>
      </c>
      <c r="D3719" t="s">
        <v>8448</v>
      </c>
    </row>
    <row r="3720" spans="1:4" x14ac:dyDescent="0.2">
      <c r="A3720" t="s">
        <v>8445</v>
      </c>
      <c r="B3720" t="s">
        <v>8449</v>
      </c>
      <c r="C3720" t="s">
        <v>190</v>
      </c>
      <c r="D3720" t="s">
        <v>191</v>
      </c>
    </row>
    <row r="3721" spans="1:4" x14ac:dyDescent="0.2">
      <c r="A3721" t="s">
        <v>8445</v>
      </c>
      <c r="B3721" t="s">
        <v>8440</v>
      </c>
      <c r="C3721" t="s">
        <v>190</v>
      </c>
      <c r="D3721" t="s">
        <v>8342</v>
      </c>
    </row>
    <row r="3722" spans="1:4" x14ac:dyDescent="0.2">
      <c r="A3722" t="s">
        <v>8445</v>
      </c>
      <c r="B3722" t="s">
        <v>8450</v>
      </c>
      <c r="C3722" t="s">
        <v>190</v>
      </c>
      <c r="D3722" t="s">
        <v>191</v>
      </c>
    </row>
    <row r="3723" spans="1:4" x14ac:dyDescent="0.2">
      <c r="A3723" t="s">
        <v>8445</v>
      </c>
      <c r="B3723" t="s">
        <v>8451</v>
      </c>
      <c r="C3723" t="s">
        <v>190</v>
      </c>
      <c r="D3723" t="s">
        <v>191</v>
      </c>
    </row>
    <row r="3724" spans="1:4" x14ac:dyDescent="0.2">
      <c r="A3724" t="s">
        <v>8445</v>
      </c>
      <c r="B3724" t="s">
        <v>8452</v>
      </c>
      <c r="C3724" t="s">
        <v>190</v>
      </c>
      <c r="D3724" t="s">
        <v>8448</v>
      </c>
    </row>
    <row r="3725" spans="1:4" x14ac:dyDescent="0.2">
      <c r="A3725" t="s">
        <v>8453</v>
      </c>
      <c r="B3725" t="s">
        <v>8454</v>
      </c>
      <c r="C3725" t="s">
        <v>190</v>
      </c>
      <c r="D3725" t="s">
        <v>191</v>
      </c>
    </row>
    <row r="3726" spans="1:4" x14ac:dyDescent="0.2">
      <c r="A3726" t="s">
        <v>8455</v>
      </c>
      <c r="B3726" t="s">
        <v>8456</v>
      </c>
      <c r="C3726" t="s">
        <v>8457</v>
      </c>
      <c r="D3726" t="s">
        <v>187</v>
      </c>
    </row>
    <row r="3727" spans="1:4" x14ac:dyDescent="0.2">
      <c r="A3727" t="s">
        <v>8458</v>
      </c>
      <c r="B3727" t="s">
        <v>8459</v>
      </c>
      <c r="C3727" t="s">
        <v>190</v>
      </c>
      <c r="D3727" t="s">
        <v>191</v>
      </c>
    </row>
    <row r="3728" spans="1:4" x14ac:dyDescent="0.2">
      <c r="A3728" t="s">
        <v>8460</v>
      </c>
      <c r="B3728" t="s">
        <v>8461</v>
      </c>
      <c r="C3728" t="s">
        <v>8462</v>
      </c>
      <c r="D3728" t="s">
        <v>195</v>
      </c>
    </row>
    <row r="3729" spans="1:4" x14ac:dyDescent="0.2">
      <c r="A3729" t="s">
        <v>8463</v>
      </c>
      <c r="B3729" t="s">
        <v>8464</v>
      </c>
      <c r="C3729" t="s">
        <v>190</v>
      </c>
      <c r="D3729" t="s">
        <v>191</v>
      </c>
    </row>
    <row r="3730" spans="1:4" x14ac:dyDescent="0.2">
      <c r="A3730" t="s">
        <v>8465</v>
      </c>
      <c r="B3730" t="s">
        <v>8466</v>
      </c>
      <c r="C3730" t="s">
        <v>190</v>
      </c>
      <c r="D3730" t="s">
        <v>191</v>
      </c>
    </row>
    <row r="3731" spans="1:4" x14ac:dyDescent="0.2">
      <c r="A3731" t="s">
        <v>8467</v>
      </c>
      <c r="B3731" t="s">
        <v>8468</v>
      </c>
      <c r="C3731" t="s">
        <v>190</v>
      </c>
      <c r="D3731" t="s">
        <v>8469</v>
      </c>
    </row>
    <row r="3732" spans="1:4" x14ac:dyDescent="0.2">
      <c r="A3732" t="s">
        <v>8467</v>
      </c>
      <c r="B3732" t="s">
        <v>8470</v>
      </c>
      <c r="C3732" t="s">
        <v>190</v>
      </c>
      <c r="D3732" t="s">
        <v>191</v>
      </c>
    </row>
    <row r="3733" spans="1:4" x14ac:dyDescent="0.2">
      <c r="A3733" t="s">
        <v>8471</v>
      </c>
      <c r="B3733" t="s">
        <v>8472</v>
      </c>
      <c r="C3733" t="s">
        <v>190</v>
      </c>
      <c r="D3733" t="s">
        <v>191</v>
      </c>
    </row>
    <row r="3734" spans="1:4" x14ac:dyDescent="0.2">
      <c r="A3734" t="s">
        <v>8473</v>
      </c>
      <c r="B3734" t="s">
        <v>8474</v>
      </c>
      <c r="C3734" t="s">
        <v>8475</v>
      </c>
      <c r="D3734" t="s">
        <v>187</v>
      </c>
    </row>
    <row r="3735" spans="1:4" x14ac:dyDescent="0.2">
      <c r="A3735" t="s">
        <v>8476</v>
      </c>
      <c r="B3735" t="s">
        <v>8477</v>
      </c>
      <c r="C3735" t="s">
        <v>190</v>
      </c>
      <c r="D3735" t="s">
        <v>191</v>
      </c>
    </row>
    <row r="3736" spans="1:4" x14ac:dyDescent="0.2">
      <c r="A3736" t="s">
        <v>8478</v>
      </c>
      <c r="B3736" t="s">
        <v>8479</v>
      </c>
      <c r="C3736" t="s">
        <v>8480</v>
      </c>
      <c r="D3736" t="s">
        <v>195</v>
      </c>
    </row>
    <row r="3737" spans="1:4" x14ac:dyDescent="0.2">
      <c r="A3737" t="s">
        <v>8481</v>
      </c>
      <c r="B3737" t="s">
        <v>8482</v>
      </c>
      <c r="C3737" t="s">
        <v>190</v>
      </c>
      <c r="D3737" t="s">
        <v>191</v>
      </c>
    </row>
    <row r="3738" spans="1:4" x14ac:dyDescent="0.2">
      <c r="A3738" t="s">
        <v>8483</v>
      </c>
      <c r="B3738" t="s">
        <v>8484</v>
      </c>
      <c r="C3738" t="s">
        <v>8485</v>
      </c>
      <c r="D3738" t="s">
        <v>195</v>
      </c>
    </row>
    <row r="3739" spans="1:4" x14ac:dyDescent="0.2">
      <c r="A3739" t="s">
        <v>8486</v>
      </c>
      <c r="B3739" t="s">
        <v>8487</v>
      </c>
      <c r="C3739" t="s">
        <v>190</v>
      </c>
      <c r="D3739" t="s">
        <v>8488</v>
      </c>
    </row>
    <row r="3740" spans="1:4" x14ac:dyDescent="0.2">
      <c r="A3740" t="s">
        <v>8489</v>
      </c>
      <c r="B3740" t="s">
        <v>8490</v>
      </c>
      <c r="C3740" t="s">
        <v>8491</v>
      </c>
      <c r="D3740" t="s">
        <v>187</v>
      </c>
    </row>
    <row r="3741" spans="1:4" x14ac:dyDescent="0.2">
      <c r="A3741" t="s">
        <v>8492</v>
      </c>
      <c r="B3741" t="s">
        <v>8493</v>
      </c>
      <c r="C3741" t="s">
        <v>190</v>
      </c>
      <c r="D3741" t="s">
        <v>191</v>
      </c>
    </row>
    <row r="3742" spans="1:4" x14ac:dyDescent="0.2">
      <c r="A3742" t="s">
        <v>8494</v>
      </c>
      <c r="B3742" t="s">
        <v>8495</v>
      </c>
      <c r="C3742" t="s">
        <v>190</v>
      </c>
      <c r="D3742" t="s">
        <v>191</v>
      </c>
    </row>
    <row r="3743" spans="1:4" x14ac:dyDescent="0.2">
      <c r="A3743" t="s">
        <v>8496</v>
      </c>
      <c r="B3743" t="s">
        <v>8497</v>
      </c>
      <c r="C3743" t="s">
        <v>190</v>
      </c>
      <c r="D3743" t="s">
        <v>191</v>
      </c>
    </row>
    <row r="3744" spans="1:4" x14ac:dyDescent="0.2">
      <c r="A3744" t="s">
        <v>8498</v>
      </c>
      <c r="B3744" t="s">
        <v>8499</v>
      </c>
      <c r="C3744" t="s">
        <v>8500</v>
      </c>
      <c r="D3744" t="s">
        <v>195</v>
      </c>
    </row>
    <row r="3745" spans="1:4" x14ac:dyDescent="0.2">
      <c r="A3745" t="s">
        <v>8501</v>
      </c>
      <c r="B3745" t="s">
        <v>8502</v>
      </c>
      <c r="C3745" t="s">
        <v>190</v>
      </c>
      <c r="D3745" t="s">
        <v>191</v>
      </c>
    </row>
    <row r="3746" spans="1:4" x14ac:dyDescent="0.2">
      <c r="A3746" t="s">
        <v>8501</v>
      </c>
      <c r="B3746" t="s">
        <v>8503</v>
      </c>
      <c r="C3746" t="s">
        <v>8504</v>
      </c>
      <c r="D3746" t="s">
        <v>187</v>
      </c>
    </row>
    <row r="3747" spans="1:4" x14ac:dyDescent="0.2">
      <c r="A3747" t="s">
        <v>8505</v>
      </c>
      <c r="B3747" t="s">
        <v>8506</v>
      </c>
      <c r="C3747" t="s">
        <v>8507</v>
      </c>
      <c r="D3747" t="s">
        <v>187</v>
      </c>
    </row>
    <row r="3748" spans="1:4" x14ac:dyDescent="0.2">
      <c r="A3748" t="s">
        <v>8508</v>
      </c>
      <c r="B3748" t="s">
        <v>8509</v>
      </c>
      <c r="C3748" t="s">
        <v>190</v>
      </c>
      <c r="D3748" t="s">
        <v>191</v>
      </c>
    </row>
    <row r="3749" spans="1:4" x14ac:dyDescent="0.2">
      <c r="A3749" t="s">
        <v>8510</v>
      </c>
      <c r="B3749" t="s">
        <v>8511</v>
      </c>
      <c r="C3749" t="s">
        <v>190</v>
      </c>
      <c r="D3749" t="s">
        <v>191</v>
      </c>
    </row>
    <row r="3750" spans="1:4" x14ac:dyDescent="0.2">
      <c r="A3750" t="s">
        <v>8512</v>
      </c>
      <c r="B3750" t="s">
        <v>8513</v>
      </c>
      <c r="C3750" t="s">
        <v>8514</v>
      </c>
      <c r="D3750" t="s">
        <v>195</v>
      </c>
    </row>
    <row r="3751" spans="1:4" x14ac:dyDescent="0.2">
      <c r="A3751" t="s">
        <v>8515</v>
      </c>
      <c r="B3751" t="s">
        <v>8516</v>
      </c>
      <c r="C3751" t="s">
        <v>190</v>
      </c>
      <c r="D3751" t="s">
        <v>191</v>
      </c>
    </row>
    <row r="3752" spans="1:4" x14ac:dyDescent="0.2">
      <c r="A3752" t="s">
        <v>8517</v>
      </c>
      <c r="B3752" t="s">
        <v>8518</v>
      </c>
      <c r="C3752" t="s">
        <v>190</v>
      </c>
      <c r="D3752" t="s">
        <v>191</v>
      </c>
    </row>
    <row r="3753" spans="1:4" x14ac:dyDescent="0.2">
      <c r="A3753" t="s">
        <v>8519</v>
      </c>
      <c r="B3753" t="s">
        <v>8520</v>
      </c>
      <c r="C3753" t="s">
        <v>190</v>
      </c>
      <c r="D3753" t="s">
        <v>191</v>
      </c>
    </row>
    <row r="3754" spans="1:4" x14ac:dyDescent="0.2">
      <c r="A3754" t="s">
        <v>8521</v>
      </c>
      <c r="B3754" t="s">
        <v>8522</v>
      </c>
      <c r="C3754" t="s">
        <v>8523</v>
      </c>
      <c r="D3754" t="s">
        <v>187</v>
      </c>
    </row>
    <row r="3755" spans="1:4" x14ac:dyDescent="0.2">
      <c r="A3755" t="s">
        <v>8524</v>
      </c>
      <c r="B3755" t="s">
        <v>8525</v>
      </c>
      <c r="C3755" t="s">
        <v>8526</v>
      </c>
      <c r="D3755" t="s">
        <v>187</v>
      </c>
    </row>
    <row r="3756" spans="1:4" x14ac:dyDescent="0.2">
      <c r="A3756" t="s">
        <v>8527</v>
      </c>
      <c r="B3756" t="s">
        <v>8528</v>
      </c>
      <c r="C3756" t="s">
        <v>190</v>
      </c>
      <c r="D3756" t="s">
        <v>191</v>
      </c>
    </row>
    <row r="3757" spans="1:4" x14ac:dyDescent="0.2">
      <c r="A3757" t="s">
        <v>8529</v>
      </c>
      <c r="B3757" t="s">
        <v>8530</v>
      </c>
      <c r="C3757" t="s">
        <v>190</v>
      </c>
      <c r="D3757" t="s">
        <v>191</v>
      </c>
    </row>
    <row r="3758" spans="1:4" x14ac:dyDescent="0.2">
      <c r="A3758" t="s">
        <v>8531</v>
      </c>
      <c r="B3758" t="s">
        <v>8532</v>
      </c>
      <c r="C3758" t="s">
        <v>190</v>
      </c>
      <c r="D3758" t="s">
        <v>191</v>
      </c>
    </row>
    <row r="3759" spans="1:4" x14ac:dyDescent="0.2">
      <c r="A3759" t="s">
        <v>8533</v>
      </c>
      <c r="B3759" t="s">
        <v>8534</v>
      </c>
      <c r="C3759" t="s">
        <v>190</v>
      </c>
      <c r="D3759" t="s">
        <v>191</v>
      </c>
    </row>
    <row r="3760" spans="1:4" x14ac:dyDescent="0.2">
      <c r="A3760" t="s">
        <v>8535</v>
      </c>
      <c r="B3760" t="s">
        <v>8536</v>
      </c>
      <c r="C3760" t="s">
        <v>190</v>
      </c>
      <c r="D3760" t="s">
        <v>191</v>
      </c>
    </row>
    <row r="3761" spans="1:4" x14ac:dyDescent="0.2">
      <c r="A3761" t="s">
        <v>8537</v>
      </c>
      <c r="B3761" t="s">
        <v>8538</v>
      </c>
      <c r="C3761" t="s">
        <v>190</v>
      </c>
      <c r="D3761" t="s">
        <v>191</v>
      </c>
    </row>
    <row r="3762" spans="1:4" x14ac:dyDescent="0.2">
      <c r="A3762" t="s">
        <v>8539</v>
      </c>
      <c r="B3762" t="s">
        <v>8540</v>
      </c>
      <c r="C3762" t="s">
        <v>190</v>
      </c>
      <c r="D3762" t="s">
        <v>191</v>
      </c>
    </row>
    <row r="3763" spans="1:4" x14ac:dyDescent="0.2">
      <c r="A3763" t="s">
        <v>8541</v>
      </c>
      <c r="B3763" t="s">
        <v>8542</v>
      </c>
      <c r="C3763" t="s">
        <v>190</v>
      </c>
      <c r="D3763" t="s">
        <v>191</v>
      </c>
    </row>
    <row r="3764" spans="1:4" x14ac:dyDescent="0.2">
      <c r="A3764" t="s">
        <v>8543</v>
      </c>
      <c r="B3764" t="s">
        <v>8544</v>
      </c>
      <c r="C3764" t="s">
        <v>190</v>
      </c>
      <c r="D3764" t="s">
        <v>191</v>
      </c>
    </row>
    <row r="3765" spans="1:4" x14ac:dyDescent="0.2">
      <c r="A3765" t="s">
        <v>8545</v>
      </c>
      <c r="B3765" t="s">
        <v>8546</v>
      </c>
      <c r="C3765" t="s">
        <v>8547</v>
      </c>
      <c r="D3765" t="s">
        <v>187</v>
      </c>
    </row>
    <row r="3766" spans="1:4" x14ac:dyDescent="0.2">
      <c r="A3766" t="s">
        <v>8548</v>
      </c>
      <c r="B3766" t="s">
        <v>8549</v>
      </c>
      <c r="C3766" t="s">
        <v>8550</v>
      </c>
      <c r="D3766" t="s">
        <v>195</v>
      </c>
    </row>
    <row r="3767" spans="1:4" x14ac:dyDescent="0.2">
      <c r="A3767" t="s">
        <v>8551</v>
      </c>
      <c r="B3767" t="s">
        <v>8552</v>
      </c>
      <c r="C3767" t="s">
        <v>8553</v>
      </c>
      <c r="D3767" t="s">
        <v>195</v>
      </c>
    </row>
    <row r="3768" spans="1:4" x14ac:dyDescent="0.2">
      <c r="A3768" t="s">
        <v>8554</v>
      </c>
      <c r="B3768" t="s">
        <v>8555</v>
      </c>
      <c r="C3768" t="s">
        <v>190</v>
      </c>
      <c r="D3768" t="s">
        <v>191</v>
      </c>
    </row>
    <row r="3769" spans="1:4" x14ac:dyDescent="0.2">
      <c r="A3769" t="s">
        <v>8556</v>
      </c>
      <c r="B3769" t="s">
        <v>8557</v>
      </c>
      <c r="C3769" t="s">
        <v>190</v>
      </c>
      <c r="D3769" t="s">
        <v>191</v>
      </c>
    </row>
    <row r="3770" spans="1:4" x14ac:dyDescent="0.2">
      <c r="A3770" t="s">
        <v>8558</v>
      </c>
      <c r="B3770" t="s">
        <v>8559</v>
      </c>
      <c r="C3770" t="s">
        <v>190</v>
      </c>
      <c r="D3770" t="s">
        <v>191</v>
      </c>
    </row>
    <row r="3771" spans="1:4" x14ac:dyDescent="0.2">
      <c r="A3771" t="s">
        <v>8560</v>
      </c>
      <c r="B3771" t="s">
        <v>8561</v>
      </c>
      <c r="C3771" t="s">
        <v>190</v>
      </c>
      <c r="D3771" t="s">
        <v>191</v>
      </c>
    </row>
    <row r="3772" spans="1:4" x14ac:dyDescent="0.2">
      <c r="A3772" t="s">
        <v>8562</v>
      </c>
      <c r="B3772" t="s">
        <v>8563</v>
      </c>
      <c r="C3772" t="s">
        <v>8564</v>
      </c>
      <c r="D3772" t="s">
        <v>195</v>
      </c>
    </row>
    <row r="3773" spans="1:4" x14ac:dyDescent="0.2">
      <c r="A3773" t="s">
        <v>8565</v>
      </c>
      <c r="B3773" t="s">
        <v>8566</v>
      </c>
      <c r="C3773" t="s">
        <v>190</v>
      </c>
      <c r="D3773" t="s">
        <v>191</v>
      </c>
    </row>
    <row r="3774" spans="1:4" x14ac:dyDescent="0.2">
      <c r="A3774" t="s">
        <v>8567</v>
      </c>
      <c r="B3774" t="s">
        <v>8568</v>
      </c>
      <c r="C3774" t="s">
        <v>190</v>
      </c>
      <c r="D3774" t="s">
        <v>191</v>
      </c>
    </row>
    <row r="3775" spans="1:4" x14ac:dyDescent="0.2">
      <c r="A3775" t="s">
        <v>8569</v>
      </c>
      <c r="B3775" t="s">
        <v>8570</v>
      </c>
      <c r="C3775" t="s">
        <v>190</v>
      </c>
      <c r="D3775" t="s">
        <v>191</v>
      </c>
    </row>
    <row r="3776" spans="1:4" x14ac:dyDescent="0.2">
      <c r="A3776" t="s">
        <v>8571</v>
      </c>
      <c r="B3776" t="s">
        <v>8572</v>
      </c>
      <c r="C3776" t="s">
        <v>190</v>
      </c>
      <c r="D3776" t="s">
        <v>191</v>
      </c>
    </row>
    <row r="3777" spans="1:4" x14ac:dyDescent="0.2">
      <c r="A3777" t="s">
        <v>8573</v>
      </c>
      <c r="B3777" t="s">
        <v>8574</v>
      </c>
      <c r="C3777" t="s">
        <v>190</v>
      </c>
      <c r="D3777" t="s">
        <v>191</v>
      </c>
    </row>
    <row r="3778" spans="1:4" x14ac:dyDescent="0.2">
      <c r="A3778" t="s">
        <v>8575</v>
      </c>
      <c r="B3778" t="s">
        <v>8576</v>
      </c>
      <c r="C3778" t="s">
        <v>190</v>
      </c>
      <c r="D3778" t="s">
        <v>191</v>
      </c>
    </row>
    <row r="3779" spans="1:4" x14ac:dyDescent="0.2">
      <c r="A3779" t="s">
        <v>8577</v>
      </c>
      <c r="B3779" t="s">
        <v>8578</v>
      </c>
      <c r="C3779" t="s">
        <v>190</v>
      </c>
      <c r="D3779" t="s">
        <v>191</v>
      </c>
    </row>
    <row r="3780" spans="1:4" x14ac:dyDescent="0.2">
      <c r="A3780" t="s">
        <v>8579</v>
      </c>
      <c r="B3780" t="s">
        <v>8580</v>
      </c>
      <c r="C3780" t="s">
        <v>190</v>
      </c>
      <c r="D3780" t="s">
        <v>191</v>
      </c>
    </row>
    <row r="3781" spans="1:4" x14ac:dyDescent="0.2">
      <c r="A3781" t="s">
        <v>8581</v>
      </c>
      <c r="B3781" t="s">
        <v>8582</v>
      </c>
      <c r="C3781" t="s">
        <v>190</v>
      </c>
      <c r="D3781" t="s">
        <v>191</v>
      </c>
    </row>
    <row r="3782" spans="1:4" x14ac:dyDescent="0.2">
      <c r="A3782" t="s">
        <v>8583</v>
      </c>
      <c r="B3782" t="s">
        <v>8584</v>
      </c>
      <c r="C3782" t="s">
        <v>190</v>
      </c>
      <c r="D3782" t="s">
        <v>191</v>
      </c>
    </row>
    <row r="3783" spans="1:4" x14ac:dyDescent="0.2">
      <c r="A3783" t="s">
        <v>8585</v>
      </c>
      <c r="B3783" t="s">
        <v>8586</v>
      </c>
      <c r="C3783" t="s">
        <v>190</v>
      </c>
      <c r="D3783" t="s">
        <v>191</v>
      </c>
    </row>
    <row r="3784" spans="1:4" x14ac:dyDescent="0.2">
      <c r="A3784" t="s">
        <v>8587</v>
      </c>
      <c r="B3784" t="s">
        <v>8588</v>
      </c>
      <c r="C3784" t="s">
        <v>8589</v>
      </c>
      <c r="D3784" t="s">
        <v>187</v>
      </c>
    </row>
    <row r="3785" spans="1:4" x14ac:dyDescent="0.2">
      <c r="A3785" t="s">
        <v>8590</v>
      </c>
      <c r="B3785" t="s">
        <v>8591</v>
      </c>
      <c r="C3785" t="s">
        <v>8592</v>
      </c>
      <c r="D3785" t="s">
        <v>187</v>
      </c>
    </row>
    <row r="3786" spans="1:4" x14ac:dyDescent="0.2">
      <c r="A3786" t="s">
        <v>8593</v>
      </c>
      <c r="B3786" t="s">
        <v>8594</v>
      </c>
      <c r="C3786" t="s">
        <v>190</v>
      </c>
      <c r="D3786" t="s">
        <v>191</v>
      </c>
    </row>
    <row r="3787" spans="1:4" x14ac:dyDescent="0.2">
      <c r="A3787" t="s">
        <v>8595</v>
      </c>
      <c r="B3787" t="s">
        <v>8596</v>
      </c>
      <c r="C3787" t="s">
        <v>190</v>
      </c>
      <c r="D3787" t="s">
        <v>191</v>
      </c>
    </row>
    <row r="3788" spans="1:4" x14ac:dyDescent="0.2">
      <c r="A3788" t="s">
        <v>8595</v>
      </c>
      <c r="B3788" t="s">
        <v>8597</v>
      </c>
      <c r="C3788" t="s">
        <v>190</v>
      </c>
      <c r="D3788" t="s">
        <v>191</v>
      </c>
    </row>
    <row r="3789" spans="1:4" x14ac:dyDescent="0.2">
      <c r="A3789" t="s">
        <v>8598</v>
      </c>
      <c r="B3789" t="s">
        <v>8599</v>
      </c>
      <c r="C3789" t="s">
        <v>190</v>
      </c>
      <c r="D3789" t="s">
        <v>8600</v>
      </c>
    </row>
    <row r="3790" spans="1:4" x14ac:dyDescent="0.2">
      <c r="A3790" t="s">
        <v>8598</v>
      </c>
      <c r="B3790" t="s">
        <v>8601</v>
      </c>
      <c r="C3790" t="s">
        <v>8602</v>
      </c>
      <c r="D3790" t="s">
        <v>195</v>
      </c>
    </row>
    <row r="3791" spans="1:4" x14ac:dyDescent="0.2">
      <c r="A3791" t="s">
        <v>8603</v>
      </c>
      <c r="B3791" t="s">
        <v>8604</v>
      </c>
      <c r="C3791" t="s">
        <v>8605</v>
      </c>
      <c r="D3791" t="s">
        <v>187</v>
      </c>
    </row>
    <row r="3792" spans="1:4" x14ac:dyDescent="0.2">
      <c r="A3792" t="s">
        <v>8606</v>
      </c>
      <c r="B3792" t="s">
        <v>8596</v>
      </c>
      <c r="C3792" t="s">
        <v>190</v>
      </c>
      <c r="D3792" t="s">
        <v>8607</v>
      </c>
    </row>
    <row r="3793" spans="1:4" x14ac:dyDescent="0.2">
      <c r="A3793" t="s">
        <v>8608</v>
      </c>
      <c r="B3793" t="s">
        <v>8599</v>
      </c>
      <c r="C3793" t="s">
        <v>190</v>
      </c>
      <c r="D3793" t="s">
        <v>8600</v>
      </c>
    </row>
    <row r="3794" spans="1:4" x14ac:dyDescent="0.2">
      <c r="A3794" t="s">
        <v>8608</v>
      </c>
      <c r="B3794" t="s">
        <v>8609</v>
      </c>
      <c r="C3794" t="s">
        <v>8610</v>
      </c>
      <c r="D3794" t="s">
        <v>187</v>
      </c>
    </row>
    <row r="3795" spans="1:4" x14ac:dyDescent="0.2">
      <c r="A3795" t="s">
        <v>8611</v>
      </c>
      <c r="B3795" t="s">
        <v>7337</v>
      </c>
      <c r="C3795" t="s">
        <v>190</v>
      </c>
      <c r="D3795" t="s">
        <v>8612</v>
      </c>
    </row>
    <row r="3796" spans="1:4" x14ac:dyDescent="0.2">
      <c r="A3796" t="s">
        <v>8611</v>
      </c>
      <c r="B3796" t="s">
        <v>8613</v>
      </c>
      <c r="C3796" t="s">
        <v>190</v>
      </c>
      <c r="D3796" t="s">
        <v>280</v>
      </c>
    </row>
    <row r="3797" spans="1:4" x14ac:dyDescent="0.2">
      <c r="A3797" t="s">
        <v>8614</v>
      </c>
      <c r="B3797" t="s">
        <v>8615</v>
      </c>
      <c r="C3797" t="s">
        <v>8616</v>
      </c>
      <c r="D3797" t="s">
        <v>187</v>
      </c>
    </row>
    <row r="3798" spans="1:4" x14ac:dyDescent="0.2">
      <c r="A3798" t="s">
        <v>8617</v>
      </c>
      <c r="B3798" t="s">
        <v>8618</v>
      </c>
      <c r="C3798" t="s">
        <v>8619</v>
      </c>
      <c r="D3798" t="s">
        <v>195</v>
      </c>
    </row>
    <row r="3799" spans="1:4" x14ac:dyDescent="0.2">
      <c r="A3799" t="s">
        <v>8620</v>
      </c>
      <c r="B3799" t="s">
        <v>8621</v>
      </c>
      <c r="C3799" t="s">
        <v>8622</v>
      </c>
      <c r="D3799" t="s">
        <v>187</v>
      </c>
    </row>
    <row r="3800" spans="1:4" x14ac:dyDescent="0.2">
      <c r="A3800" t="s">
        <v>8623</v>
      </c>
      <c r="B3800" t="s">
        <v>8624</v>
      </c>
      <c r="C3800" t="s">
        <v>190</v>
      </c>
      <c r="D3800" t="s">
        <v>191</v>
      </c>
    </row>
    <row r="3801" spans="1:4" x14ac:dyDescent="0.2">
      <c r="A3801" t="s">
        <v>8625</v>
      </c>
      <c r="B3801" t="s">
        <v>8626</v>
      </c>
      <c r="C3801" t="s">
        <v>190</v>
      </c>
      <c r="D3801" t="s">
        <v>191</v>
      </c>
    </row>
    <row r="3802" spans="1:4" x14ac:dyDescent="0.2">
      <c r="A3802" t="s">
        <v>8625</v>
      </c>
      <c r="B3802" t="s">
        <v>8627</v>
      </c>
      <c r="C3802" t="s">
        <v>190</v>
      </c>
      <c r="D3802" t="s">
        <v>191</v>
      </c>
    </row>
    <row r="3803" spans="1:4" x14ac:dyDescent="0.2">
      <c r="A3803" t="s">
        <v>8628</v>
      </c>
      <c r="B3803" t="s">
        <v>8629</v>
      </c>
      <c r="C3803" t="s">
        <v>190</v>
      </c>
      <c r="D3803" t="s">
        <v>191</v>
      </c>
    </row>
    <row r="3804" spans="1:4" x14ac:dyDescent="0.2">
      <c r="A3804" t="s">
        <v>8630</v>
      </c>
      <c r="B3804" t="s">
        <v>8631</v>
      </c>
      <c r="C3804" t="s">
        <v>190</v>
      </c>
      <c r="D3804" t="s">
        <v>191</v>
      </c>
    </row>
    <row r="3805" spans="1:4" x14ac:dyDescent="0.2">
      <c r="A3805" t="s">
        <v>8632</v>
      </c>
      <c r="B3805" t="s">
        <v>8633</v>
      </c>
      <c r="C3805" t="s">
        <v>8634</v>
      </c>
      <c r="D3805" t="s">
        <v>187</v>
      </c>
    </row>
    <row r="3806" spans="1:4" x14ac:dyDescent="0.2">
      <c r="A3806" t="s">
        <v>8635</v>
      </c>
      <c r="B3806" t="s">
        <v>8636</v>
      </c>
      <c r="C3806" t="s">
        <v>8637</v>
      </c>
      <c r="D3806" t="s">
        <v>195</v>
      </c>
    </row>
    <row r="3807" spans="1:4" x14ac:dyDescent="0.2">
      <c r="A3807" t="s">
        <v>8638</v>
      </c>
      <c r="B3807" t="s">
        <v>8639</v>
      </c>
      <c r="C3807" t="s">
        <v>190</v>
      </c>
      <c r="D3807" t="s">
        <v>191</v>
      </c>
    </row>
    <row r="3808" spans="1:4" x14ac:dyDescent="0.2">
      <c r="A3808" t="s">
        <v>8640</v>
      </c>
      <c r="B3808" t="s">
        <v>8641</v>
      </c>
      <c r="C3808" t="s">
        <v>190</v>
      </c>
      <c r="D3808" t="s">
        <v>8642</v>
      </c>
    </row>
    <row r="3809" spans="1:4" x14ac:dyDescent="0.2">
      <c r="A3809" t="s">
        <v>8640</v>
      </c>
      <c r="B3809" t="s">
        <v>8643</v>
      </c>
      <c r="C3809" t="s">
        <v>190</v>
      </c>
      <c r="D3809" t="s">
        <v>191</v>
      </c>
    </row>
    <row r="3810" spans="1:4" x14ac:dyDescent="0.2">
      <c r="A3810" t="s">
        <v>8644</v>
      </c>
      <c r="B3810" t="s">
        <v>8645</v>
      </c>
      <c r="C3810" t="s">
        <v>8646</v>
      </c>
      <c r="D3810" t="s">
        <v>195</v>
      </c>
    </row>
    <row r="3811" spans="1:4" x14ac:dyDescent="0.2">
      <c r="A3811" t="s">
        <v>8647</v>
      </c>
      <c r="B3811" t="s">
        <v>8648</v>
      </c>
      <c r="C3811" t="s">
        <v>190</v>
      </c>
      <c r="D3811" t="s">
        <v>191</v>
      </c>
    </row>
    <row r="3812" spans="1:4" x14ac:dyDescent="0.2">
      <c r="A3812" t="s">
        <v>8649</v>
      </c>
      <c r="B3812" t="s">
        <v>8650</v>
      </c>
      <c r="C3812" t="s">
        <v>190</v>
      </c>
      <c r="D3812" t="s">
        <v>191</v>
      </c>
    </row>
    <row r="3813" spans="1:4" x14ac:dyDescent="0.2">
      <c r="A3813" t="s">
        <v>8651</v>
      </c>
      <c r="B3813" t="s">
        <v>8652</v>
      </c>
      <c r="C3813" t="s">
        <v>190</v>
      </c>
      <c r="D3813" t="s">
        <v>191</v>
      </c>
    </row>
    <row r="3814" spans="1:4" x14ac:dyDescent="0.2">
      <c r="A3814" t="s">
        <v>8653</v>
      </c>
      <c r="B3814" t="s">
        <v>8654</v>
      </c>
      <c r="C3814" t="s">
        <v>8655</v>
      </c>
      <c r="D3814" t="s">
        <v>195</v>
      </c>
    </row>
    <row r="3815" spans="1:4" x14ac:dyDescent="0.2">
      <c r="A3815" t="s">
        <v>8656</v>
      </c>
      <c r="B3815" t="s">
        <v>8657</v>
      </c>
      <c r="C3815" t="s">
        <v>8658</v>
      </c>
      <c r="D3815" t="s">
        <v>195</v>
      </c>
    </row>
    <row r="3816" spans="1:4" x14ac:dyDescent="0.2">
      <c r="A3816" t="s">
        <v>8659</v>
      </c>
      <c r="B3816" t="s">
        <v>8660</v>
      </c>
      <c r="C3816" t="s">
        <v>190</v>
      </c>
      <c r="D3816" t="s">
        <v>191</v>
      </c>
    </row>
    <row r="3817" spans="1:4" x14ac:dyDescent="0.2">
      <c r="A3817" t="s">
        <v>8659</v>
      </c>
      <c r="B3817" t="s">
        <v>8661</v>
      </c>
      <c r="C3817" t="s">
        <v>190</v>
      </c>
      <c r="D3817" t="s">
        <v>191</v>
      </c>
    </row>
    <row r="3818" spans="1:4" x14ac:dyDescent="0.2">
      <c r="A3818" t="s">
        <v>8662</v>
      </c>
      <c r="B3818" t="s">
        <v>8663</v>
      </c>
      <c r="C3818" t="s">
        <v>190</v>
      </c>
      <c r="D3818" t="s">
        <v>8664</v>
      </c>
    </row>
    <row r="3819" spans="1:4" x14ac:dyDescent="0.2">
      <c r="A3819" t="s">
        <v>8665</v>
      </c>
      <c r="B3819" t="s">
        <v>8666</v>
      </c>
      <c r="C3819" t="s">
        <v>190</v>
      </c>
      <c r="D3819" t="s">
        <v>191</v>
      </c>
    </row>
    <row r="3820" spans="1:4" x14ac:dyDescent="0.2">
      <c r="A3820" t="s">
        <v>8665</v>
      </c>
      <c r="B3820" t="s">
        <v>8667</v>
      </c>
      <c r="C3820" t="s">
        <v>190</v>
      </c>
      <c r="D3820" t="s">
        <v>280</v>
      </c>
    </row>
    <row r="3821" spans="1:4" x14ac:dyDescent="0.2">
      <c r="A3821" t="s">
        <v>8665</v>
      </c>
      <c r="B3821" t="s">
        <v>8668</v>
      </c>
      <c r="C3821" t="s">
        <v>190</v>
      </c>
      <c r="D3821" t="s">
        <v>191</v>
      </c>
    </row>
    <row r="3822" spans="1:4" x14ac:dyDescent="0.2">
      <c r="A3822" t="s">
        <v>8665</v>
      </c>
      <c r="B3822" t="s">
        <v>8669</v>
      </c>
      <c r="C3822" t="s">
        <v>190</v>
      </c>
      <c r="D3822" t="s">
        <v>8670</v>
      </c>
    </row>
    <row r="3823" spans="1:4" x14ac:dyDescent="0.2">
      <c r="A3823" t="s">
        <v>8671</v>
      </c>
      <c r="B3823" t="s">
        <v>8672</v>
      </c>
      <c r="C3823" t="s">
        <v>190</v>
      </c>
      <c r="D3823" t="s">
        <v>191</v>
      </c>
    </row>
    <row r="3824" spans="1:4" x14ac:dyDescent="0.2">
      <c r="A3824" t="s">
        <v>8673</v>
      </c>
      <c r="B3824" t="s">
        <v>8674</v>
      </c>
      <c r="C3824" t="s">
        <v>8675</v>
      </c>
      <c r="D3824" t="s">
        <v>195</v>
      </c>
    </row>
    <row r="3825" spans="1:4" x14ac:dyDescent="0.2">
      <c r="A3825" t="s">
        <v>8676</v>
      </c>
      <c r="B3825" t="s">
        <v>8677</v>
      </c>
      <c r="C3825" t="s">
        <v>8678</v>
      </c>
      <c r="D3825" t="s">
        <v>187</v>
      </c>
    </row>
    <row r="3826" spans="1:4" x14ac:dyDescent="0.2">
      <c r="A3826" t="s">
        <v>8679</v>
      </c>
      <c r="B3826" t="s">
        <v>8680</v>
      </c>
      <c r="C3826" t="s">
        <v>8681</v>
      </c>
      <c r="D3826" t="s">
        <v>195</v>
      </c>
    </row>
    <row r="3827" spans="1:4" x14ac:dyDescent="0.2">
      <c r="A3827" t="s">
        <v>8682</v>
      </c>
      <c r="B3827" t="s">
        <v>8683</v>
      </c>
      <c r="C3827" t="s">
        <v>8684</v>
      </c>
      <c r="D3827" t="s">
        <v>187</v>
      </c>
    </row>
    <row r="3828" spans="1:4" x14ac:dyDescent="0.2">
      <c r="A3828" t="s">
        <v>8685</v>
      </c>
      <c r="B3828" t="s">
        <v>8686</v>
      </c>
      <c r="C3828" t="s">
        <v>190</v>
      </c>
      <c r="D3828" t="s">
        <v>191</v>
      </c>
    </row>
    <row r="3829" spans="1:4" x14ac:dyDescent="0.2">
      <c r="A3829" t="s">
        <v>8687</v>
      </c>
      <c r="B3829" t="s">
        <v>8688</v>
      </c>
      <c r="C3829" t="s">
        <v>190</v>
      </c>
      <c r="D3829" t="s">
        <v>191</v>
      </c>
    </row>
    <row r="3830" spans="1:4" x14ac:dyDescent="0.2">
      <c r="A3830" t="s">
        <v>8689</v>
      </c>
      <c r="B3830" t="s">
        <v>8690</v>
      </c>
      <c r="C3830" t="s">
        <v>190</v>
      </c>
      <c r="D3830" t="s">
        <v>191</v>
      </c>
    </row>
    <row r="3831" spans="1:4" x14ac:dyDescent="0.2">
      <c r="A3831" t="s">
        <v>8691</v>
      </c>
      <c r="B3831" t="s">
        <v>8692</v>
      </c>
      <c r="C3831" t="s">
        <v>190</v>
      </c>
      <c r="D3831" t="s">
        <v>191</v>
      </c>
    </row>
    <row r="3832" spans="1:4" x14ac:dyDescent="0.2">
      <c r="A3832" t="s">
        <v>8693</v>
      </c>
      <c r="B3832" t="s">
        <v>8694</v>
      </c>
      <c r="C3832" t="s">
        <v>190</v>
      </c>
      <c r="D3832" t="s">
        <v>191</v>
      </c>
    </row>
    <row r="3833" spans="1:4" x14ac:dyDescent="0.2">
      <c r="A3833" t="s">
        <v>8695</v>
      </c>
      <c r="B3833" t="s">
        <v>8696</v>
      </c>
      <c r="C3833" t="s">
        <v>190</v>
      </c>
      <c r="D3833" t="s">
        <v>191</v>
      </c>
    </row>
    <row r="3834" spans="1:4" x14ac:dyDescent="0.2">
      <c r="A3834" t="s">
        <v>8697</v>
      </c>
      <c r="B3834" t="s">
        <v>8698</v>
      </c>
      <c r="C3834" t="s">
        <v>190</v>
      </c>
      <c r="D3834" t="s">
        <v>191</v>
      </c>
    </row>
    <row r="3835" spans="1:4" x14ac:dyDescent="0.2">
      <c r="A3835" t="s">
        <v>8699</v>
      </c>
      <c r="B3835" t="s">
        <v>8700</v>
      </c>
      <c r="C3835" t="s">
        <v>190</v>
      </c>
      <c r="D3835" t="s">
        <v>191</v>
      </c>
    </row>
    <row r="3836" spans="1:4" x14ac:dyDescent="0.2">
      <c r="A3836" t="s">
        <v>8699</v>
      </c>
      <c r="B3836" t="s">
        <v>8701</v>
      </c>
      <c r="C3836" t="s">
        <v>190</v>
      </c>
      <c r="D3836" t="s">
        <v>191</v>
      </c>
    </row>
    <row r="3837" spans="1:4" x14ac:dyDescent="0.2">
      <c r="A3837" t="s">
        <v>8699</v>
      </c>
      <c r="B3837" t="s">
        <v>8702</v>
      </c>
      <c r="C3837" t="s">
        <v>190</v>
      </c>
      <c r="D3837" t="s">
        <v>191</v>
      </c>
    </row>
    <row r="3838" spans="1:4" x14ac:dyDescent="0.2">
      <c r="A3838" t="s">
        <v>8699</v>
      </c>
      <c r="B3838" t="s">
        <v>8703</v>
      </c>
      <c r="C3838" t="s">
        <v>190</v>
      </c>
      <c r="D3838" t="s">
        <v>191</v>
      </c>
    </row>
    <row r="3839" spans="1:4" x14ac:dyDescent="0.2">
      <c r="A3839" t="s">
        <v>8699</v>
      </c>
      <c r="B3839" t="s">
        <v>8704</v>
      </c>
      <c r="C3839" t="s">
        <v>8705</v>
      </c>
      <c r="D3839" t="s">
        <v>195</v>
      </c>
    </row>
    <row r="3840" spans="1:4" x14ac:dyDescent="0.2">
      <c r="A3840" t="s">
        <v>8706</v>
      </c>
      <c r="B3840" t="s">
        <v>8707</v>
      </c>
      <c r="C3840" t="s">
        <v>8708</v>
      </c>
      <c r="D3840" t="s">
        <v>187</v>
      </c>
    </row>
    <row r="3841" spans="1:4" x14ac:dyDescent="0.2">
      <c r="A3841" t="s">
        <v>8709</v>
      </c>
      <c r="B3841" t="s">
        <v>8710</v>
      </c>
      <c r="C3841" t="s">
        <v>190</v>
      </c>
      <c r="D3841" t="s">
        <v>191</v>
      </c>
    </row>
    <row r="3842" spans="1:4" x14ac:dyDescent="0.2">
      <c r="A3842" t="s">
        <v>8711</v>
      </c>
      <c r="B3842" t="s">
        <v>8712</v>
      </c>
      <c r="C3842" t="s">
        <v>190</v>
      </c>
      <c r="D3842" t="s">
        <v>191</v>
      </c>
    </row>
    <row r="3843" spans="1:4" x14ac:dyDescent="0.2">
      <c r="A3843" t="s">
        <v>8713</v>
      </c>
      <c r="B3843" t="s">
        <v>8714</v>
      </c>
      <c r="C3843" t="s">
        <v>190</v>
      </c>
      <c r="D3843" t="s">
        <v>191</v>
      </c>
    </row>
    <row r="3844" spans="1:4" x14ac:dyDescent="0.2">
      <c r="A3844" t="s">
        <v>8715</v>
      </c>
      <c r="B3844" t="s">
        <v>8716</v>
      </c>
      <c r="C3844" t="s">
        <v>190</v>
      </c>
      <c r="D3844" t="s">
        <v>191</v>
      </c>
    </row>
    <row r="3845" spans="1:4" x14ac:dyDescent="0.2">
      <c r="A3845" t="s">
        <v>8717</v>
      </c>
      <c r="B3845" t="s">
        <v>8437</v>
      </c>
      <c r="C3845" t="s">
        <v>190</v>
      </c>
      <c r="D3845" t="s">
        <v>191</v>
      </c>
    </row>
    <row r="3846" spans="1:4" x14ac:dyDescent="0.2">
      <c r="A3846" t="s">
        <v>8717</v>
      </c>
      <c r="B3846" t="s">
        <v>8439</v>
      </c>
      <c r="C3846" t="s">
        <v>190</v>
      </c>
      <c r="D3846" t="s">
        <v>8342</v>
      </c>
    </row>
    <row r="3847" spans="1:4" x14ac:dyDescent="0.2">
      <c r="A3847" t="s">
        <v>8717</v>
      </c>
      <c r="B3847" t="s">
        <v>7616</v>
      </c>
      <c r="C3847" t="s">
        <v>7617</v>
      </c>
      <c r="D3847" t="s">
        <v>195</v>
      </c>
    </row>
    <row r="3848" spans="1:4" x14ac:dyDescent="0.2">
      <c r="A3848" t="s">
        <v>8717</v>
      </c>
      <c r="B3848" t="s">
        <v>8441</v>
      </c>
      <c r="C3848" t="s">
        <v>190</v>
      </c>
      <c r="D3848" t="s">
        <v>8342</v>
      </c>
    </row>
    <row r="3849" spans="1:4" x14ac:dyDescent="0.2">
      <c r="A3849" t="s">
        <v>8717</v>
      </c>
      <c r="B3849" t="s">
        <v>8718</v>
      </c>
      <c r="C3849" t="s">
        <v>190</v>
      </c>
      <c r="D3849" t="s">
        <v>191</v>
      </c>
    </row>
    <row r="3850" spans="1:4" x14ac:dyDescent="0.2">
      <c r="A3850" t="s">
        <v>8717</v>
      </c>
      <c r="B3850" t="s">
        <v>8719</v>
      </c>
      <c r="C3850" t="s">
        <v>190</v>
      </c>
      <c r="D3850" t="s">
        <v>191</v>
      </c>
    </row>
    <row r="3851" spans="1:4" x14ac:dyDescent="0.2">
      <c r="A3851" t="s">
        <v>8717</v>
      </c>
      <c r="B3851" t="s">
        <v>8344</v>
      </c>
      <c r="C3851" t="s">
        <v>8345</v>
      </c>
      <c r="D3851" t="s">
        <v>195</v>
      </c>
    </row>
    <row r="3852" spans="1:4" x14ac:dyDescent="0.2">
      <c r="A3852" t="s">
        <v>8717</v>
      </c>
      <c r="B3852" t="s">
        <v>8720</v>
      </c>
      <c r="C3852" t="s">
        <v>190</v>
      </c>
      <c r="D3852" t="s">
        <v>280</v>
      </c>
    </row>
    <row r="3853" spans="1:4" x14ac:dyDescent="0.2">
      <c r="A3853" t="s">
        <v>8717</v>
      </c>
      <c r="B3853" t="s">
        <v>8721</v>
      </c>
      <c r="C3853" t="s">
        <v>8722</v>
      </c>
      <c r="D3853" t="s">
        <v>187</v>
      </c>
    </row>
    <row r="3854" spans="1:4" x14ac:dyDescent="0.2">
      <c r="A3854" t="s">
        <v>8717</v>
      </c>
      <c r="B3854" t="s">
        <v>8443</v>
      </c>
      <c r="C3854" t="s">
        <v>8444</v>
      </c>
      <c r="D3854" t="s">
        <v>187</v>
      </c>
    </row>
    <row r="3855" spans="1:4" x14ac:dyDescent="0.2">
      <c r="A3855" t="s">
        <v>8717</v>
      </c>
      <c r="B3855" t="s">
        <v>8723</v>
      </c>
      <c r="C3855" t="s">
        <v>190</v>
      </c>
      <c r="D3855" t="s">
        <v>280</v>
      </c>
    </row>
    <row r="3856" spans="1:4" x14ac:dyDescent="0.2">
      <c r="A3856" t="s">
        <v>8724</v>
      </c>
      <c r="B3856" t="s">
        <v>8725</v>
      </c>
      <c r="C3856" t="s">
        <v>190</v>
      </c>
      <c r="D3856" t="s">
        <v>280</v>
      </c>
    </row>
    <row r="3857" spans="1:4" x14ac:dyDescent="0.2">
      <c r="A3857" t="s">
        <v>8724</v>
      </c>
      <c r="B3857" t="s">
        <v>8437</v>
      </c>
      <c r="C3857" t="s">
        <v>190</v>
      </c>
      <c r="D3857" t="s">
        <v>8438</v>
      </c>
    </row>
    <row r="3858" spans="1:4" x14ac:dyDescent="0.2">
      <c r="A3858" t="s">
        <v>8724</v>
      </c>
      <c r="B3858" t="s">
        <v>8726</v>
      </c>
      <c r="C3858" t="s">
        <v>190</v>
      </c>
      <c r="D3858" t="s">
        <v>280</v>
      </c>
    </row>
    <row r="3859" spans="1:4" x14ac:dyDescent="0.2">
      <c r="A3859" t="s">
        <v>8724</v>
      </c>
      <c r="B3859" t="s">
        <v>8439</v>
      </c>
      <c r="C3859" t="s">
        <v>190</v>
      </c>
      <c r="D3859" t="s">
        <v>8342</v>
      </c>
    </row>
    <row r="3860" spans="1:4" x14ac:dyDescent="0.2">
      <c r="A3860" t="s">
        <v>8724</v>
      </c>
      <c r="B3860" t="s">
        <v>8727</v>
      </c>
      <c r="C3860" t="s">
        <v>8728</v>
      </c>
      <c r="D3860" t="s">
        <v>195</v>
      </c>
    </row>
    <row r="3861" spans="1:4" x14ac:dyDescent="0.2">
      <c r="A3861" t="s">
        <v>8724</v>
      </c>
      <c r="B3861" t="s">
        <v>8729</v>
      </c>
      <c r="C3861" t="s">
        <v>190</v>
      </c>
      <c r="D3861" t="s">
        <v>280</v>
      </c>
    </row>
    <row r="3862" spans="1:4" x14ac:dyDescent="0.2">
      <c r="A3862" t="s">
        <v>8724</v>
      </c>
      <c r="B3862" t="s">
        <v>8730</v>
      </c>
      <c r="C3862" t="s">
        <v>190</v>
      </c>
      <c r="D3862" t="s">
        <v>280</v>
      </c>
    </row>
    <row r="3863" spans="1:4" x14ac:dyDescent="0.2">
      <c r="A3863" t="s">
        <v>8724</v>
      </c>
      <c r="B3863" t="s">
        <v>8731</v>
      </c>
      <c r="C3863" t="s">
        <v>190</v>
      </c>
      <c r="D3863" t="s">
        <v>280</v>
      </c>
    </row>
    <row r="3864" spans="1:4" x14ac:dyDescent="0.2">
      <c r="A3864" t="s">
        <v>8724</v>
      </c>
      <c r="B3864" t="s">
        <v>8341</v>
      </c>
      <c r="C3864" t="s">
        <v>190</v>
      </c>
      <c r="D3864" t="s">
        <v>8342</v>
      </c>
    </row>
    <row r="3865" spans="1:4" x14ac:dyDescent="0.2">
      <c r="A3865" t="s">
        <v>8724</v>
      </c>
      <c r="B3865" t="s">
        <v>8732</v>
      </c>
      <c r="C3865" t="s">
        <v>8733</v>
      </c>
      <c r="D3865" t="s">
        <v>195</v>
      </c>
    </row>
    <row r="3866" spans="1:4" x14ac:dyDescent="0.2">
      <c r="A3866" t="s">
        <v>8724</v>
      </c>
      <c r="B3866" t="s">
        <v>8734</v>
      </c>
      <c r="C3866" t="s">
        <v>190</v>
      </c>
      <c r="D3866" t="s">
        <v>280</v>
      </c>
    </row>
    <row r="3867" spans="1:4" x14ac:dyDescent="0.2">
      <c r="A3867" t="s">
        <v>8724</v>
      </c>
      <c r="B3867" t="s">
        <v>8441</v>
      </c>
      <c r="C3867" t="s">
        <v>190</v>
      </c>
      <c r="D3867" t="s">
        <v>8342</v>
      </c>
    </row>
    <row r="3868" spans="1:4" x14ac:dyDescent="0.2">
      <c r="A3868" t="s">
        <v>8724</v>
      </c>
      <c r="B3868" t="s">
        <v>8735</v>
      </c>
      <c r="C3868" t="s">
        <v>190</v>
      </c>
      <c r="D3868" t="s">
        <v>280</v>
      </c>
    </row>
    <row r="3869" spans="1:4" x14ac:dyDescent="0.2">
      <c r="A3869" t="s">
        <v>8724</v>
      </c>
      <c r="B3869" t="s">
        <v>8719</v>
      </c>
      <c r="C3869" t="s">
        <v>190</v>
      </c>
      <c r="D3869" t="s">
        <v>8438</v>
      </c>
    </row>
    <row r="3870" spans="1:4" x14ac:dyDescent="0.2">
      <c r="A3870" t="s">
        <v>8724</v>
      </c>
      <c r="B3870" t="s">
        <v>8736</v>
      </c>
      <c r="C3870" t="s">
        <v>190</v>
      </c>
      <c r="D3870" t="s">
        <v>280</v>
      </c>
    </row>
    <row r="3871" spans="1:4" x14ac:dyDescent="0.2">
      <c r="A3871" t="s">
        <v>8724</v>
      </c>
      <c r="B3871" t="s">
        <v>8737</v>
      </c>
      <c r="C3871" t="s">
        <v>190</v>
      </c>
      <c r="D3871" t="s">
        <v>280</v>
      </c>
    </row>
    <row r="3872" spans="1:4" x14ac:dyDescent="0.2">
      <c r="A3872" t="s">
        <v>8724</v>
      </c>
      <c r="B3872" t="s">
        <v>8738</v>
      </c>
      <c r="C3872" t="s">
        <v>190</v>
      </c>
      <c r="D3872" t="s">
        <v>280</v>
      </c>
    </row>
    <row r="3873" spans="1:4" x14ac:dyDescent="0.2">
      <c r="A3873" t="s">
        <v>8724</v>
      </c>
      <c r="B3873" t="s">
        <v>8739</v>
      </c>
      <c r="C3873" t="s">
        <v>190</v>
      </c>
      <c r="D3873" t="s">
        <v>280</v>
      </c>
    </row>
    <row r="3874" spans="1:4" x14ac:dyDescent="0.2">
      <c r="A3874" t="s">
        <v>8724</v>
      </c>
      <c r="B3874" t="s">
        <v>8740</v>
      </c>
      <c r="C3874" t="s">
        <v>190</v>
      </c>
      <c r="D3874" t="s">
        <v>280</v>
      </c>
    </row>
    <row r="3875" spans="1:4" x14ac:dyDescent="0.2">
      <c r="A3875" t="s">
        <v>8724</v>
      </c>
      <c r="B3875" t="s">
        <v>8741</v>
      </c>
      <c r="C3875" t="s">
        <v>190</v>
      </c>
      <c r="D3875" t="s">
        <v>280</v>
      </c>
    </row>
    <row r="3876" spans="1:4" x14ac:dyDescent="0.2">
      <c r="A3876" t="s">
        <v>8724</v>
      </c>
      <c r="B3876" t="s">
        <v>8720</v>
      </c>
      <c r="C3876" t="s">
        <v>190</v>
      </c>
      <c r="D3876" t="s">
        <v>280</v>
      </c>
    </row>
    <row r="3877" spans="1:4" x14ac:dyDescent="0.2">
      <c r="A3877" t="s">
        <v>8724</v>
      </c>
      <c r="B3877" t="s">
        <v>8443</v>
      </c>
      <c r="C3877" t="s">
        <v>8444</v>
      </c>
      <c r="D3877" t="s">
        <v>187</v>
      </c>
    </row>
    <row r="3878" spans="1:4" x14ac:dyDescent="0.2">
      <c r="A3878" t="s">
        <v>8724</v>
      </c>
      <c r="B3878" t="s">
        <v>8723</v>
      </c>
      <c r="C3878" t="s">
        <v>190</v>
      </c>
      <c r="D3878" t="s">
        <v>280</v>
      </c>
    </row>
    <row r="3879" spans="1:4" x14ac:dyDescent="0.2">
      <c r="A3879" t="s">
        <v>8742</v>
      </c>
      <c r="B3879" t="s">
        <v>8743</v>
      </c>
      <c r="C3879" t="s">
        <v>190</v>
      </c>
      <c r="D3879" t="s">
        <v>191</v>
      </c>
    </row>
    <row r="3880" spans="1:4" x14ac:dyDescent="0.2">
      <c r="A3880" t="s">
        <v>8744</v>
      </c>
      <c r="B3880" t="s">
        <v>8745</v>
      </c>
      <c r="C3880" t="s">
        <v>190</v>
      </c>
      <c r="D3880" t="s">
        <v>191</v>
      </c>
    </row>
    <row r="3881" spans="1:4" x14ac:dyDescent="0.2">
      <c r="A3881" t="s">
        <v>8746</v>
      </c>
      <c r="B3881" t="s">
        <v>8747</v>
      </c>
      <c r="C3881" t="s">
        <v>8748</v>
      </c>
      <c r="D3881" t="s">
        <v>187</v>
      </c>
    </row>
    <row r="3882" spans="1:4" x14ac:dyDescent="0.2">
      <c r="A3882" t="s">
        <v>8749</v>
      </c>
      <c r="B3882" t="s">
        <v>8750</v>
      </c>
      <c r="C3882" t="s">
        <v>8751</v>
      </c>
      <c r="D3882" t="s">
        <v>187</v>
      </c>
    </row>
    <row r="3883" spans="1:4" x14ac:dyDescent="0.2">
      <c r="A3883" t="s">
        <v>8752</v>
      </c>
      <c r="B3883" t="s">
        <v>8753</v>
      </c>
      <c r="C3883" t="s">
        <v>190</v>
      </c>
      <c r="D3883" t="s">
        <v>8754</v>
      </c>
    </row>
    <row r="3884" spans="1:4" x14ac:dyDescent="0.2">
      <c r="A3884" t="s">
        <v>8752</v>
      </c>
      <c r="B3884" t="s">
        <v>8755</v>
      </c>
      <c r="C3884" t="s">
        <v>190</v>
      </c>
      <c r="D3884" t="s">
        <v>191</v>
      </c>
    </row>
    <row r="3885" spans="1:4" x14ac:dyDescent="0.2">
      <c r="A3885" t="s">
        <v>8752</v>
      </c>
      <c r="B3885" t="s">
        <v>8756</v>
      </c>
      <c r="C3885" t="s">
        <v>190</v>
      </c>
      <c r="D3885" t="s">
        <v>8754</v>
      </c>
    </row>
    <row r="3886" spans="1:4" x14ac:dyDescent="0.2">
      <c r="A3886" t="s">
        <v>8752</v>
      </c>
      <c r="B3886" t="s">
        <v>8757</v>
      </c>
      <c r="C3886" t="s">
        <v>190</v>
      </c>
      <c r="D3886" t="s">
        <v>8754</v>
      </c>
    </row>
    <row r="3887" spans="1:4" x14ac:dyDescent="0.2">
      <c r="A3887" t="s">
        <v>8752</v>
      </c>
      <c r="B3887" t="s">
        <v>8758</v>
      </c>
      <c r="C3887" t="s">
        <v>8759</v>
      </c>
      <c r="D3887" t="s">
        <v>187</v>
      </c>
    </row>
    <row r="3888" spans="1:4" x14ac:dyDescent="0.2">
      <c r="A3888" t="s">
        <v>8752</v>
      </c>
      <c r="B3888" t="s">
        <v>8760</v>
      </c>
      <c r="C3888" t="s">
        <v>8761</v>
      </c>
      <c r="D3888" t="s">
        <v>195</v>
      </c>
    </row>
    <row r="3889" spans="1:4" x14ac:dyDescent="0.2">
      <c r="A3889" t="s">
        <v>8752</v>
      </c>
      <c r="B3889" t="s">
        <v>8762</v>
      </c>
      <c r="C3889" t="s">
        <v>8763</v>
      </c>
      <c r="D3889" t="s">
        <v>195</v>
      </c>
    </row>
    <row r="3890" spans="1:4" x14ac:dyDescent="0.2">
      <c r="A3890" t="s">
        <v>8752</v>
      </c>
      <c r="B3890" t="s">
        <v>8764</v>
      </c>
      <c r="C3890" t="s">
        <v>190</v>
      </c>
      <c r="D3890" t="s">
        <v>8765</v>
      </c>
    </row>
    <row r="3891" spans="1:4" x14ac:dyDescent="0.2">
      <c r="A3891" t="s">
        <v>8752</v>
      </c>
      <c r="B3891" t="s">
        <v>8766</v>
      </c>
      <c r="C3891" t="s">
        <v>190</v>
      </c>
      <c r="D3891" t="s">
        <v>191</v>
      </c>
    </row>
    <row r="3892" spans="1:4" x14ac:dyDescent="0.2">
      <c r="A3892" t="s">
        <v>8752</v>
      </c>
      <c r="B3892" t="s">
        <v>8767</v>
      </c>
      <c r="C3892" t="s">
        <v>8768</v>
      </c>
      <c r="D3892" t="s">
        <v>195</v>
      </c>
    </row>
    <row r="3893" spans="1:4" x14ac:dyDescent="0.2">
      <c r="A3893" t="s">
        <v>8752</v>
      </c>
      <c r="B3893" t="s">
        <v>8769</v>
      </c>
      <c r="C3893" t="s">
        <v>190</v>
      </c>
      <c r="D3893" t="s">
        <v>191</v>
      </c>
    </row>
    <row r="3894" spans="1:4" x14ac:dyDescent="0.2">
      <c r="A3894" t="s">
        <v>8752</v>
      </c>
      <c r="B3894" t="s">
        <v>8770</v>
      </c>
      <c r="C3894" t="s">
        <v>8771</v>
      </c>
      <c r="D3894" t="s">
        <v>195</v>
      </c>
    </row>
    <row r="3895" spans="1:4" x14ac:dyDescent="0.2">
      <c r="A3895" t="s">
        <v>8772</v>
      </c>
      <c r="B3895" t="s">
        <v>8773</v>
      </c>
      <c r="C3895" t="s">
        <v>8774</v>
      </c>
      <c r="D3895" t="s">
        <v>195</v>
      </c>
    </row>
    <row r="3896" spans="1:4" x14ac:dyDescent="0.2">
      <c r="A3896" t="s">
        <v>8775</v>
      </c>
      <c r="B3896" t="s">
        <v>8776</v>
      </c>
      <c r="C3896" t="s">
        <v>190</v>
      </c>
      <c r="D3896" t="s">
        <v>8754</v>
      </c>
    </row>
    <row r="3897" spans="1:4" x14ac:dyDescent="0.2">
      <c r="A3897" t="s">
        <v>8775</v>
      </c>
      <c r="B3897" t="s">
        <v>8777</v>
      </c>
      <c r="C3897" t="s">
        <v>190</v>
      </c>
      <c r="D3897" t="s">
        <v>8778</v>
      </c>
    </row>
    <row r="3898" spans="1:4" x14ac:dyDescent="0.2">
      <c r="A3898" t="s">
        <v>8775</v>
      </c>
      <c r="B3898" t="s">
        <v>8779</v>
      </c>
      <c r="C3898" t="s">
        <v>8780</v>
      </c>
      <c r="D3898" t="s">
        <v>187</v>
      </c>
    </row>
    <row r="3899" spans="1:4" x14ac:dyDescent="0.2">
      <c r="A3899" t="s">
        <v>8775</v>
      </c>
      <c r="B3899" t="s">
        <v>8781</v>
      </c>
      <c r="C3899" t="s">
        <v>8782</v>
      </c>
      <c r="D3899" t="s">
        <v>195</v>
      </c>
    </row>
    <row r="3900" spans="1:4" x14ac:dyDescent="0.2">
      <c r="A3900" t="s">
        <v>8775</v>
      </c>
      <c r="B3900" t="s">
        <v>8762</v>
      </c>
      <c r="C3900" t="s">
        <v>8763</v>
      </c>
      <c r="D3900" t="s">
        <v>195</v>
      </c>
    </row>
    <row r="3901" spans="1:4" x14ac:dyDescent="0.2">
      <c r="A3901" t="s">
        <v>8775</v>
      </c>
      <c r="B3901" t="s">
        <v>8783</v>
      </c>
      <c r="C3901" t="s">
        <v>8784</v>
      </c>
      <c r="D3901" t="s">
        <v>195</v>
      </c>
    </row>
    <row r="3902" spans="1:4" x14ac:dyDescent="0.2">
      <c r="A3902" t="s">
        <v>8775</v>
      </c>
      <c r="B3902" t="s">
        <v>8770</v>
      </c>
      <c r="C3902" t="s">
        <v>8771</v>
      </c>
      <c r="D3902" t="s">
        <v>195</v>
      </c>
    </row>
    <row r="3903" spans="1:4" x14ac:dyDescent="0.2">
      <c r="A3903" t="s">
        <v>8785</v>
      </c>
      <c r="B3903" t="s">
        <v>8786</v>
      </c>
      <c r="C3903" t="s">
        <v>190</v>
      </c>
      <c r="D3903" t="s">
        <v>191</v>
      </c>
    </row>
    <row r="3904" spans="1:4" x14ac:dyDescent="0.2">
      <c r="A3904" t="s">
        <v>8787</v>
      </c>
      <c r="B3904" t="s">
        <v>8439</v>
      </c>
      <c r="C3904" t="s">
        <v>190</v>
      </c>
      <c r="D3904" t="s">
        <v>8342</v>
      </c>
    </row>
    <row r="3905" spans="1:4" x14ac:dyDescent="0.2">
      <c r="A3905" t="s">
        <v>8787</v>
      </c>
      <c r="B3905" t="s">
        <v>8788</v>
      </c>
      <c r="C3905" t="s">
        <v>190</v>
      </c>
      <c r="D3905" t="s">
        <v>280</v>
      </c>
    </row>
    <row r="3906" spans="1:4" x14ac:dyDescent="0.2">
      <c r="A3906" t="s">
        <v>8787</v>
      </c>
      <c r="B3906" t="s">
        <v>8447</v>
      </c>
      <c r="C3906" t="s">
        <v>190</v>
      </c>
      <c r="D3906" t="s">
        <v>191</v>
      </c>
    </row>
    <row r="3907" spans="1:4" x14ac:dyDescent="0.2">
      <c r="A3907" t="s">
        <v>8787</v>
      </c>
      <c r="B3907" t="s">
        <v>8441</v>
      </c>
      <c r="C3907" t="s">
        <v>190</v>
      </c>
      <c r="D3907" t="s">
        <v>8342</v>
      </c>
    </row>
    <row r="3908" spans="1:4" x14ac:dyDescent="0.2">
      <c r="A3908" t="s">
        <v>8787</v>
      </c>
      <c r="B3908" t="s">
        <v>8789</v>
      </c>
      <c r="C3908" t="s">
        <v>190</v>
      </c>
      <c r="D3908" t="s">
        <v>191</v>
      </c>
    </row>
    <row r="3909" spans="1:4" x14ac:dyDescent="0.2">
      <c r="A3909" t="s">
        <v>8787</v>
      </c>
      <c r="B3909" t="s">
        <v>8452</v>
      </c>
      <c r="C3909" t="s">
        <v>190</v>
      </c>
      <c r="D3909" t="s">
        <v>191</v>
      </c>
    </row>
    <row r="3910" spans="1:4" x14ac:dyDescent="0.2">
      <c r="A3910" t="s">
        <v>8790</v>
      </c>
      <c r="B3910" t="s">
        <v>8791</v>
      </c>
      <c r="C3910" t="s">
        <v>8792</v>
      </c>
      <c r="D3910" t="s">
        <v>187</v>
      </c>
    </row>
    <row r="3911" spans="1:4" x14ac:dyDescent="0.2">
      <c r="A3911" t="s">
        <v>8793</v>
      </c>
      <c r="B3911" t="s">
        <v>8794</v>
      </c>
      <c r="C3911" t="s">
        <v>190</v>
      </c>
      <c r="D3911" t="s">
        <v>191</v>
      </c>
    </row>
    <row r="3912" spans="1:4" x14ac:dyDescent="0.2">
      <c r="A3912" t="s">
        <v>8795</v>
      </c>
      <c r="B3912" t="s">
        <v>8796</v>
      </c>
      <c r="C3912" t="s">
        <v>190</v>
      </c>
      <c r="D3912" t="s">
        <v>191</v>
      </c>
    </row>
    <row r="3913" spans="1:4" x14ac:dyDescent="0.2">
      <c r="A3913" t="s">
        <v>8797</v>
      </c>
      <c r="B3913" t="s">
        <v>8798</v>
      </c>
      <c r="C3913" t="s">
        <v>8799</v>
      </c>
      <c r="D3913" t="s">
        <v>187</v>
      </c>
    </row>
    <row r="3914" spans="1:4" x14ac:dyDescent="0.2">
      <c r="A3914" t="s">
        <v>8800</v>
      </c>
      <c r="B3914" t="s">
        <v>8801</v>
      </c>
      <c r="C3914" t="s">
        <v>190</v>
      </c>
      <c r="D3914" t="s">
        <v>191</v>
      </c>
    </row>
    <row r="3915" spans="1:4" x14ac:dyDescent="0.2">
      <c r="A3915" t="s">
        <v>8800</v>
      </c>
      <c r="B3915" t="s">
        <v>8802</v>
      </c>
      <c r="C3915" t="s">
        <v>190</v>
      </c>
      <c r="D3915" t="s">
        <v>191</v>
      </c>
    </row>
    <row r="3916" spans="1:4" x14ac:dyDescent="0.2">
      <c r="A3916" t="s">
        <v>8803</v>
      </c>
      <c r="B3916" t="s">
        <v>8804</v>
      </c>
      <c r="C3916" t="s">
        <v>190</v>
      </c>
      <c r="D3916" t="s">
        <v>191</v>
      </c>
    </row>
    <row r="3917" spans="1:4" x14ac:dyDescent="0.2">
      <c r="A3917" t="s">
        <v>8805</v>
      </c>
      <c r="B3917" t="s">
        <v>8806</v>
      </c>
      <c r="C3917" t="s">
        <v>190</v>
      </c>
      <c r="D3917" t="s">
        <v>191</v>
      </c>
    </row>
    <row r="3918" spans="1:4" x14ac:dyDescent="0.2">
      <c r="A3918" t="s">
        <v>8807</v>
      </c>
      <c r="B3918" t="s">
        <v>8808</v>
      </c>
      <c r="C3918" t="s">
        <v>190</v>
      </c>
      <c r="D3918" t="s">
        <v>191</v>
      </c>
    </row>
    <row r="3919" spans="1:4" x14ac:dyDescent="0.2">
      <c r="A3919" t="s">
        <v>8809</v>
      </c>
      <c r="B3919" t="s">
        <v>8810</v>
      </c>
      <c r="C3919" t="s">
        <v>190</v>
      </c>
      <c r="D3919" t="s">
        <v>191</v>
      </c>
    </row>
    <row r="3920" spans="1:4" x14ac:dyDescent="0.2">
      <c r="A3920" t="s">
        <v>8811</v>
      </c>
      <c r="B3920" t="s">
        <v>8812</v>
      </c>
      <c r="C3920" t="s">
        <v>190</v>
      </c>
      <c r="D3920" t="s">
        <v>191</v>
      </c>
    </row>
    <row r="3921" spans="1:4" x14ac:dyDescent="0.2">
      <c r="A3921" t="s">
        <v>8813</v>
      </c>
      <c r="B3921" t="s">
        <v>8814</v>
      </c>
      <c r="C3921" t="s">
        <v>190</v>
      </c>
      <c r="D3921" t="s">
        <v>191</v>
      </c>
    </row>
    <row r="3922" spans="1:4" x14ac:dyDescent="0.2">
      <c r="A3922" t="s">
        <v>8815</v>
      </c>
      <c r="B3922" t="s">
        <v>8816</v>
      </c>
      <c r="C3922" t="s">
        <v>190</v>
      </c>
      <c r="D3922" t="s">
        <v>191</v>
      </c>
    </row>
    <row r="3923" spans="1:4" x14ac:dyDescent="0.2">
      <c r="A3923" t="s">
        <v>8817</v>
      </c>
      <c r="B3923" t="s">
        <v>8818</v>
      </c>
      <c r="C3923" t="s">
        <v>8819</v>
      </c>
      <c r="D3923" t="s">
        <v>187</v>
      </c>
    </row>
    <row r="3924" spans="1:4" x14ac:dyDescent="0.2">
      <c r="A3924" t="s">
        <v>8820</v>
      </c>
      <c r="B3924" t="s">
        <v>8821</v>
      </c>
      <c r="C3924" t="s">
        <v>190</v>
      </c>
      <c r="D3924" t="s">
        <v>191</v>
      </c>
    </row>
    <row r="3925" spans="1:4" x14ac:dyDescent="0.2">
      <c r="A3925" t="s">
        <v>8822</v>
      </c>
      <c r="B3925" t="s">
        <v>8823</v>
      </c>
      <c r="C3925" t="s">
        <v>8824</v>
      </c>
      <c r="D3925" t="s">
        <v>195</v>
      </c>
    </row>
    <row r="3926" spans="1:4" x14ac:dyDescent="0.2">
      <c r="A3926" t="s">
        <v>8822</v>
      </c>
      <c r="B3926" t="s">
        <v>8825</v>
      </c>
      <c r="C3926" t="s">
        <v>8826</v>
      </c>
      <c r="D3926" t="s">
        <v>195</v>
      </c>
    </row>
    <row r="3927" spans="1:4" x14ac:dyDescent="0.2">
      <c r="A3927" t="s">
        <v>8827</v>
      </c>
      <c r="B3927" t="s">
        <v>8825</v>
      </c>
      <c r="C3927" t="s">
        <v>8826</v>
      </c>
      <c r="D3927" t="s">
        <v>195</v>
      </c>
    </row>
    <row r="3928" spans="1:4" x14ac:dyDescent="0.2">
      <c r="A3928" t="s">
        <v>8828</v>
      </c>
      <c r="B3928" t="s">
        <v>8829</v>
      </c>
      <c r="C3928" t="s">
        <v>190</v>
      </c>
      <c r="D3928" t="s">
        <v>191</v>
      </c>
    </row>
    <row r="3929" spans="1:4" x14ac:dyDescent="0.2">
      <c r="A3929" t="s">
        <v>8828</v>
      </c>
      <c r="B3929" t="s">
        <v>8830</v>
      </c>
      <c r="C3929" t="s">
        <v>190</v>
      </c>
      <c r="D3929" t="s">
        <v>191</v>
      </c>
    </row>
    <row r="3930" spans="1:4" x14ac:dyDescent="0.2">
      <c r="A3930" t="s">
        <v>8828</v>
      </c>
      <c r="B3930" t="s">
        <v>8831</v>
      </c>
      <c r="C3930" t="s">
        <v>190</v>
      </c>
      <c r="D3930" t="s">
        <v>191</v>
      </c>
    </row>
    <row r="3931" spans="1:4" x14ac:dyDescent="0.2">
      <c r="A3931" t="s">
        <v>8828</v>
      </c>
      <c r="B3931" t="s">
        <v>8832</v>
      </c>
      <c r="C3931" t="s">
        <v>190</v>
      </c>
      <c r="D3931" t="s">
        <v>191</v>
      </c>
    </row>
    <row r="3932" spans="1:4" x14ac:dyDescent="0.2">
      <c r="A3932" t="s">
        <v>8828</v>
      </c>
      <c r="B3932" t="s">
        <v>8833</v>
      </c>
      <c r="C3932" t="s">
        <v>190</v>
      </c>
      <c r="D3932" t="s">
        <v>191</v>
      </c>
    </row>
    <row r="3933" spans="1:4" x14ac:dyDescent="0.2">
      <c r="A3933" t="s">
        <v>8834</v>
      </c>
      <c r="B3933" t="s">
        <v>8835</v>
      </c>
      <c r="C3933" t="s">
        <v>8836</v>
      </c>
      <c r="D3933" t="s">
        <v>195</v>
      </c>
    </row>
    <row r="3934" spans="1:4" x14ac:dyDescent="0.2">
      <c r="A3934" t="s">
        <v>8837</v>
      </c>
      <c r="B3934" t="s">
        <v>8838</v>
      </c>
      <c r="C3934" t="s">
        <v>190</v>
      </c>
      <c r="D3934" t="s">
        <v>191</v>
      </c>
    </row>
    <row r="3935" spans="1:4" x14ac:dyDescent="0.2">
      <c r="A3935" t="s">
        <v>8839</v>
      </c>
      <c r="B3935" t="s">
        <v>8840</v>
      </c>
      <c r="C3935" t="s">
        <v>190</v>
      </c>
      <c r="D3935" t="s">
        <v>191</v>
      </c>
    </row>
    <row r="3936" spans="1:4" x14ac:dyDescent="0.2">
      <c r="A3936" t="s">
        <v>8841</v>
      </c>
      <c r="B3936" t="s">
        <v>8842</v>
      </c>
      <c r="C3936" t="s">
        <v>190</v>
      </c>
      <c r="D3936" t="s">
        <v>191</v>
      </c>
    </row>
    <row r="3937" spans="1:4" x14ac:dyDescent="0.2">
      <c r="A3937" t="s">
        <v>8841</v>
      </c>
      <c r="B3937" t="s">
        <v>8843</v>
      </c>
      <c r="C3937" t="s">
        <v>8844</v>
      </c>
      <c r="D3937" t="s">
        <v>187</v>
      </c>
    </row>
    <row r="3938" spans="1:4" x14ac:dyDescent="0.2">
      <c r="A3938" t="s">
        <v>8841</v>
      </c>
      <c r="B3938" t="s">
        <v>8776</v>
      </c>
      <c r="C3938" t="s">
        <v>190</v>
      </c>
      <c r="D3938" t="s">
        <v>191</v>
      </c>
    </row>
    <row r="3939" spans="1:4" x14ac:dyDescent="0.2">
      <c r="A3939" t="s">
        <v>8841</v>
      </c>
      <c r="B3939" t="s">
        <v>8753</v>
      </c>
      <c r="C3939" t="s">
        <v>190</v>
      </c>
      <c r="D3939" t="s">
        <v>191</v>
      </c>
    </row>
    <row r="3940" spans="1:4" x14ac:dyDescent="0.2">
      <c r="A3940" t="s">
        <v>8841</v>
      </c>
      <c r="B3940" t="s">
        <v>8845</v>
      </c>
      <c r="C3940" t="s">
        <v>190</v>
      </c>
      <c r="D3940" t="s">
        <v>191</v>
      </c>
    </row>
    <row r="3941" spans="1:4" x14ac:dyDescent="0.2">
      <c r="A3941" t="s">
        <v>8841</v>
      </c>
      <c r="B3941" t="s">
        <v>8755</v>
      </c>
      <c r="C3941" t="s">
        <v>190</v>
      </c>
      <c r="D3941" t="s">
        <v>8846</v>
      </c>
    </row>
    <row r="3942" spans="1:4" x14ac:dyDescent="0.2">
      <c r="A3942" t="s">
        <v>8841</v>
      </c>
      <c r="B3942" t="s">
        <v>8756</v>
      </c>
      <c r="C3942" t="s">
        <v>190</v>
      </c>
      <c r="D3942" t="s">
        <v>191</v>
      </c>
    </row>
    <row r="3943" spans="1:4" x14ac:dyDescent="0.2">
      <c r="A3943" t="s">
        <v>8841</v>
      </c>
      <c r="B3943" t="s">
        <v>8757</v>
      </c>
      <c r="C3943" t="s">
        <v>190</v>
      </c>
      <c r="D3943" t="s">
        <v>191</v>
      </c>
    </row>
    <row r="3944" spans="1:4" x14ac:dyDescent="0.2">
      <c r="A3944" t="s">
        <v>8841</v>
      </c>
      <c r="B3944" t="s">
        <v>8758</v>
      </c>
      <c r="C3944" t="s">
        <v>8759</v>
      </c>
      <c r="D3944" t="s">
        <v>187</v>
      </c>
    </row>
    <row r="3945" spans="1:4" x14ac:dyDescent="0.2">
      <c r="A3945" t="s">
        <v>8841</v>
      </c>
      <c r="B3945" t="s">
        <v>8781</v>
      </c>
      <c r="C3945" t="s">
        <v>8782</v>
      </c>
      <c r="D3945" t="s">
        <v>195</v>
      </c>
    </row>
    <row r="3946" spans="1:4" x14ac:dyDescent="0.2">
      <c r="A3946" t="s">
        <v>8841</v>
      </c>
      <c r="B3946" t="s">
        <v>8847</v>
      </c>
      <c r="C3946" t="s">
        <v>190</v>
      </c>
      <c r="D3946" t="s">
        <v>191</v>
      </c>
    </row>
    <row r="3947" spans="1:4" x14ac:dyDescent="0.2">
      <c r="A3947" t="s">
        <v>8841</v>
      </c>
      <c r="B3947" t="s">
        <v>8783</v>
      </c>
      <c r="C3947" t="s">
        <v>8784</v>
      </c>
      <c r="D3947" t="s">
        <v>195</v>
      </c>
    </row>
    <row r="3948" spans="1:4" x14ac:dyDescent="0.2">
      <c r="A3948" t="s">
        <v>8841</v>
      </c>
      <c r="B3948" t="s">
        <v>8767</v>
      </c>
      <c r="C3948" t="s">
        <v>8768</v>
      </c>
      <c r="D3948" t="s">
        <v>195</v>
      </c>
    </row>
    <row r="3949" spans="1:4" x14ac:dyDescent="0.2">
      <c r="A3949" t="s">
        <v>8841</v>
      </c>
      <c r="B3949" t="s">
        <v>8848</v>
      </c>
      <c r="C3949" t="s">
        <v>190</v>
      </c>
      <c r="D3949" t="s">
        <v>191</v>
      </c>
    </row>
    <row r="3950" spans="1:4" x14ac:dyDescent="0.2">
      <c r="A3950" t="s">
        <v>8841</v>
      </c>
      <c r="B3950" t="s">
        <v>8849</v>
      </c>
      <c r="C3950" t="s">
        <v>190</v>
      </c>
      <c r="D3950" t="s">
        <v>191</v>
      </c>
    </row>
    <row r="3951" spans="1:4" x14ac:dyDescent="0.2">
      <c r="A3951" t="s">
        <v>8841</v>
      </c>
      <c r="B3951" t="s">
        <v>8850</v>
      </c>
      <c r="C3951" t="s">
        <v>190</v>
      </c>
      <c r="D3951" t="s">
        <v>191</v>
      </c>
    </row>
    <row r="3952" spans="1:4" x14ac:dyDescent="0.2">
      <c r="A3952" t="s">
        <v>8851</v>
      </c>
      <c r="B3952" t="s">
        <v>8852</v>
      </c>
      <c r="C3952" t="s">
        <v>190</v>
      </c>
      <c r="D3952" t="s">
        <v>191</v>
      </c>
    </row>
    <row r="3953" spans="1:4" x14ac:dyDescent="0.2">
      <c r="A3953" t="s">
        <v>8853</v>
      </c>
      <c r="B3953" t="s">
        <v>8854</v>
      </c>
      <c r="C3953" t="s">
        <v>190</v>
      </c>
      <c r="D3953" t="s">
        <v>191</v>
      </c>
    </row>
    <row r="3954" spans="1:4" x14ac:dyDescent="0.2">
      <c r="A3954" t="s">
        <v>8855</v>
      </c>
      <c r="B3954" t="s">
        <v>8856</v>
      </c>
      <c r="C3954" t="s">
        <v>8857</v>
      </c>
      <c r="D3954" t="s">
        <v>187</v>
      </c>
    </row>
    <row r="3955" spans="1:4" x14ac:dyDescent="0.2">
      <c r="A3955" t="s">
        <v>8858</v>
      </c>
      <c r="B3955" t="s">
        <v>8859</v>
      </c>
      <c r="C3955" t="s">
        <v>190</v>
      </c>
      <c r="D3955" t="s">
        <v>191</v>
      </c>
    </row>
    <row r="3956" spans="1:4" x14ac:dyDescent="0.2">
      <c r="A3956" t="s">
        <v>8860</v>
      </c>
      <c r="B3956" t="s">
        <v>8861</v>
      </c>
      <c r="C3956" t="s">
        <v>190</v>
      </c>
      <c r="D3956" t="s">
        <v>191</v>
      </c>
    </row>
    <row r="3957" spans="1:4" x14ac:dyDescent="0.2">
      <c r="A3957" t="s">
        <v>8862</v>
      </c>
      <c r="B3957" t="s">
        <v>8863</v>
      </c>
      <c r="C3957" t="s">
        <v>190</v>
      </c>
      <c r="D3957" t="s">
        <v>191</v>
      </c>
    </row>
    <row r="3958" spans="1:4" x14ac:dyDescent="0.2">
      <c r="A3958" t="s">
        <v>8864</v>
      </c>
      <c r="B3958" t="s">
        <v>8865</v>
      </c>
      <c r="C3958" t="s">
        <v>8866</v>
      </c>
      <c r="D3958" t="s">
        <v>195</v>
      </c>
    </row>
    <row r="3959" spans="1:4" x14ac:dyDescent="0.2">
      <c r="A3959" t="s">
        <v>8867</v>
      </c>
      <c r="B3959" t="s">
        <v>8868</v>
      </c>
      <c r="C3959" t="s">
        <v>190</v>
      </c>
      <c r="D3959" t="s">
        <v>191</v>
      </c>
    </row>
    <row r="3960" spans="1:4" x14ac:dyDescent="0.2">
      <c r="A3960" t="s">
        <v>8867</v>
      </c>
      <c r="B3960" t="s">
        <v>8869</v>
      </c>
      <c r="C3960" t="s">
        <v>8870</v>
      </c>
      <c r="D3960" t="s">
        <v>195</v>
      </c>
    </row>
    <row r="3961" spans="1:4" x14ac:dyDescent="0.2">
      <c r="A3961" t="s">
        <v>8871</v>
      </c>
      <c r="B3961" t="s">
        <v>8872</v>
      </c>
      <c r="C3961" t="s">
        <v>190</v>
      </c>
      <c r="D3961" t="s">
        <v>191</v>
      </c>
    </row>
    <row r="3962" spans="1:4" x14ac:dyDescent="0.2">
      <c r="A3962" t="s">
        <v>8873</v>
      </c>
      <c r="B3962" t="s">
        <v>8874</v>
      </c>
      <c r="C3962" t="s">
        <v>190</v>
      </c>
      <c r="D3962" t="s">
        <v>191</v>
      </c>
    </row>
    <row r="3963" spans="1:4" x14ac:dyDescent="0.2">
      <c r="A3963" t="s">
        <v>8875</v>
      </c>
      <c r="B3963" t="s">
        <v>8876</v>
      </c>
      <c r="C3963" t="s">
        <v>190</v>
      </c>
      <c r="D3963" t="s">
        <v>191</v>
      </c>
    </row>
    <row r="3964" spans="1:4" x14ac:dyDescent="0.2">
      <c r="A3964" t="s">
        <v>8877</v>
      </c>
      <c r="B3964" t="s">
        <v>8878</v>
      </c>
      <c r="C3964" t="s">
        <v>190</v>
      </c>
      <c r="D3964" t="s">
        <v>8879</v>
      </c>
    </row>
    <row r="3965" spans="1:4" x14ac:dyDescent="0.2">
      <c r="A3965" t="s">
        <v>8877</v>
      </c>
      <c r="B3965" t="s">
        <v>8880</v>
      </c>
      <c r="C3965" t="s">
        <v>190</v>
      </c>
      <c r="D3965" t="s">
        <v>191</v>
      </c>
    </row>
    <row r="3966" spans="1:4" x14ac:dyDescent="0.2">
      <c r="A3966" t="s">
        <v>8881</v>
      </c>
      <c r="B3966" t="s">
        <v>8882</v>
      </c>
      <c r="C3966" t="s">
        <v>8883</v>
      </c>
      <c r="D3966" t="s">
        <v>187</v>
      </c>
    </row>
    <row r="3967" spans="1:4" x14ac:dyDescent="0.2">
      <c r="A3967" t="s">
        <v>8884</v>
      </c>
      <c r="B3967" t="s">
        <v>8885</v>
      </c>
      <c r="C3967" t="s">
        <v>190</v>
      </c>
      <c r="D3967" t="s">
        <v>191</v>
      </c>
    </row>
    <row r="3968" spans="1:4" x14ac:dyDescent="0.2">
      <c r="A3968" t="s">
        <v>8886</v>
      </c>
      <c r="B3968" t="s">
        <v>8887</v>
      </c>
      <c r="C3968" t="s">
        <v>8888</v>
      </c>
      <c r="D3968" t="s">
        <v>195</v>
      </c>
    </row>
    <row r="3969" spans="1:4" x14ac:dyDescent="0.2">
      <c r="A3969" t="s">
        <v>8889</v>
      </c>
      <c r="B3969" t="s">
        <v>8890</v>
      </c>
      <c r="C3969" t="s">
        <v>8891</v>
      </c>
      <c r="D3969" t="s">
        <v>187</v>
      </c>
    </row>
    <row r="3970" spans="1:4" x14ac:dyDescent="0.2">
      <c r="A3970" t="s">
        <v>8892</v>
      </c>
      <c r="B3970" t="s">
        <v>8893</v>
      </c>
      <c r="C3970" t="s">
        <v>190</v>
      </c>
      <c r="D3970" t="s">
        <v>191</v>
      </c>
    </row>
    <row r="3971" spans="1:4" x14ac:dyDescent="0.2">
      <c r="A3971" t="s">
        <v>8894</v>
      </c>
      <c r="B3971" t="s">
        <v>8895</v>
      </c>
      <c r="C3971" t="s">
        <v>190</v>
      </c>
      <c r="D3971" t="s">
        <v>191</v>
      </c>
    </row>
    <row r="3972" spans="1:4" x14ac:dyDescent="0.2">
      <c r="A3972" t="s">
        <v>8896</v>
      </c>
      <c r="B3972" t="s">
        <v>8897</v>
      </c>
      <c r="C3972" t="s">
        <v>190</v>
      </c>
      <c r="D3972" t="s">
        <v>191</v>
      </c>
    </row>
    <row r="3973" spans="1:4" x14ac:dyDescent="0.2">
      <c r="A3973" t="s">
        <v>8898</v>
      </c>
      <c r="B3973" t="s">
        <v>8899</v>
      </c>
      <c r="C3973" t="s">
        <v>190</v>
      </c>
      <c r="D3973" t="s">
        <v>8900</v>
      </c>
    </row>
    <row r="3974" spans="1:4" x14ac:dyDescent="0.2">
      <c r="A3974" t="s">
        <v>8898</v>
      </c>
      <c r="B3974" t="s">
        <v>8901</v>
      </c>
      <c r="C3974" t="s">
        <v>190</v>
      </c>
      <c r="D3974" t="s">
        <v>191</v>
      </c>
    </row>
    <row r="3975" spans="1:4" x14ac:dyDescent="0.2">
      <c r="A3975" t="s">
        <v>8902</v>
      </c>
      <c r="B3975" t="s">
        <v>8903</v>
      </c>
      <c r="C3975" t="s">
        <v>8904</v>
      </c>
      <c r="D3975" t="s">
        <v>187</v>
      </c>
    </row>
    <row r="3976" spans="1:4" x14ac:dyDescent="0.2">
      <c r="A3976" t="s">
        <v>8905</v>
      </c>
      <c r="B3976" t="s">
        <v>8906</v>
      </c>
      <c r="C3976" t="s">
        <v>190</v>
      </c>
      <c r="D3976" t="s">
        <v>191</v>
      </c>
    </row>
    <row r="3977" spans="1:4" x14ac:dyDescent="0.2">
      <c r="A3977" t="s">
        <v>8907</v>
      </c>
      <c r="B3977" t="s">
        <v>8908</v>
      </c>
      <c r="C3977" t="s">
        <v>8909</v>
      </c>
      <c r="D3977" t="s">
        <v>187</v>
      </c>
    </row>
    <row r="3978" spans="1:4" x14ac:dyDescent="0.2">
      <c r="A3978" t="s">
        <v>8910</v>
      </c>
      <c r="B3978" t="s">
        <v>8911</v>
      </c>
      <c r="C3978" t="s">
        <v>190</v>
      </c>
      <c r="D3978" t="s">
        <v>191</v>
      </c>
    </row>
    <row r="3979" spans="1:4" x14ac:dyDescent="0.2">
      <c r="A3979" t="s">
        <v>8912</v>
      </c>
      <c r="B3979" t="s">
        <v>8913</v>
      </c>
      <c r="C3979" t="s">
        <v>190</v>
      </c>
      <c r="D3979" t="s">
        <v>191</v>
      </c>
    </row>
    <row r="3980" spans="1:4" x14ac:dyDescent="0.2">
      <c r="A3980" t="s">
        <v>8914</v>
      </c>
      <c r="B3980" t="s">
        <v>8915</v>
      </c>
      <c r="C3980" t="s">
        <v>190</v>
      </c>
      <c r="D3980" t="s">
        <v>191</v>
      </c>
    </row>
    <row r="3981" spans="1:4" x14ac:dyDescent="0.2">
      <c r="A3981" t="s">
        <v>8914</v>
      </c>
      <c r="B3981" t="s">
        <v>8916</v>
      </c>
      <c r="C3981" t="s">
        <v>190</v>
      </c>
      <c r="D3981" t="s">
        <v>191</v>
      </c>
    </row>
    <row r="3982" spans="1:4" x14ac:dyDescent="0.2">
      <c r="A3982" t="s">
        <v>8917</v>
      </c>
      <c r="B3982" t="s">
        <v>8918</v>
      </c>
      <c r="C3982" t="s">
        <v>8919</v>
      </c>
      <c r="D3982" t="s">
        <v>187</v>
      </c>
    </row>
    <row r="3983" spans="1:4" x14ac:dyDescent="0.2">
      <c r="A3983" t="s">
        <v>8920</v>
      </c>
      <c r="B3983" t="s">
        <v>8921</v>
      </c>
      <c r="C3983" t="s">
        <v>190</v>
      </c>
      <c r="D3983" t="s">
        <v>191</v>
      </c>
    </row>
    <row r="3984" spans="1:4" x14ac:dyDescent="0.2">
      <c r="A3984" t="s">
        <v>8922</v>
      </c>
      <c r="B3984" t="s">
        <v>8923</v>
      </c>
      <c r="C3984" t="s">
        <v>190</v>
      </c>
      <c r="D3984" t="s">
        <v>191</v>
      </c>
    </row>
    <row r="3985" spans="1:4" x14ac:dyDescent="0.2">
      <c r="A3985" t="s">
        <v>8924</v>
      </c>
      <c r="B3985" t="s">
        <v>8925</v>
      </c>
      <c r="C3985" t="s">
        <v>8926</v>
      </c>
      <c r="D3985" t="s">
        <v>195</v>
      </c>
    </row>
    <row r="3986" spans="1:4" x14ac:dyDescent="0.2">
      <c r="A3986" t="s">
        <v>8927</v>
      </c>
      <c r="B3986" t="s">
        <v>8928</v>
      </c>
      <c r="C3986" t="s">
        <v>190</v>
      </c>
      <c r="D3986" t="s">
        <v>191</v>
      </c>
    </row>
    <row r="3987" spans="1:4" x14ac:dyDescent="0.2">
      <c r="A3987" t="s">
        <v>8929</v>
      </c>
      <c r="B3987" t="s">
        <v>8930</v>
      </c>
      <c r="C3987" t="s">
        <v>8931</v>
      </c>
      <c r="D3987" t="s">
        <v>187</v>
      </c>
    </row>
    <row r="3988" spans="1:4" x14ac:dyDescent="0.2">
      <c r="A3988" t="s">
        <v>8932</v>
      </c>
      <c r="B3988" t="s">
        <v>8933</v>
      </c>
      <c r="C3988" t="s">
        <v>190</v>
      </c>
      <c r="D3988" t="s">
        <v>191</v>
      </c>
    </row>
    <row r="3989" spans="1:4" x14ac:dyDescent="0.2">
      <c r="A3989" t="s">
        <v>8934</v>
      </c>
      <c r="B3989" t="s">
        <v>8935</v>
      </c>
      <c r="C3989" t="s">
        <v>8936</v>
      </c>
      <c r="D3989" t="s">
        <v>187</v>
      </c>
    </row>
    <row r="3990" spans="1:4" x14ac:dyDescent="0.2">
      <c r="A3990" t="s">
        <v>8937</v>
      </c>
      <c r="B3990" t="s">
        <v>8938</v>
      </c>
      <c r="C3990" t="s">
        <v>190</v>
      </c>
      <c r="D3990" t="s">
        <v>191</v>
      </c>
    </row>
    <row r="3991" spans="1:4" x14ac:dyDescent="0.2">
      <c r="A3991" t="s">
        <v>8939</v>
      </c>
      <c r="B3991" t="s">
        <v>8940</v>
      </c>
      <c r="C3991" t="s">
        <v>190</v>
      </c>
      <c r="D3991" t="s">
        <v>191</v>
      </c>
    </row>
    <row r="3992" spans="1:4" x14ac:dyDescent="0.2">
      <c r="A3992" t="s">
        <v>8941</v>
      </c>
      <c r="B3992" t="s">
        <v>8942</v>
      </c>
      <c r="C3992" t="s">
        <v>190</v>
      </c>
      <c r="D3992" t="s">
        <v>191</v>
      </c>
    </row>
    <row r="3993" spans="1:4" x14ac:dyDescent="0.2">
      <c r="A3993" t="s">
        <v>8943</v>
      </c>
      <c r="B3993" t="s">
        <v>8944</v>
      </c>
      <c r="C3993" t="s">
        <v>190</v>
      </c>
      <c r="D3993" t="s">
        <v>191</v>
      </c>
    </row>
    <row r="3994" spans="1:4" x14ac:dyDescent="0.2">
      <c r="A3994" t="s">
        <v>8945</v>
      </c>
      <c r="B3994" t="s">
        <v>8946</v>
      </c>
      <c r="C3994" t="s">
        <v>190</v>
      </c>
      <c r="D3994" t="s">
        <v>191</v>
      </c>
    </row>
    <row r="3995" spans="1:4" x14ac:dyDescent="0.2">
      <c r="A3995" t="s">
        <v>8947</v>
      </c>
      <c r="B3995" t="s">
        <v>8948</v>
      </c>
      <c r="C3995" t="s">
        <v>190</v>
      </c>
      <c r="D3995" t="s">
        <v>191</v>
      </c>
    </row>
    <row r="3996" spans="1:4" x14ac:dyDescent="0.2">
      <c r="A3996" t="s">
        <v>8949</v>
      </c>
      <c r="B3996" t="s">
        <v>8950</v>
      </c>
      <c r="C3996" t="s">
        <v>190</v>
      </c>
      <c r="D3996" t="s">
        <v>8951</v>
      </c>
    </row>
    <row r="3997" spans="1:4" x14ac:dyDescent="0.2">
      <c r="A3997" t="s">
        <v>8952</v>
      </c>
      <c r="B3997" t="s">
        <v>8953</v>
      </c>
      <c r="C3997" t="s">
        <v>190</v>
      </c>
      <c r="D3997" t="s">
        <v>191</v>
      </c>
    </row>
    <row r="3998" spans="1:4" x14ac:dyDescent="0.2">
      <c r="A3998" t="s">
        <v>8954</v>
      </c>
      <c r="B3998" t="s">
        <v>8955</v>
      </c>
      <c r="C3998" t="s">
        <v>190</v>
      </c>
      <c r="D3998" t="s">
        <v>191</v>
      </c>
    </row>
    <row r="3999" spans="1:4" x14ac:dyDescent="0.2">
      <c r="A3999" t="s">
        <v>8956</v>
      </c>
      <c r="B3999" t="s">
        <v>8957</v>
      </c>
      <c r="C3999" t="s">
        <v>190</v>
      </c>
      <c r="D3999" t="s">
        <v>191</v>
      </c>
    </row>
    <row r="4000" spans="1:4" x14ac:dyDescent="0.2">
      <c r="A4000" t="s">
        <v>8958</v>
      </c>
      <c r="B4000" t="s">
        <v>8959</v>
      </c>
      <c r="C4000" t="s">
        <v>190</v>
      </c>
      <c r="D4000" t="s">
        <v>191</v>
      </c>
    </row>
    <row r="4001" spans="1:4" x14ac:dyDescent="0.2">
      <c r="A4001" t="s">
        <v>8960</v>
      </c>
      <c r="B4001" t="s">
        <v>8961</v>
      </c>
      <c r="C4001" t="s">
        <v>190</v>
      </c>
      <c r="D4001" t="s">
        <v>191</v>
      </c>
    </row>
    <row r="4002" spans="1:4" x14ac:dyDescent="0.2">
      <c r="A4002" t="s">
        <v>8962</v>
      </c>
      <c r="B4002" t="s">
        <v>8963</v>
      </c>
      <c r="C4002" t="s">
        <v>190</v>
      </c>
      <c r="D4002" t="s">
        <v>191</v>
      </c>
    </row>
    <row r="4003" spans="1:4" x14ac:dyDescent="0.2">
      <c r="A4003" t="s">
        <v>8964</v>
      </c>
      <c r="B4003" t="s">
        <v>8965</v>
      </c>
      <c r="C4003" t="s">
        <v>190</v>
      </c>
      <c r="D4003" t="s">
        <v>191</v>
      </c>
    </row>
    <row r="4004" spans="1:4" x14ac:dyDescent="0.2">
      <c r="A4004" t="s">
        <v>8966</v>
      </c>
      <c r="B4004" t="s">
        <v>8967</v>
      </c>
      <c r="C4004" t="s">
        <v>190</v>
      </c>
      <c r="D4004" t="s">
        <v>191</v>
      </c>
    </row>
    <row r="4005" spans="1:4" x14ac:dyDescent="0.2">
      <c r="A4005" t="s">
        <v>8968</v>
      </c>
      <c r="B4005" t="s">
        <v>8969</v>
      </c>
      <c r="C4005" t="s">
        <v>190</v>
      </c>
      <c r="D4005" t="s">
        <v>8970</v>
      </c>
    </row>
    <row r="4006" spans="1:4" x14ac:dyDescent="0.2">
      <c r="A4006" t="s">
        <v>8971</v>
      </c>
      <c r="B4006" t="s">
        <v>8972</v>
      </c>
      <c r="C4006" t="s">
        <v>190</v>
      </c>
      <c r="D4006" t="s">
        <v>191</v>
      </c>
    </row>
    <row r="4007" spans="1:4" x14ac:dyDescent="0.2">
      <c r="A4007" t="s">
        <v>8973</v>
      </c>
      <c r="B4007" t="s">
        <v>8974</v>
      </c>
      <c r="C4007" t="s">
        <v>8975</v>
      </c>
      <c r="D4007" t="s">
        <v>195</v>
      </c>
    </row>
    <row r="4008" spans="1:4" x14ac:dyDescent="0.2">
      <c r="A4008" t="s">
        <v>8976</v>
      </c>
      <c r="B4008" t="s">
        <v>8977</v>
      </c>
      <c r="C4008" t="s">
        <v>8978</v>
      </c>
      <c r="D4008" t="s">
        <v>195</v>
      </c>
    </row>
    <row r="4009" spans="1:4" x14ac:dyDescent="0.2">
      <c r="A4009" t="s">
        <v>8979</v>
      </c>
      <c r="B4009" t="s">
        <v>8980</v>
      </c>
      <c r="C4009" t="s">
        <v>190</v>
      </c>
      <c r="D4009" t="s">
        <v>191</v>
      </c>
    </row>
    <row r="4010" spans="1:4" x14ac:dyDescent="0.2">
      <c r="A4010" t="s">
        <v>8979</v>
      </c>
      <c r="B4010" t="s">
        <v>8981</v>
      </c>
      <c r="C4010" t="s">
        <v>8982</v>
      </c>
      <c r="D4010" t="s">
        <v>187</v>
      </c>
    </row>
    <row r="4011" spans="1:4" x14ac:dyDescent="0.2">
      <c r="A4011" t="s">
        <v>8983</v>
      </c>
      <c r="B4011" t="s">
        <v>8984</v>
      </c>
      <c r="C4011" t="s">
        <v>190</v>
      </c>
      <c r="D4011" t="s">
        <v>8985</v>
      </c>
    </row>
    <row r="4012" spans="1:4" x14ac:dyDescent="0.2">
      <c r="A4012" t="s">
        <v>8986</v>
      </c>
      <c r="B4012" t="s">
        <v>8987</v>
      </c>
      <c r="C4012" t="s">
        <v>190</v>
      </c>
      <c r="D4012" t="s">
        <v>191</v>
      </c>
    </row>
    <row r="4013" spans="1:4" x14ac:dyDescent="0.2">
      <c r="A4013" t="s">
        <v>8988</v>
      </c>
      <c r="B4013" t="s">
        <v>8989</v>
      </c>
      <c r="C4013" t="s">
        <v>8990</v>
      </c>
      <c r="D4013" t="s">
        <v>195</v>
      </c>
    </row>
    <row r="4014" spans="1:4" x14ac:dyDescent="0.2">
      <c r="A4014" t="s">
        <v>8991</v>
      </c>
      <c r="B4014" t="s">
        <v>8992</v>
      </c>
      <c r="C4014" t="s">
        <v>190</v>
      </c>
      <c r="D4014" t="s">
        <v>191</v>
      </c>
    </row>
    <row r="4015" spans="1:4" x14ac:dyDescent="0.2">
      <c r="A4015" t="s">
        <v>8993</v>
      </c>
      <c r="B4015" t="s">
        <v>8994</v>
      </c>
      <c r="C4015" t="s">
        <v>8995</v>
      </c>
      <c r="D4015" t="s">
        <v>187</v>
      </c>
    </row>
    <row r="4016" spans="1:4" x14ac:dyDescent="0.2">
      <c r="A4016" t="s">
        <v>8996</v>
      </c>
      <c r="B4016" t="s">
        <v>8997</v>
      </c>
      <c r="C4016" t="s">
        <v>8998</v>
      </c>
      <c r="D4016" t="s">
        <v>187</v>
      </c>
    </row>
    <row r="4017" spans="1:4" x14ac:dyDescent="0.2">
      <c r="A4017" t="s">
        <v>8999</v>
      </c>
      <c r="B4017" t="s">
        <v>9000</v>
      </c>
      <c r="C4017" t="s">
        <v>9001</v>
      </c>
      <c r="D4017" t="s">
        <v>195</v>
      </c>
    </row>
    <row r="4018" spans="1:4" x14ac:dyDescent="0.2">
      <c r="A4018" t="s">
        <v>9002</v>
      </c>
      <c r="B4018" t="s">
        <v>9003</v>
      </c>
      <c r="C4018" t="s">
        <v>190</v>
      </c>
      <c r="D4018" t="s">
        <v>191</v>
      </c>
    </row>
    <row r="4019" spans="1:4" x14ac:dyDescent="0.2">
      <c r="A4019" t="s">
        <v>9004</v>
      </c>
      <c r="B4019" t="s">
        <v>9005</v>
      </c>
      <c r="C4019" t="s">
        <v>9006</v>
      </c>
      <c r="D4019" t="s">
        <v>195</v>
      </c>
    </row>
    <row r="4020" spans="1:4" x14ac:dyDescent="0.2">
      <c r="A4020" t="s">
        <v>9007</v>
      </c>
      <c r="B4020" t="s">
        <v>9008</v>
      </c>
      <c r="C4020" t="s">
        <v>190</v>
      </c>
      <c r="D4020" t="s">
        <v>191</v>
      </c>
    </row>
    <row r="4021" spans="1:4" x14ac:dyDescent="0.2">
      <c r="A4021" t="s">
        <v>9009</v>
      </c>
      <c r="B4021" t="s">
        <v>9010</v>
      </c>
      <c r="C4021" t="s">
        <v>9011</v>
      </c>
      <c r="D4021" t="s">
        <v>187</v>
      </c>
    </row>
    <row r="4022" spans="1:4" x14ac:dyDescent="0.2">
      <c r="A4022" t="s">
        <v>9012</v>
      </c>
      <c r="B4022" t="s">
        <v>9013</v>
      </c>
      <c r="C4022" t="s">
        <v>9014</v>
      </c>
      <c r="D4022" t="s">
        <v>195</v>
      </c>
    </row>
    <row r="4023" spans="1:4" x14ac:dyDescent="0.2">
      <c r="A4023" t="s">
        <v>9015</v>
      </c>
      <c r="B4023" t="s">
        <v>9016</v>
      </c>
      <c r="C4023" t="s">
        <v>190</v>
      </c>
      <c r="D4023" t="s">
        <v>191</v>
      </c>
    </row>
    <row r="4024" spans="1:4" x14ac:dyDescent="0.2">
      <c r="A4024" t="s">
        <v>9017</v>
      </c>
      <c r="B4024" t="s">
        <v>9018</v>
      </c>
      <c r="C4024" t="s">
        <v>190</v>
      </c>
      <c r="D4024" t="s">
        <v>191</v>
      </c>
    </row>
    <row r="4025" spans="1:4" x14ac:dyDescent="0.2">
      <c r="A4025" t="s">
        <v>9019</v>
      </c>
      <c r="B4025" t="s">
        <v>9020</v>
      </c>
      <c r="C4025" t="s">
        <v>9021</v>
      </c>
      <c r="D4025" t="s">
        <v>195</v>
      </c>
    </row>
    <row r="4026" spans="1:4" x14ac:dyDescent="0.2">
      <c r="A4026" t="s">
        <v>9022</v>
      </c>
      <c r="B4026" t="s">
        <v>9023</v>
      </c>
      <c r="C4026" t="s">
        <v>190</v>
      </c>
      <c r="D4026" t="s">
        <v>9024</v>
      </c>
    </row>
    <row r="4027" spans="1:4" x14ac:dyDescent="0.2">
      <c r="A4027" t="s">
        <v>9025</v>
      </c>
      <c r="B4027" t="s">
        <v>9026</v>
      </c>
      <c r="C4027" t="s">
        <v>9027</v>
      </c>
      <c r="D4027" t="s">
        <v>187</v>
      </c>
    </row>
    <row r="4028" spans="1:4" x14ac:dyDescent="0.2">
      <c r="A4028" t="s">
        <v>9028</v>
      </c>
      <c r="B4028" t="s">
        <v>9029</v>
      </c>
      <c r="C4028" t="s">
        <v>190</v>
      </c>
      <c r="D4028" t="s">
        <v>191</v>
      </c>
    </row>
    <row r="4029" spans="1:4" x14ac:dyDescent="0.2">
      <c r="A4029" t="s">
        <v>9030</v>
      </c>
      <c r="B4029" t="s">
        <v>9031</v>
      </c>
      <c r="C4029" t="s">
        <v>9032</v>
      </c>
      <c r="D4029" t="s">
        <v>187</v>
      </c>
    </row>
    <row r="4030" spans="1:4" x14ac:dyDescent="0.2">
      <c r="A4030" t="s">
        <v>9033</v>
      </c>
      <c r="B4030" t="s">
        <v>9034</v>
      </c>
      <c r="C4030" t="s">
        <v>190</v>
      </c>
      <c r="D4030" t="s">
        <v>280</v>
      </c>
    </row>
    <row r="4031" spans="1:4" x14ac:dyDescent="0.2">
      <c r="A4031" t="s">
        <v>9035</v>
      </c>
      <c r="B4031" t="s">
        <v>9036</v>
      </c>
      <c r="C4031" t="s">
        <v>190</v>
      </c>
      <c r="D4031" t="s">
        <v>191</v>
      </c>
    </row>
    <row r="4032" spans="1:4" x14ac:dyDescent="0.2">
      <c r="A4032" t="s">
        <v>9037</v>
      </c>
      <c r="B4032" t="s">
        <v>9038</v>
      </c>
      <c r="C4032" t="s">
        <v>190</v>
      </c>
      <c r="D4032" t="s">
        <v>191</v>
      </c>
    </row>
    <row r="4033" spans="1:4" x14ac:dyDescent="0.2">
      <c r="A4033" t="s">
        <v>9039</v>
      </c>
      <c r="B4033" t="s">
        <v>9040</v>
      </c>
      <c r="C4033" t="s">
        <v>190</v>
      </c>
      <c r="D4033" t="s">
        <v>191</v>
      </c>
    </row>
    <row r="4034" spans="1:4" x14ac:dyDescent="0.2">
      <c r="A4034" t="s">
        <v>9041</v>
      </c>
      <c r="B4034" t="s">
        <v>9042</v>
      </c>
      <c r="C4034" t="s">
        <v>9043</v>
      </c>
      <c r="D4034" t="s">
        <v>195</v>
      </c>
    </row>
    <row r="4035" spans="1:4" x14ac:dyDescent="0.2">
      <c r="A4035" t="s">
        <v>9044</v>
      </c>
      <c r="B4035" t="s">
        <v>9045</v>
      </c>
      <c r="C4035" t="s">
        <v>9046</v>
      </c>
      <c r="D4035" t="s">
        <v>195</v>
      </c>
    </row>
    <row r="4036" spans="1:4" x14ac:dyDescent="0.2">
      <c r="A4036" t="s">
        <v>9047</v>
      </c>
      <c r="B4036" t="s">
        <v>9048</v>
      </c>
      <c r="C4036" t="s">
        <v>190</v>
      </c>
      <c r="D4036" t="s">
        <v>191</v>
      </c>
    </row>
    <row r="4037" spans="1:4" x14ac:dyDescent="0.2">
      <c r="A4037" t="s">
        <v>9049</v>
      </c>
      <c r="B4037" t="s">
        <v>9050</v>
      </c>
      <c r="C4037" t="s">
        <v>190</v>
      </c>
      <c r="D4037" t="s">
        <v>191</v>
      </c>
    </row>
    <row r="4038" spans="1:4" x14ac:dyDescent="0.2">
      <c r="A4038" t="s">
        <v>9051</v>
      </c>
      <c r="B4038" t="s">
        <v>9052</v>
      </c>
      <c r="C4038" t="s">
        <v>190</v>
      </c>
      <c r="D4038" t="s">
        <v>191</v>
      </c>
    </row>
    <row r="4039" spans="1:4" x14ac:dyDescent="0.2">
      <c r="A4039" t="s">
        <v>9053</v>
      </c>
      <c r="B4039" t="s">
        <v>9054</v>
      </c>
      <c r="C4039" t="s">
        <v>190</v>
      </c>
      <c r="D4039" t="s">
        <v>191</v>
      </c>
    </row>
    <row r="4040" spans="1:4" x14ac:dyDescent="0.2">
      <c r="A4040" t="s">
        <v>9055</v>
      </c>
      <c r="B4040" t="s">
        <v>9056</v>
      </c>
      <c r="C4040" t="s">
        <v>190</v>
      </c>
      <c r="D4040" t="s">
        <v>191</v>
      </c>
    </row>
    <row r="4041" spans="1:4" x14ac:dyDescent="0.2">
      <c r="A4041" t="s">
        <v>9057</v>
      </c>
      <c r="B4041" t="s">
        <v>9058</v>
      </c>
      <c r="C4041" t="s">
        <v>190</v>
      </c>
      <c r="D4041" t="s">
        <v>191</v>
      </c>
    </row>
    <row r="4042" spans="1:4" x14ac:dyDescent="0.2">
      <c r="A4042" t="s">
        <v>9059</v>
      </c>
      <c r="B4042" t="s">
        <v>9060</v>
      </c>
      <c r="C4042" t="s">
        <v>190</v>
      </c>
      <c r="D4042" t="s">
        <v>191</v>
      </c>
    </row>
    <row r="4043" spans="1:4" x14ac:dyDescent="0.2">
      <c r="A4043" t="s">
        <v>9061</v>
      </c>
      <c r="B4043" t="s">
        <v>9062</v>
      </c>
      <c r="C4043" t="s">
        <v>190</v>
      </c>
      <c r="D4043" t="s">
        <v>280</v>
      </c>
    </row>
    <row r="4044" spans="1:4" x14ac:dyDescent="0.2">
      <c r="A4044" t="s">
        <v>9063</v>
      </c>
      <c r="B4044" t="s">
        <v>9064</v>
      </c>
      <c r="C4044" t="s">
        <v>190</v>
      </c>
      <c r="D4044" t="s">
        <v>191</v>
      </c>
    </row>
    <row r="4045" spans="1:4" x14ac:dyDescent="0.2">
      <c r="A4045" t="s">
        <v>9065</v>
      </c>
      <c r="B4045" t="s">
        <v>9066</v>
      </c>
      <c r="C4045" t="s">
        <v>9067</v>
      </c>
      <c r="D4045" t="s">
        <v>187</v>
      </c>
    </row>
    <row r="4046" spans="1:4" x14ac:dyDescent="0.2">
      <c r="A4046" t="s">
        <v>9065</v>
      </c>
      <c r="B4046" t="s">
        <v>9068</v>
      </c>
      <c r="C4046" t="s">
        <v>9069</v>
      </c>
      <c r="D4046" t="s">
        <v>187</v>
      </c>
    </row>
    <row r="4047" spans="1:4" x14ac:dyDescent="0.2">
      <c r="A4047" t="s">
        <v>9070</v>
      </c>
      <c r="B4047" t="s">
        <v>9071</v>
      </c>
      <c r="C4047" t="s">
        <v>9072</v>
      </c>
      <c r="D4047" t="s">
        <v>187</v>
      </c>
    </row>
    <row r="4048" spans="1:4" x14ac:dyDescent="0.2">
      <c r="A4048" t="s">
        <v>9073</v>
      </c>
      <c r="B4048" t="s">
        <v>9074</v>
      </c>
      <c r="C4048" t="s">
        <v>190</v>
      </c>
      <c r="D4048" t="s">
        <v>191</v>
      </c>
    </row>
    <row r="4049" spans="1:4" x14ac:dyDescent="0.2">
      <c r="A4049" t="s">
        <v>9075</v>
      </c>
      <c r="B4049" t="s">
        <v>9076</v>
      </c>
      <c r="C4049" t="s">
        <v>190</v>
      </c>
      <c r="D4049" t="s">
        <v>191</v>
      </c>
    </row>
    <row r="4050" spans="1:4" x14ac:dyDescent="0.2">
      <c r="A4050" t="s">
        <v>9077</v>
      </c>
      <c r="B4050" t="s">
        <v>9078</v>
      </c>
      <c r="C4050" t="s">
        <v>190</v>
      </c>
      <c r="D4050" t="s">
        <v>191</v>
      </c>
    </row>
    <row r="4051" spans="1:4" x14ac:dyDescent="0.2">
      <c r="A4051" t="s">
        <v>9079</v>
      </c>
      <c r="B4051" t="s">
        <v>9080</v>
      </c>
      <c r="C4051" t="s">
        <v>190</v>
      </c>
      <c r="D4051" t="s">
        <v>191</v>
      </c>
    </row>
    <row r="4052" spans="1:4" x14ac:dyDescent="0.2">
      <c r="A4052" t="s">
        <v>9079</v>
      </c>
      <c r="B4052" t="s">
        <v>9081</v>
      </c>
      <c r="C4052" t="s">
        <v>190</v>
      </c>
      <c r="D4052" t="s">
        <v>191</v>
      </c>
    </row>
    <row r="4053" spans="1:4" x14ac:dyDescent="0.2">
      <c r="A4053" t="s">
        <v>9082</v>
      </c>
      <c r="B4053" t="s">
        <v>9083</v>
      </c>
      <c r="C4053" t="s">
        <v>9084</v>
      </c>
      <c r="D4053" t="s">
        <v>195</v>
      </c>
    </row>
    <row r="4054" spans="1:4" x14ac:dyDescent="0.2">
      <c r="A4054" t="s">
        <v>9085</v>
      </c>
      <c r="B4054" t="s">
        <v>9086</v>
      </c>
      <c r="C4054" t="s">
        <v>9087</v>
      </c>
      <c r="D4054" t="s">
        <v>195</v>
      </c>
    </row>
    <row r="4055" spans="1:4" x14ac:dyDescent="0.2">
      <c r="A4055" t="s">
        <v>9088</v>
      </c>
      <c r="B4055" t="s">
        <v>9089</v>
      </c>
      <c r="C4055" t="s">
        <v>190</v>
      </c>
      <c r="D4055" t="s">
        <v>191</v>
      </c>
    </row>
    <row r="4056" spans="1:4" x14ac:dyDescent="0.2">
      <c r="A4056" t="s">
        <v>9090</v>
      </c>
      <c r="B4056" t="s">
        <v>9091</v>
      </c>
      <c r="C4056" t="s">
        <v>190</v>
      </c>
      <c r="D4056" t="s">
        <v>191</v>
      </c>
    </row>
    <row r="4057" spans="1:4" x14ac:dyDescent="0.2">
      <c r="A4057" t="s">
        <v>9092</v>
      </c>
      <c r="B4057" t="s">
        <v>9093</v>
      </c>
      <c r="C4057" t="s">
        <v>190</v>
      </c>
      <c r="D4057" t="s">
        <v>9094</v>
      </c>
    </row>
    <row r="4058" spans="1:4" x14ac:dyDescent="0.2">
      <c r="A4058" t="s">
        <v>9095</v>
      </c>
      <c r="B4058" t="s">
        <v>9096</v>
      </c>
      <c r="C4058" t="s">
        <v>190</v>
      </c>
      <c r="D4058" t="s">
        <v>9097</v>
      </c>
    </row>
    <row r="4059" spans="1:4" x14ac:dyDescent="0.2">
      <c r="A4059" t="s">
        <v>9098</v>
      </c>
      <c r="B4059" t="s">
        <v>9096</v>
      </c>
      <c r="C4059" t="s">
        <v>190</v>
      </c>
      <c r="D4059" t="s">
        <v>191</v>
      </c>
    </row>
    <row r="4060" spans="1:4" x14ac:dyDescent="0.2">
      <c r="A4060" t="s">
        <v>9098</v>
      </c>
      <c r="B4060" t="s">
        <v>9099</v>
      </c>
      <c r="C4060" t="s">
        <v>9100</v>
      </c>
      <c r="D4060" t="s">
        <v>195</v>
      </c>
    </row>
    <row r="4061" spans="1:4" x14ac:dyDescent="0.2">
      <c r="A4061" t="s">
        <v>9101</v>
      </c>
      <c r="B4061" t="s">
        <v>9102</v>
      </c>
      <c r="C4061" t="s">
        <v>190</v>
      </c>
      <c r="D4061" t="s">
        <v>191</v>
      </c>
    </row>
    <row r="4062" spans="1:4" x14ac:dyDescent="0.2">
      <c r="A4062" t="s">
        <v>9103</v>
      </c>
      <c r="B4062" t="s">
        <v>9104</v>
      </c>
      <c r="C4062" t="s">
        <v>190</v>
      </c>
      <c r="D4062" t="s">
        <v>191</v>
      </c>
    </row>
    <row r="4063" spans="1:4" x14ac:dyDescent="0.2">
      <c r="A4063" t="s">
        <v>9103</v>
      </c>
      <c r="B4063" t="s">
        <v>9105</v>
      </c>
      <c r="C4063" t="s">
        <v>190</v>
      </c>
      <c r="D4063" t="s">
        <v>191</v>
      </c>
    </row>
    <row r="4064" spans="1:4" x14ac:dyDescent="0.2">
      <c r="A4064" t="s">
        <v>9106</v>
      </c>
      <c r="B4064" t="s">
        <v>9107</v>
      </c>
      <c r="C4064" t="s">
        <v>190</v>
      </c>
      <c r="D4064" t="s">
        <v>191</v>
      </c>
    </row>
    <row r="4065" spans="1:4" x14ac:dyDescent="0.2">
      <c r="A4065" t="s">
        <v>9108</v>
      </c>
      <c r="B4065" t="s">
        <v>9109</v>
      </c>
      <c r="C4065" t="s">
        <v>190</v>
      </c>
      <c r="D4065" t="s">
        <v>191</v>
      </c>
    </row>
    <row r="4066" spans="1:4" x14ac:dyDescent="0.2">
      <c r="A4066" t="s">
        <v>9110</v>
      </c>
      <c r="B4066" t="s">
        <v>9111</v>
      </c>
      <c r="C4066" t="s">
        <v>190</v>
      </c>
      <c r="D4066" t="s">
        <v>191</v>
      </c>
    </row>
    <row r="4067" spans="1:4" x14ac:dyDescent="0.2">
      <c r="A4067" t="s">
        <v>9112</v>
      </c>
      <c r="B4067" t="s">
        <v>9113</v>
      </c>
      <c r="C4067" t="s">
        <v>9114</v>
      </c>
      <c r="D4067" t="s">
        <v>195</v>
      </c>
    </row>
    <row r="4068" spans="1:4" x14ac:dyDescent="0.2">
      <c r="A4068" t="s">
        <v>9115</v>
      </c>
      <c r="B4068" t="s">
        <v>9116</v>
      </c>
      <c r="C4068" t="s">
        <v>9117</v>
      </c>
      <c r="D4068" t="s">
        <v>187</v>
      </c>
    </row>
    <row r="4069" spans="1:4" x14ac:dyDescent="0.2">
      <c r="A4069" t="s">
        <v>9118</v>
      </c>
      <c r="B4069" t="s">
        <v>9119</v>
      </c>
      <c r="C4069" t="s">
        <v>9120</v>
      </c>
      <c r="D4069" t="s">
        <v>195</v>
      </c>
    </row>
    <row r="4070" spans="1:4" x14ac:dyDescent="0.2">
      <c r="A4070" t="s">
        <v>9121</v>
      </c>
      <c r="B4070" t="s">
        <v>9122</v>
      </c>
      <c r="C4070" t="s">
        <v>9123</v>
      </c>
      <c r="D4070" t="s">
        <v>195</v>
      </c>
    </row>
    <row r="4071" spans="1:4" x14ac:dyDescent="0.2">
      <c r="A4071" t="s">
        <v>9124</v>
      </c>
      <c r="B4071" t="s">
        <v>9125</v>
      </c>
      <c r="C4071" t="s">
        <v>190</v>
      </c>
      <c r="D4071" t="s">
        <v>191</v>
      </c>
    </row>
    <row r="4072" spans="1:4" x14ac:dyDescent="0.2">
      <c r="A4072" t="s">
        <v>9126</v>
      </c>
      <c r="B4072" t="s">
        <v>9127</v>
      </c>
      <c r="C4072" t="s">
        <v>190</v>
      </c>
      <c r="D4072" t="s">
        <v>191</v>
      </c>
    </row>
    <row r="4073" spans="1:4" x14ac:dyDescent="0.2">
      <c r="A4073" t="s">
        <v>9128</v>
      </c>
      <c r="B4073" t="s">
        <v>9129</v>
      </c>
      <c r="C4073" t="s">
        <v>190</v>
      </c>
      <c r="D4073" t="s">
        <v>191</v>
      </c>
    </row>
    <row r="4074" spans="1:4" x14ac:dyDescent="0.2">
      <c r="A4074" t="s">
        <v>9130</v>
      </c>
      <c r="B4074" t="s">
        <v>9131</v>
      </c>
      <c r="C4074" t="s">
        <v>190</v>
      </c>
      <c r="D4074" t="s">
        <v>191</v>
      </c>
    </row>
    <row r="4075" spans="1:4" x14ac:dyDescent="0.2">
      <c r="A4075" t="s">
        <v>9132</v>
      </c>
      <c r="B4075" t="s">
        <v>9133</v>
      </c>
      <c r="C4075" t="s">
        <v>190</v>
      </c>
      <c r="D4075" t="s">
        <v>191</v>
      </c>
    </row>
    <row r="4076" spans="1:4" x14ac:dyDescent="0.2">
      <c r="A4076" t="s">
        <v>9134</v>
      </c>
      <c r="B4076" t="s">
        <v>9135</v>
      </c>
      <c r="C4076" t="s">
        <v>9136</v>
      </c>
      <c r="D4076" t="s">
        <v>195</v>
      </c>
    </row>
    <row r="4077" spans="1:4" x14ac:dyDescent="0.2">
      <c r="A4077" t="s">
        <v>9137</v>
      </c>
      <c r="B4077" t="s">
        <v>9138</v>
      </c>
      <c r="C4077" t="s">
        <v>190</v>
      </c>
      <c r="D4077" t="s">
        <v>191</v>
      </c>
    </row>
    <row r="4078" spans="1:4" x14ac:dyDescent="0.2">
      <c r="A4078" t="s">
        <v>9139</v>
      </c>
      <c r="B4078" t="s">
        <v>9140</v>
      </c>
      <c r="C4078" t="s">
        <v>9141</v>
      </c>
      <c r="D4078" t="s">
        <v>187</v>
      </c>
    </row>
    <row r="4079" spans="1:4" x14ac:dyDescent="0.2">
      <c r="A4079" t="s">
        <v>9139</v>
      </c>
      <c r="B4079" t="s">
        <v>9142</v>
      </c>
      <c r="C4079" t="s">
        <v>190</v>
      </c>
      <c r="D4079" t="s">
        <v>191</v>
      </c>
    </row>
    <row r="4080" spans="1:4" x14ac:dyDescent="0.2">
      <c r="A4080" t="s">
        <v>9143</v>
      </c>
      <c r="B4080" t="s">
        <v>9144</v>
      </c>
      <c r="C4080" t="s">
        <v>9145</v>
      </c>
      <c r="D4080" t="s">
        <v>187</v>
      </c>
    </row>
    <row r="4081" spans="1:4" x14ac:dyDescent="0.2">
      <c r="A4081" t="s">
        <v>9146</v>
      </c>
      <c r="B4081" t="s">
        <v>9147</v>
      </c>
      <c r="C4081" t="s">
        <v>190</v>
      </c>
      <c r="D4081" t="s">
        <v>191</v>
      </c>
    </row>
    <row r="4082" spans="1:4" x14ac:dyDescent="0.2">
      <c r="A4082" t="s">
        <v>9148</v>
      </c>
      <c r="B4082" t="s">
        <v>9149</v>
      </c>
      <c r="C4082" t="s">
        <v>9150</v>
      </c>
      <c r="D4082" t="s">
        <v>187</v>
      </c>
    </row>
    <row r="4083" spans="1:4" x14ac:dyDescent="0.2">
      <c r="A4083" t="s">
        <v>9151</v>
      </c>
      <c r="B4083" t="s">
        <v>9152</v>
      </c>
      <c r="C4083" t="s">
        <v>9153</v>
      </c>
      <c r="D4083" t="s">
        <v>195</v>
      </c>
    </row>
    <row r="4084" spans="1:4" x14ac:dyDescent="0.2">
      <c r="A4084" t="s">
        <v>9154</v>
      </c>
      <c r="B4084" t="s">
        <v>9155</v>
      </c>
      <c r="C4084" t="s">
        <v>190</v>
      </c>
      <c r="D4084" t="s">
        <v>191</v>
      </c>
    </row>
    <row r="4085" spans="1:4" x14ac:dyDescent="0.2">
      <c r="A4085" t="s">
        <v>9156</v>
      </c>
      <c r="B4085" t="s">
        <v>9157</v>
      </c>
      <c r="C4085" t="s">
        <v>190</v>
      </c>
      <c r="D4085" t="s">
        <v>191</v>
      </c>
    </row>
    <row r="4086" spans="1:4" x14ac:dyDescent="0.2">
      <c r="A4086" t="s">
        <v>9158</v>
      </c>
      <c r="B4086" t="s">
        <v>9159</v>
      </c>
      <c r="C4086" t="s">
        <v>190</v>
      </c>
      <c r="D4086" t="s">
        <v>9160</v>
      </c>
    </row>
    <row r="4087" spans="1:4" x14ac:dyDescent="0.2">
      <c r="A4087" t="s">
        <v>9161</v>
      </c>
      <c r="B4087" t="s">
        <v>9162</v>
      </c>
      <c r="C4087" t="s">
        <v>190</v>
      </c>
      <c r="D4087" t="s">
        <v>191</v>
      </c>
    </row>
    <row r="4088" spans="1:4" x14ac:dyDescent="0.2">
      <c r="A4088" t="s">
        <v>9163</v>
      </c>
      <c r="B4088" t="s">
        <v>9164</v>
      </c>
      <c r="C4088" t="s">
        <v>190</v>
      </c>
      <c r="D4088" t="s">
        <v>191</v>
      </c>
    </row>
    <row r="4089" spans="1:4" x14ac:dyDescent="0.2">
      <c r="A4089" t="s">
        <v>9165</v>
      </c>
      <c r="B4089" t="s">
        <v>9166</v>
      </c>
      <c r="C4089" t="s">
        <v>190</v>
      </c>
      <c r="D4089" t="s">
        <v>191</v>
      </c>
    </row>
    <row r="4090" spans="1:4" x14ac:dyDescent="0.2">
      <c r="A4090" t="s">
        <v>9167</v>
      </c>
      <c r="B4090" t="s">
        <v>9168</v>
      </c>
      <c r="C4090" t="s">
        <v>190</v>
      </c>
      <c r="D4090" t="s">
        <v>191</v>
      </c>
    </row>
    <row r="4091" spans="1:4" x14ac:dyDescent="0.2">
      <c r="A4091" t="s">
        <v>9169</v>
      </c>
      <c r="B4091" t="s">
        <v>9170</v>
      </c>
      <c r="C4091" t="s">
        <v>190</v>
      </c>
      <c r="D4091" t="s">
        <v>191</v>
      </c>
    </row>
    <row r="4092" spans="1:4" x14ac:dyDescent="0.2">
      <c r="A4092" t="s">
        <v>9171</v>
      </c>
      <c r="B4092" t="s">
        <v>9172</v>
      </c>
      <c r="C4092" t="s">
        <v>190</v>
      </c>
      <c r="D4092" t="s">
        <v>191</v>
      </c>
    </row>
    <row r="4093" spans="1:4" x14ac:dyDescent="0.2">
      <c r="A4093" t="s">
        <v>9173</v>
      </c>
      <c r="B4093" t="s">
        <v>9174</v>
      </c>
      <c r="C4093" t="s">
        <v>9175</v>
      </c>
      <c r="D4093" t="s">
        <v>195</v>
      </c>
    </row>
    <row r="4094" spans="1:4" x14ac:dyDescent="0.2">
      <c r="A4094" t="s">
        <v>9176</v>
      </c>
      <c r="B4094" t="s">
        <v>9177</v>
      </c>
      <c r="C4094" t="s">
        <v>190</v>
      </c>
      <c r="D4094" t="s">
        <v>191</v>
      </c>
    </row>
    <row r="4095" spans="1:4" x14ac:dyDescent="0.2">
      <c r="A4095" t="s">
        <v>9178</v>
      </c>
      <c r="B4095" t="s">
        <v>9179</v>
      </c>
      <c r="C4095" t="s">
        <v>190</v>
      </c>
      <c r="D4095" t="s">
        <v>9180</v>
      </c>
    </row>
    <row r="4096" spans="1:4" x14ac:dyDescent="0.2">
      <c r="A4096" t="s">
        <v>9181</v>
      </c>
      <c r="B4096" t="s">
        <v>9182</v>
      </c>
      <c r="C4096" t="s">
        <v>9183</v>
      </c>
      <c r="D4096" t="s">
        <v>195</v>
      </c>
    </row>
    <row r="4097" spans="1:4" x14ac:dyDescent="0.2">
      <c r="A4097" t="s">
        <v>9184</v>
      </c>
      <c r="B4097" t="s">
        <v>9185</v>
      </c>
      <c r="C4097" t="s">
        <v>190</v>
      </c>
      <c r="D4097" t="s">
        <v>191</v>
      </c>
    </row>
    <row r="4098" spans="1:4" x14ac:dyDescent="0.2">
      <c r="A4098" t="s">
        <v>9186</v>
      </c>
      <c r="B4098" t="s">
        <v>9187</v>
      </c>
      <c r="C4098" t="s">
        <v>190</v>
      </c>
      <c r="D4098" t="s">
        <v>191</v>
      </c>
    </row>
    <row r="4099" spans="1:4" x14ac:dyDescent="0.2">
      <c r="A4099" t="s">
        <v>9186</v>
      </c>
      <c r="B4099" t="s">
        <v>9188</v>
      </c>
      <c r="C4099" t="s">
        <v>190</v>
      </c>
      <c r="D4099" t="s">
        <v>191</v>
      </c>
    </row>
    <row r="4100" spans="1:4" x14ac:dyDescent="0.2">
      <c r="A4100" t="s">
        <v>9189</v>
      </c>
      <c r="B4100" t="s">
        <v>9190</v>
      </c>
      <c r="C4100" t="s">
        <v>190</v>
      </c>
      <c r="D4100" t="s">
        <v>191</v>
      </c>
    </row>
    <row r="4101" spans="1:4" x14ac:dyDescent="0.2">
      <c r="A4101" t="s">
        <v>9191</v>
      </c>
      <c r="B4101" t="s">
        <v>9192</v>
      </c>
      <c r="C4101" t="s">
        <v>190</v>
      </c>
      <c r="D4101" t="s">
        <v>191</v>
      </c>
    </row>
    <row r="4102" spans="1:4" x14ac:dyDescent="0.2">
      <c r="A4102" t="s">
        <v>9193</v>
      </c>
      <c r="B4102" t="s">
        <v>9194</v>
      </c>
      <c r="C4102" t="s">
        <v>190</v>
      </c>
      <c r="D4102" t="s">
        <v>191</v>
      </c>
    </row>
    <row r="4103" spans="1:4" x14ac:dyDescent="0.2">
      <c r="A4103" t="s">
        <v>9195</v>
      </c>
      <c r="B4103" t="s">
        <v>9196</v>
      </c>
      <c r="C4103" t="s">
        <v>190</v>
      </c>
      <c r="D4103" t="s">
        <v>191</v>
      </c>
    </row>
    <row r="4104" spans="1:4" x14ac:dyDescent="0.2">
      <c r="A4104" t="s">
        <v>9197</v>
      </c>
      <c r="B4104" t="s">
        <v>9198</v>
      </c>
      <c r="C4104" t="s">
        <v>190</v>
      </c>
      <c r="D4104" t="s">
        <v>191</v>
      </c>
    </row>
    <row r="4105" spans="1:4" x14ac:dyDescent="0.2">
      <c r="A4105" t="s">
        <v>9199</v>
      </c>
      <c r="B4105" t="s">
        <v>9200</v>
      </c>
      <c r="C4105" t="s">
        <v>9201</v>
      </c>
      <c r="D4105" t="s">
        <v>195</v>
      </c>
    </row>
    <row r="4106" spans="1:4" x14ac:dyDescent="0.2">
      <c r="A4106" t="s">
        <v>9202</v>
      </c>
      <c r="B4106" t="s">
        <v>9203</v>
      </c>
      <c r="C4106" t="s">
        <v>190</v>
      </c>
      <c r="D4106" t="s">
        <v>280</v>
      </c>
    </row>
    <row r="4107" spans="1:4" x14ac:dyDescent="0.2">
      <c r="A4107" t="s">
        <v>9202</v>
      </c>
      <c r="B4107" t="s">
        <v>9204</v>
      </c>
      <c r="C4107" t="s">
        <v>190</v>
      </c>
      <c r="D4107" t="s">
        <v>9205</v>
      </c>
    </row>
    <row r="4108" spans="1:4" x14ac:dyDescent="0.2">
      <c r="A4108" t="s">
        <v>9206</v>
      </c>
      <c r="B4108" t="s">
        <v>9207</v>
      </c>
      <c r="C4108" t="s">
        <v>190</v>
      </c>
      <c r="D4108" t="s">
        <v>191</v>
      </c>
    </row>
    <row r="4109" spans="1:4" x14ac:dyDescent="0.2">
      <c r="A4109" t="s">
        <v>9208</v>
      </c>
      <c r="B4109" t="s">
        <v>9209</v>
      </c>
      <c r="C4109" t="s">
        <v>9210</v>
      </c>
      <c r="D4109" t="s">
        <v>195</v>
      </c>
    </row>
    <row r="4110" spans="1:4" x14ac:dyDescent="0.2">
      <c r="A4110" t="s">
        <v>9211</v>
      </c>
      <c r="B4110" t="s">
        <v>9212</v>
      </c>
      <c r="C4110" t="s">
        <v>9213</v>
      </c>
      <c r="D4110" t="s">
        <v>187</v>
      </c>
    </row>
    <row r="4111" spans="1:4" x14ac:dyDescent="0.2">
      <c r="A4111" t="s">
        <v>9214</v>
      </c>
      <c r="B4111" t="s">
        <v>9215</v>
      </c>
      <c r="C4111" t="s">
        <v>190</v>
      </c>
      <c r="D4111" t="s">
        <v>191</v>
      </c>
    </row>
    <row r="4112" spans="1:4" x14ac:dyDescent="0.2">
      <c r="A4112" t="s">
        <v>9216</v>
      </c>
      <c r="B4112" t="s">
        <v>9217</v>
      </c>
      <c r="C4112" t="s">
        <v>190</v>
      </c>
      <c r="D4112" t="s">
        <v>191</v>
      </c>
    </row>
    <row r="4113" spans="1:4" x14ac:dyDescent="0.2">
      <c r="A4113" t="s">
        <v>9218</v>
      </c>
      <c r="B4113" t="s">
        <v>9219</v>
      </c>
      <c r="C4113" t="s">
        <v>190</v>
      </c>
      <c r="D4113" t="s">
        <v>191</v>
      </c>
    </row>
    <row r="4114" spans="1:4" x14ac:dyDescent="0.2">
      <c r="A4114" t="s">
        <v>9220</v>
      </c>
      <c r="B4114" t="s">
        <v>9221</v>
      </c>
      <c r="C4114" t="s">
        <v>190</v>
      </c>
      <c r="D4114" t="s">
        <v>191</v>
      </c>
    </row>
    <row r="4115" spans="1:4" x14ac:dyDescent="0.2">
      <c r="A4115" t="s">
        <v>9222</v>
      </c>
      <c r="B4115" t="s">
        <v>9223</v>
      </c>
      <c r="C4115" t="s">
        <v>190</v>
      </c>
      <c r="D4115" t="s">
        <v>191</v>
      </c>
    </row>
    <row r="4116" spans="1:4" x14ac:dyDescent="0.2">
      <c r="A4116" t="s">
        <v>9224</v>
      </c>
      <c r="B4116" t="s">
        <v>9225</v>
      </c>
      <c r="C4116" t="s">
        <v>190</v>
      </c>
      <c r="D4116" t="s">
        <v>191</v>
      </c>
    </row>
    <row r="4117" spans="1:4" x14ac:dyDescent="0.2">
      <c r="A4117" t="s">
        <v>9226</v>
      </c>
      <c r="B4117" t="s">
        <v>9227</v>
      </c>
      <c r="C4117" t="s">
        <v>9228</v>
      </c>
      <c r="D4117" t="s">
        <v>195</v>
      </c>
    </row>
    <row r="4118" spans="1:4" x14ac:dyDescent="0.2">
      <c r="A4118" t="s">
        <v>9229</v>
      </c>
      <c r="B4118" t="s">
        <v>9230</v>
      </c>
      <c r="C4118" t="s">
        <v>9231</v>
      </c>
      <c r="D4118" t="s">
        <v>195</v>
      </c>
    </row>
    <row r="4119" spans="1:4" x14ac:dyDescent="0.2">
      <c r="A4119" t="s">
        <v>9232</v>
      </c>
      <c r="B4119" t="s">
        <v>9233</v>
      </c>
      <c r="C4119" t="s">
        <v>190</v>
      </c>
      <c r="D4119" t="s">
        <v>191</v>
      </c>
    </row>
    <row r="4120" spans="1:4" x14ac:dyDescent="0.2">
      <c r="A4120" t="s">
        <v>9234</v>
      </c>
      <c r="B4120" t="s">
        <v>9235</v>
      </c>
      <c r="C4120" t="s">
        <v>9236</v>
      </c>
      <c r="D4120" t="s">
        <v>195</v>
      </c>
    </row>
    <row r="4121" spans="1:4" x14ac:dyDescent="0.2">
      <c r="A4121" t="s">
        <v>9237</v>
      </c>
      <c r="B4121" t="s">
        <v>9238</v>
      </c>
      <c r="C4121" t="s">
        <v>190</v>
      </c>
      <c r="D4121" t="s">
        <v>191</v>
      </c>
    </row>
    <row r="4122" spans="1:4" x14ac:dyDescent="0.2">
      <c r="A4122" t="s">
        <v>9239</v>
      </c>
      <c r="B4122" t="s">
        <v>9240</v>
      </c>
      <c r="C4122" t="s">
        <v>190</v>
      </c>
      <c r="D4122" t="s">
        <v>191</v>
      </c>
    </row>
    <row r="4123" spans="1:4" x14ac:dyDescent="0.2">
      <c r="A4123" t="s">
        <v>9241</v>
      </c>
      <c r="B4123" t="s">
        <v>9242</v>
      </c>
      <c r="C4123" t="s">
        <v>190</v>
      </c>
      <c r="D4123" t="s">
        <v>191</v>
      </c>
    </row>
    <row r="4124" spans="1:4" x14ac:dyDescent="0.2">
      <c r="A4124" t="s">
        <v>9243</v>
      </c>
      <c r="B4124" t="s">
        <v>9244</v>
      </c>
      <c r="C4124" t="s">
        <v>190</v>
      </c>
      <c r="D4124" t="s">
        <v>191</v>
      </c>
    </row>
    <row r="4125" spans="1:4" x14ac:dyDescent="0.2">
      <c r="A4125" t="s">
        <v>9245</v>
      </c>
      <c r="B4125" t="s">
        <v>9246</v>
      </c>
      <c r="C4125" t="s">
        <v>9247</v>
      </c>
      <c r="D4125" t="s">
        <v>195</v>
      </c>
    </row>
    <row r="4126" spans="1:4" x14ac:dyDescent="0.2">
      <c r="A4126" t="s">
        <v>9248</v>
      </c>
      <c r="B4126" t="s">
        <v>9249</v>
      </c>
      <c r="C4126" t="s">
        <v>190</v>
      </c>
      <c r="D4126" t="s">
        <v>191</v>
      </c>
    </row>
    <row r="4127" spans="1:4" x14ac:dyDescent="0.2">
      <c r="A4127" t="s">
        <v>9250</v>
      </c>
      <c r="B4127" t="s">
        <v>9251</v>
      </c>
      <c r="C4127" t="s">
        <v>190</v>
      </c>
      <c r="D4127" t="s">
        <v>191</v>
      </c>
    </row>
    <row r="4128" spans="1:4" x14ac:dyDescent="0.2">
      <c r="A4128" t="s">
        <v>9252</v>
      </c>
      <c r="B4128" t="s">
        <v>9253</v>
      </c>
      <c r="C4128" t="s">
        <v>190</v>
      </c>
      <c r="D4128" t="s">
        <v>191</v>
      </c>
    </row>
    <row r="4129" spans="1:4" x14ac:dyDescent="0.2">
      <c r="A4129" t="s">
        <v>9254</v>
      </c>
      <c r="B4129" t="s">
        <v>9255</v>
      </c>
      <c r="C4129" t="s">
        <v>9256</v>
      </c>
      <c r="D4129" t="s">
        <v>195</v>
      </c>
    </row>
    <row r="4130" spans="1:4" x14ac:dyDescent="0.2">
      <c r="A4130" t="s">
        <v>9257</v>
      </c>
      <c r="B4130" t="s">
        <v>9258</v>
      </c>
      <c r="C4130" t="s">
        <v>190</v>
      </c>
      <c r="D4130" t="s">
        <v>191</v>
      </c>
    </row>
    <row r="4131" spans="1:4" x14ac:dyDescent="0.2">
      <c r="A4131" t="s">
        <v>9259</v>
      </c>
      <c r="B4131" t="s">
        <v>9260</v>
      </c>
      <c r="C4131" t="s">
        <v>9261</v>
      </c>
      <c r="D4131" t="s">
        <v>195</v>
      </c>
    </row>
    <row r="4132" spans="1:4" x14ac:dyDescent="0.2">
      <c r="A4132" t="s">
        <v>9262</v>
      </c>
      <c r="B4132" t="s">
        <v>9263</v>
      </c>
      <c r="C4132" t="s">
        <v>190</v>
      </c>
      <c r="D4132" t="s">
        <v>191</v>
      </c>
    </row>
    <row r="4133" spans="1:4" x14ac:dyDescent="0.2">
      <c r="A4133" t="s">
        <v>9262</v>
      </c>
      <c r="B4133" t="s">
        <v>9264</v>
      </c>
      <c r="C4133" t="s">
        <v>190</v>
      </c>
      <c r="D4133" t="s">
        <v>280</v>
      </c>
    </row>
    <row r="4134" spans="1:4" x14ac:dyDescent="0.2">
      <c r="A4134" t="s">
        <v>9262</v>
      </c>
      <c r="B4134" t="s">
        <v>9265</v>
      </c>
      <c r="C4134" t="s">
        <v>190</v>
      </c>
      <c r="D4134" t="s">
        <v>280</v>
      </c>
    </row>
    <row r="4135" spans="1:4" x14ac:dyDescent="0.2">
      <c r="A4135" t="s">
        <v>9262</v>
      </c>
      <c r="B4135" t="s">
        <v>9266</v>
      </c>
      <c r="C4135" t="s">
        <v>190</v>
      </c>
      <c r="D4135" t="s">
        <v>9267</v>
      </c>
    </row>
    <row r="4136" spans="1:4" x14ac:dyDescent="0.2">
      <c r="A4136" t="s">
        <v>9262</v>
      </c>
      <c r="B4136" t="s">
        <v>9268</v>
      </c>
      <c r="C4136" t="s">
        <v>190</v>
      </c>
      <c r="D4136" t="s">
        <v>280</v>
      </c>
    </row>
    <row r="4137" spans="1:4" x14ac:dyDescent="0.2">
      <c r="A4137" t="s">
        <v>9262</v>
      </c>
      <c r="B4137" t="s">
        <v>9269</v>
      </c>
      <c r="C4137" t="s">
        <v>190</v>
      </c>
      <c r="D4137" t="s">
        <v>280</v>
      </c>
    </row>
    <row r="4138" spans="1:4" x14ac:dyDescent="0.2">
      <c r="A4138" t="s">
        <v>9270</v>
      </c>
      <c r="B4138" t="s">
        <v>9266</v>
      </c>
      <c r="C4138" t="s">
        <v>190</v>
      </c>
      <c r="D4138" t="s">
        <v>191</v>
      </c>
    </row>
    <row r="4139" spans="1:4" x14ac:dyDescent="0.2">
      <c r="A4139" t="s">
        <v>9271</v>
      </c>
      <c r="B4139" t="s">
        <v>9272</v>
      </c>
      <c r="C4139" t="s">
        <v>9273</v>
      </c>
      <c r="D4139" t="s">
        <v>195</v>
      </c>
    </row>
    <row r="4140" spans="1:4" x14ac:dyDescent="0.2">
      <c r="A4140" t="s">
        <v>9274</v>
      </c>
      <c r="B4140" t="s">
        <v>9275</v>
      </c>
      <c r="C4140" t="s">
        <v>190</v>
      </c>
      <c r="D4140" t="s">
        <v>191</v>
      </c>
    </row>
    <row r="4141" spans="1:4" x14ac:dyDescent="0.2">
      <c r="A4141" t="s">
        <v>9276</v>
      </c>
      <c r="B4141" t="s">
        <v>9277</v>
      </c>
      <c r="C4141" t="s">
        <v>190</v>
      </c>
      <c r="D4141" t="s">
        <v>191</v>
      </c>
    </row>
    <row r="4142" spans="1:4" x14ac:dyDescent="0.2">
      <c r="A4142" t="s">
        <v>9278</v>
      </c>
      <c r="B4142" t="s">
        <v>9279</v>
      </c>
      <c r="C4142" t="s">
        <v>9280</v>
      </c>
      <c r="D4142" t="s">
        <v>187</v>
      </c>
    </row>
    <row r="4143" spans="1:4" x14ac:dyDescent="0.2">
      <c r="A4143" t="s">
        <v>9281</v>
      </c>
      <c r="B4143" t="s">
        <v>9282</v>
      </c>
      <c r="C4143" t="s">
        <v>9283</v>
      </c>
      <c r="D4143" t="s">
        <v>195</v>
      </c>
    </row>
    <row r="4144" spans="1:4" x14ac:dyDescent="0.2">
      <c r="A4144" t="s">
        <v>9284</v>
      </c>
      <c r="B4144" t="s">
        <v>9285</v>
      </c>
      <c r="C4144" t="s">
        <v>190</v>
      </c>
      <c r="D4144" t="s">
        <v>191</v>
      </c>
    </row>
    <row r="4145" spans="1:4" x14ac:dyDescent="0.2">
      <c r="A4145" t="s">
        <v>9284</v>
      </c>
      <c r="B4145" t="s">
        <v>9286</v>
      </c>
      <c r="C4145" t="s">
        <v>190</v>
      </c>
      <c r="D4145" t="s">
        <v>9287</v>
      </c>
    </row>
    <row r="4146" spans="1:4" x14ac:dyDescent="0.2">
      <c r="A4146" t="s">
        <v>9284</v>
      </c>
      <c r="B4146" t="s">
        <v>9288</v>
      </c>
      <c r="C4146" t="s">
        <v>190</v>
      </c>
      <c r="D4146" t="s">
        <v>191</v>
      </c>
    </row>
    <row r="4147" spans="1:4" x14ac:dyDescent="0.2">
      <c r="A4147" t="s">
        <v>9284</v>
      </c>
      <c r="B4147" t="s">
        <v>9289</v>
      </c>
      <c r="C4147" t="s">
        <v>190</v>
      </c>
      <c r="D4147" t="s">
        <v>191</v>
      </c>
    </row>
    <row r="4148" spans="1:4" x14ac:dyDescent="0.2">
      <c r="A4148" t="s">
        <v>9284</v>
      </c>
      <c r="B4148" t="s">
        <v>9290</v>
      </c>
      <c r="C4148" t="s">
        <v>190</v>
      </c>
      <c r="D4148" t="s">
        <v>9287</v>
      </c>
    </row>
    <row r="4149" spans="1:4" x14ac:dyDescent="0.2">
      <c r="A4149" t="s">
        <v>9291</v>
      </c>
      <c r="B4149" t="s">
        <v>9292</v>
      </c>
      <c r="C4149" t="s">
        <v>9293</v>
      </c>
      <c r="D4149" t="s">
        <v>187</v>
      </c>
    </row>
    <row r="4150" spans="1:4" x14ac:dyDescent="0.2">
      <c r="A4150" t="s">
        <v>9294</v>
      </c>
      <c r="B4150" t="s">
        <v>9295</v>
      </c>
      <c r="C4150" t="s">
        <v>9296</v>
      </c>
      <c r="D4150" t="s">
        <v>187</v>
      </c>
    </row>
    <row r="4151" spans="1:4" x14ac:dyDescent="0.2">
      <c r="A4151" t="s">
        <v>9297</v>
      </c>
      <c r="B4151" t="s">
        <v>9298</v>
      </c>
      <c r="C4151" t="s">
        <v>190</v>
      </c>
      <c r="D4151" t="s">
        <v>191</v>
      </c>
    </row>
    <row r="4152" spans="1:4" x14ac:dyDescent="0.2">
      <c r="A4152" t="s">
        <v>9299</v>
      </c>
      <c r="B4152" t="s">
        <v>9300</v>
      </c>
      <c r="C4152" t="s">
        <v>190</v>
      </c>
      <c r="D4152" t="s">
        <v>191</v>
      </c>
    </row>
    <row r="4153" spans="1:4" x14ac:dyDescent="0.2">
      <c r="A4153" t="s">
        <v>9301</v>
      </c>
      <c r="B4153" t="s">
        <v>9302</v>
      </c>
      <c r="C4153" t="s">
        <v>190</v>
      </c>
      <c r="D4153" t="s">
        <v>191</v>
      </c>
    </row>
    <row r="4154" spans="1:4" x14ac:dyDescent="0.2">
      <c r="A4154" t="s">
        <v>9303</v>
      </c>
      <c r="B4154" t="s">
        <v>9304</v>
      </c>
      <c r="C4154" t="s">
        <v>190</v>
      </c>
      <c r="D4154" t="s">
        <v>191</v>
      </c>
    </row>
    <row r="4155" spans="1:4" x14ac:dyDescent="0.2">
      <c r="A4155" t="s">
        <v>9305</v>
      </c>
      <c r="B4155" t="s">
        <v>9306</v>
      </c>
      <c r="C4155" t="s">
        <v>9307</v>
      </c>
      <c r="D4155" t="s">
        <v>187</v>
      </c>
    </row>
    <row r="4156" spans="1:4" x14ac:dyDescent="0.2">
      <c r="A4156" t="s">
        <v>9308</v>
      </c>
      <c r="B4156" t="s">
        <v>9309</v>
      </c>
      <c r="C4156" t="s">
        <v>9310</v>
      </c>
      <c r="D4156" t="s">
        <v>187</v>
      </c>
    </row>
    <row r="4157" spans="1:4" x14ac:dyDescent="0.2">
      <c r="A4157" t="s">
        <v>9311</v>
      </c>
      <c r="B4157" t="s">
        <v>9312</v>
      </c>
      <c r="C4157" t="s">
        <v>190</v>
      </c>
      <c r="D4157" t="s">
        <v>191</v>
      </c>
    </row>
    <row r="4158" spans="1:4" x14ac:dyDescent="0.2">
      <c r="A4158" t="s">
        <v>9313</v>
      </c>
      <c r="B4158" t="s">
        <v>9314</v>
      </c>
      <c r="C4158" t="s">
        <v>190</v>
      </c>
      <c r="D4158" t="s">
        <v>191</v>
      </c>
    </row>
    <row r="4159" spans="1:4" x14ac:dyDescent="0.2">
      <c r="A4159" t="s">
        <v>9315</v>
      </c>
      <c r="B4159" t="s">
        <v>9316</v>
      </c>
      <c r="C4159" t="s">
        <v>190</v>
      </c>
      <c r="D4159" t="s">
        <v>191</v>
      </c>
    </row>
    <row r="4160" spans="1:4" x14ac:dyDescent="0.2">
      <c r="A4160" t="s">
        <v>9317</v>
      </c>
      <c r="B4160" t="s">
        <v>9318</v>
      </c>
      <c r="C4160" t="s">
        <v>190</v>
      </c>
      <c r="D4160" t="s">
        <v>191</v>
      </c>
    </row>
    <row r="4161" spans="1:4" x14ac:dyDescent="0.2">
      <c r="A4161" t="s">
        <v>9319</v>
      </c>
      <c r="B4161" t="s">
        <v>9320</v>
      </c>
      <c r="C4161" t="s">
        <v>190</v>
      </c>
      <c r="D4161" t="s">
        <v>191</v>
      </c>
    </row>
    <row r="4162" spans="1:4" x14ac:dyDescent="0.2">
      <c r="A4162" t="s">
        <v>9321</v>
      </c>
      <c r="B4162" t="s">
        <v>9322</v>
      </c>
      <c r="C4162" t="s">
        <v>190</v>
      </c>
      <c r="D4162" t="s">
        <v>191</v>
      </c>
    </row>
    <row r="4163" spans="1:4" x14ac:dyDescent="0.2">
      <c r="A4163" t="s">
        <v>9321</v>
      </c>
      <c r="B4163" t="s">
        <v>9323</v>
      </c>
      <c r="C4163" t="s">
        <v>190</v>
      </c>
      <c r="D4163" t="s">
        <v>191</v>
      </c>
    </row>
    <row r="4164" spans="1:4" x14ac:dyDescent="0.2">
      <c r="A4164" t="s">
        <v>9324</v>
      </c>
      <c r="B4164" t="s">
        <v>9325</v>
      </c>
      <c r="C4164" t="s">
        <v>9326</v>
      </c>
      <c r="D4164" t="s">
        <v>195</v>
      </c>
    </row>
    <row r="4165" spans="1:4" x14ac:dyDescent="0.2">
      <c r="A4165" t="s">
        <v>9327</v>
      </c>
      <c r="B4165" t="s">
        <v>9328</v>
      </c>
      <c r="C4165" t="s">
        <v>190</v>
      </c>
      <c r="D4165" t="s">
        <v>191</v>
      </c>
    </row>
    <row r="4166" spans="1:4" x14ac:dyDescent="0.2">
      <c r="A4166" t="s">
        <v>9329</v>
      </c>
      <c r="B4166" t="s">
        <v>9330</v>
      </c>
      <c r="C4166" t="s">
        <v>190</v>
      </c>
      <c r="D4166" t="s">
        <v>191</v>
      </c>
    </row>
    <row r="4167" spans="1:4" x14ac:dyDescent="0.2">
      <c r="A4167" t="s">
        <v>9331</v>
      </c>
      <c r="B4167" t="s">
        <v>9332</v>
      </c>
      <c r="C4167" t="s">
        <v>9333</v>
      </c>
      <c r="D4167" t="s">
        <v>195</v>
      </c>
    </row>
    <row r="4168" spans="1:4" x14ac:dyDescent="0.2">
      <c r="A4168" t="s">
        <v>9334</v>
      </c>
      <c r="B4168" t="s">
        <v>9335</v>
      </c>
      <c r="C4168" t="s">
        <v>190</v>
      </c>
      <c r="D4168" t="s">
        <v>191</v>
      </c>
    </row>
    <row r="4169" spans="1:4" x14ac:dyDescent="0.2">
      <c r="A4169" t="s">
        <v>9336</v>
      </c>
      <c r="B4169" t="s">
        <v>9337</v>
      </c>
      <c r="C4169" t="s">
        <v>190</v>
      </c>
      <c r="D4169" t="s">
        <v>191</v>
      </c>
    </row>
    <row r="4170" spans="1:4" x14ac:dyDescent="0.2">
      <c r="A4170" t="s">
        <v>9338</v>
      </c>
      <c r="B4170" t="s">
        <v>9339</v>
      </c>
      <c r="C4170" t="s">
        <v>9340</v>
      </c>
      <c r="D4170" t="s">
        <v>187</v>
      </c>
    </row>
    <row r="4171" spans="1:4" x14ac:dyDescent="0.2">
      <c r="A4171" t="s">
        <v>9341</v>
      </c>
      <c r="B4171" t="s">
        <v>9342</v>
      </c>
      <c r="C4171" t="s">
        <v>9343</v>
      </c>
      <c r="D4171" t="s">
        <v>195</v>
      </c>
    </row>
    <row r="4172" spans="1:4" x14ac:dyDescent="0.2">
      <c r="A4172" t="s">
        <v>9344</v>
      </c>
      <c r="B4172" t="s">
        <v>9345</v>
      </c>
      <c r="C4172" t="s">
        <v>190</v>
      </c>
      <c r="D4172" t="s">
        <v>191</v>
      </c>
    </row>
    <row r="4173" spans="1:4" x14ac:dyDescent="0.2">
      <c r="A4173" t="s">
        <v>9346</v>
      </c>
      <c r="B4173" t="s">
        <v>9347</v>
      </c>
      <c r="C4173" t="s">
        <v>190</v>
      </c>
      <c r="D4173" t="s">
        <v>9348</v>
      </c>
    </row>
    <row r="4174" spans="1:4" x14ac:dyDescent="0.2">
      <c r="A4174" t="s">
        <v>9346</v>
      </c>
      <c r="B4174" t="s">
        <v>9349</v>
      </c>
      <c r="C4174" t="s">
        <v>190</v>
      </c>
      <c r="D4174" t="s">
        <v>9348</v>
      </c>
    </row>
    <row r="4175" spans="1:4" x14ac:dyDescent="0.2">
      <c r="A4175" t="s">
        <v>9346</v>
      </c>
      <c r="B4175" t="s">
        <v>9350</v>
      </c>
      <c r="C4175" t="s">
        <v>9351</v>
      </c>
      <c r="D4175" t="s">
        <v>187</v>
      </c>
    </row>
    <row r="4176" spans="1:4" x14ac:dyDescent="0.2">
      <c r="A4176" t="s">
        <v>9346</v>
      </c>
      <c r="B4176" t="s">
        <v>9352</v>
      </c>
      <c r="C4176" t="s">
        <v>9353</v>
      </c>
      <c r="D4176" t="s">
        <v>187</v>
      </c>
    </row>
    <row r="4177" spans="1:4" x14ac:dyDescent="0.2">
      <c r="A4177" t="s">
        <v>9346</v>
      </c>
      <c r="B4177" t="s">
        <v>9354</v>
      </c>
      <c r="C4177" t="s">
        <v>190</v>
      </c>
      <c r="D4177" t="s">
        <v>191</v>
      </c>
    </row>
    <row r="4178" spans="1:4" x14ac:dyDescent="0.2">
      <c r="A4178" t="s">
        <v>9355</v>
      </c>
      <c r="B4178" t="s">
        <v>9356</v>
      </c>
      <c r="C4178" t="s">
        <v>190</v>
      </c>
      <c r="D4178" t="s">
        <v>191</v>
      </c>
    </row>
    <row r="4179" spans="1:4" x14ac:dyDescent="0.2">
      <c r="A4179" t="s">
        <v>9357</v>
      </c>
      <c r="B4179" t="s">
        <v>9358</v>
      </c>
      <c r="C4179" t="s">
        <v>9359</v>
      </c>
      <c r="D4179" t="s">
        <v>187</v>
      </c>
    </row>
    <row r="4180" spans="1:4" x14ac:dyDescent="0.2">
      <c r="A4180" t="s">
        <v>9360</v>
      </c>
      <c r="B4180" t="s">
        <v>9361</v>
      </c>
      <c r="C4180" t="s">
        <v>190</v>
      </c>
      <c r="D4180" t="s">
        <v>191</v>
      </c>
    </row>
    <row r="4181" spans="1:4" x14ac:dyDescent="0.2">
      <c r="A4181" t="s">
        <v>9362</v>
      </c>
      <c r="B4181" t="s">
        <v>9363</v>
      </c>
      <c r="C4181" t="s">
        <v>190</v>
      </c>
      <c r="D4181" t="s">
        <v>191</v>
      </c>
    </row>
    <row r="4182" spans="1:4" x14ac:dyDescent="0.2">
      <c r="A4182" t="s">
        <v>9364</v>
      </c>
      <c r="B4182" t="s">
        <v>9365</v>
      </c>
      <c r="C4182" t="s">
        <v>190</v>
      </c>
      <c r="D4182" t="s">
        <v>191</v>
      </c>
    </row>
    <row r="4183" spans="1:4" x14ac:dyDescent="0.2">
      <c r="A4183" t="s">
        <v>9366</v>
      </c>
      <c r="B4183" t="s">
        <v>9367</v>
      </c>
      <c r="C4183" t="s">
        <v>190</v>
      </c>
      <c r="D4183" t="s">
        <v>191</v>
      </c>
    </row>
    <row r="4184" spans="1:4" x14ac:dyDescent="0.2">
      <c r="A4184" t="s">
        <v>9368</v>
      </c>
      <c r="B4184" t="s">
        <v>9369</v>
      </c>
      <c r="C4184" t="s">
        <v>190</v>
      </c>
      <c r="D4184" t="s">
        <v>9370</v>
      </c>
    </row>
    <row r="4185" spans="1:4" x14ac:dyDescent="0.2">
      <c r="A4185" t="s">
        <v>9371</v>
      </c>
      <c r="B4185" t="s">
        <v>9372</v>
      </c>
      <c r="C4185" t="s">
        <v>9373</v>
      </c>
      <c r="D4185" t="s">
        <v>187</v>
      </c>
    </row>
    <row r="4186" spans="1:4" x14ac:dyDescent="0.2">
      <c r="A4186" t="s">
        <v>9374</v>
      </c>
      <c r="B4186" t="s">
        <v>9375</v>
      </c>
      <c r="C4186" t="s">
        <v>190</v>
      </c>
      <c r="D4186" t="s">
        <v>191</v>
      </c>
    </row>
    <row r="4187" spans="1:4" x14ac:dyDescent="0.2">
      <c r="A4187" t="s">
        <v>9376</v>
      </c>
      <c r="B4187" t="s">
        <v>9377</v>
      </c>
      <c r="C4187" t="s">
        <v>190</v>
      </c>
      <c r="D4187" t="s">
        <v>191</v>
      </c>
    </row>
    <row r="4188" spans="1:4" x14ac:dyDescent="0.2">
      <c r="A4188" t="s">
        <v>9378</v>
      </c>
      <c r="B4188" t="s">
        <v>9379</v>
      </c>
      <c r="C4188" t="s">
        <v>9380</v>
      </c>
      <c r="D4188" t="s">
        <v>187</v>
      </c>
    </row>
    <row r="4189" spans="1:4" x14ac:dyDescent="0.2">
      <c r="A4189" t="s">
        <v>9378</v>
      </c>
      <c r="B4189" t="s">
        <v>9381</v>
      </c>
      <c r="C4189" t="s">
        <v>9382</v>
      </c>
      <c r="D4189" t="s">
        <v>195</v>
      </c>
    </row>
    <row r="4190" spans="1:4" x14ac:dyDescent="0.2">
      <c r="A4190" t="s">
        <v>9378</v>
      </c>
      <c r="B4190" t="s">
        <v>9383</v>
      </c>
      <c r="C4190" t="s">
        <v>9384</v>
      </c>
      <c r="D4190" t="s">
        <v>195</v>
      </c>
    </row>
    <row r="4191" spans="1:4" x14ac:dyDescent="0.2">
      <c r="A4191" t="s">
        <v>9385</v>
      </c>
      <c r="B4191" t="s">
        <v>9386</v>
      </c>
      <c r="C4191" t="s">
        <v>190</v>
      </c>
      <c r="D4191" t="s">
        <v>191</v>
      </c>
    </row>
    <row r="4192" spans="1:4" x14ac:dyDescent="0.2">
      <c r="A4192" t="s">
        <v>9387</v>
      </c>
      <c r="B4192" t="s">
        <v>9388</v>
      </c>
      <c r="C4192" t="s">
        <v>190</v>
      </c>
      <c r="D4192" t="s">
        <v>191</v>
      </c>
    </row>
    <row r="4193" spans="1:4" x14ac:dyDescent="0.2">
      <c r="A4193" t="s">
        <v>9389</v>
      </c>
      <c r="B4193" t="s">
        <v>9390</v>
      </c>
      <c r="C4193" t="s">
        <v>190</v>
      </c>
      <c r="D4193" t="s">
        <v>9391</v>
      </c>
    </row>
    <row r="4194" spans="1:4" x14ac:dyDescent="0.2">
      <c r="A4194" t="s">
        <v>9392</v>
      </c>
      <c r="B4194" t="s">
        <v>9393</v>
      </c>
      <c r="C4194" t="s">
        <v>190</v>
      </c>
      <c r="D4194" t="s">
        <v>9394</v>
      </c>
    </row>
    <row r="4195" spans="1:4" x14ac:dyDescent="0.2">
      <c r="A4195" t="s">
        <v>9392</v>
      </c>
      <c r="B4195" t="s">
        <v>9395</v>
      </c>
      <c r="C4195" t="s">
        <v>190</v>
      </c>
      <c r="D4195" t="s">
        <v>191</v>
      </c>
    </row>
    <row r="4196" spans="1:4" x14ac:dyDescent="0.2">
      <c r="A4196" t="s">
        <v>9396</v>
      </c>
      <c r="B4196" t="s">
        <v>9397</v>
      </c>
      <c r="C4196" t="s">
        <v>190</v>
      </c>
      <c r="D4196" t="s">
        <v>191</v>
      </c>
    </row>
    <row r="4197" spans="1:4" x14ac:dyDescent="0.2">
      <c r="A4197" t="s">
        <v>9398</v>
      </c>
      <c r="B4197" t="s">
        <v>9399</v>
      </c>
      <c r="C4197" t="s">
        <v>190</v>
      </c>
      <c r="D4197" t="s">
        <v>191</v>
      </c>
    </row>
    <row r="4198" spans="1:4" x14ac:dyDescent="0.2">
      <c r="A4198" t="s">
        <v>9400</v>
      </c>
      <c r="B4198" t="s">
        <v>9401</v>
      </c>
      <c r="C4198" t="s">
        <v>190</v>
      </c>
      <c r="D4198" t="s">
        <v>191</v>
      </c>
    </row>
    <row r="4199" spans="1:4" x14ac:dyDescent="0.2">
      <c r="A4199" t="s">
        <v>9402</v>
      </c>
      <c r="B4199" t="s">
        <v>9403</v>
      </c>
      <c r="C4199" t="s">
        <v>9404</v>
      </c>
      <c r="D4199" t="s">
        <v>187</v>
      </c>
    </row>
    <row r="4200" spans="1:4" x14ac:dyDescent="0.2">
      <c r="A4200" t="s">
        <v>9405</v>
      </c>
      <c r="B4200" t="s">
        <v>9390</v>
      </c>
      <c r="C4200" t="s">
        <v>190</v>
      </c>
      <c r="D4200" t="s">
        <v>191</v>
      </c>
    </row>
    <row r="4201" spans="1:4" x14ac:dyDescent="0.2">
      <c r="A4201" t="s">
        <v>9405</v>
      </c>
      <c r="B4201" t="s">
        <v>9406</v>
      </c>
      <c r="C4201" t="s">
        <v>190</v>
      </c>
      <c r="D4201" t="s">
        <v>191</v>
      </c>
    </row>
    <row r="4202" spans="1:4" x14ac:dyDescent="0.2">
      <c r="A4202" t="s">
        <v>9405</v>
      </c>
      <c r="B4202" t="s">
        <v>9407</v>
      </c>
      <c r="C4202" t="s">
        <v>190</v>
      </c>
      <c r="D4202" t="s">
        <v>9408</v>
      </c>
    </row>
    <row r="4203" spans="1:4" x14ac:dyDescent="0.2">
      <c r="A4203" t="s">
        <v>9405</v>
      </c>
      <c r="B4203" t="s">
        <v>9409</v>
      </c>
      <c r="C4203" t="s">
        <v>190</v>
      </c>
      <c r="D4203" t="s">
        <v>9410</v>
      </c>
    </row>
    <row r="4204" spans="1:4" x14ac:dyDescent="0.2">
      <c r="A4204" t="s">
        <v>9411</v>
      </c>
      <c r="B4204" t="s">
        <v>9412</v>
      </c>
      <c r="C4204" t="s">
        <v>190</v>
      </c>
      <c r="D4204" t="s">
        <v>280</v>
      </c>
    </row>
    <row r="4205" spans="1:4" x14ac:dyDescent="0.2">
      <c r="A4205" t="s">
        <v>9411</v>
      </c>
      <c r="B4205" t="s">
        <v>9413</v>
      </c>
      <c r="C4205" t="s">
        <v>190</v>
      </c>
      <c r="D4205" t="s">
        <v>191</v>
      </c>
    </row>
    <row r="4206" spans="1:4" x14ac:dyDescent="0.2">
      <c r="A4206" t="s">
        <v>9414</v>
      </c>
      <c r="B4206" t="s">
        <v>9415</v>
      </c>
      <c r="C4206" t="s">
        <v>190</v>
      </c>
      <c r="D4206" t="s">
        <v>191</v>
      </c>
    </row>
    <row r="4207" spans="1:4" x14ac:dyDescent="0.2">
      <c r="A4207" t="s">
        <v>9416</v>
      </c>
      <c r="B4207" t="s">
        <v>9417</v>
      </c>
      <c r="C4207" t="s">
        <v>190</v>
      </c>
      <c r="D4207" t="s">
        <v>191</v>
      </c>
    </row>
    <row r="4208" spans="1:4" x14ac:dyDescent="0.2">
      <c r="A4208" t="s">
        <v>9416</v>
      </c>
      <c r="B4208" t="s">
        <v>9418</v>
      </c>
      <c r="C4208" t="s">
        <v>190</v>
      </c>
      <c r="D4208" t="s">
        <v>191</v>
      </c>
    </row>
    <row r="4209" spans="1:4" x14ac:dyDescent="0.2">
      <c r="A4209" t="s">
        <v>9416</v>
      </c>
      <c r="B4209" t="s">
        <v>9419</v>
      </c>
      <c r="C4209" t="s">
        <v>190</v>
      </c>
      <c r="D4209" t="s">
        <v>191</v>
      </c>
    </row>
    <row r="4210" spans="1:4" x14ac:dyDescent="0.2">
      <c r="A4210" t="s">
        <v>9416</v>
      </c>
      <c r="B4210" t="s">
        <v>9420</v>
      </c>
      <c r="C4210" t="s">
        <v>190</v>
      </c>
      <c r="D4210" t="s">
        <v>9421</v>
      </c>
    </row>
    <row r="4211" spans="1:4" x14ac:dyDescent="0.2">
      <c r="A4211" t="s">
        <v>9416</v>
      </c>
      <c r="B4211" t="s">
        <v>9422</v>
      </c>
      <c r="C4211" t="s">
        <v>190</v>
      </c>
      <c r="D4211" t="s">
        <v>191</v>
      </c>
    </row>
    <row r="4212" spans="1:4" x14ac:dyDescent="0.2">
      <c r="A4212" t="s">
        <v>9416</v>
      </c>
      <c r="B4212" t="s">
        <v>9423</v>
      </c>
      <c r="C4212" t="s">
        <v>190</v>
      </c>
      <c r="D4212" t="s">
        <v>9421</v>
      </c>
    </row>
    <row r="4213" spans="1:4" x14ac:dyDescent="0.2">
      <c r="A4213" t="s">
        <v>9424</v>
      </c>
      <c r="B4213" t="s">
        <v>9418</v>
      </c>
      <c r="C4213" t="s">
        <v>190</v>
      </c>
      <c r="D4213" t="s">
        <v>9425</v>
      </c>
    </row>
    <row r="4214" spans="1:4" x14ac:dyDescent="0.2">
      <c r="A4214" t="s">
        <v>9424</v>
      </c>
      <c r="B4214" t="s">
        <v>9419</v>
      </c>
      <c r="C4214" t="s">
        <v>190</v>
      </c>
      <c r="D4214" t="s">
        <v>9425</v>
      </c>
    </row>
    <row r="4215" spans="1:4" x14ac:dyDescent="0.2">
      <c r="A4215" t="s">
        <v>9424</v>
      </c>
      <c r="B4215" t="s">
        <v>9420</v>
      </c>
      <c r="C4215" t="s">
        <v>190</v>
      </c>
      <c r="D4215" t="s">
        <v>9421</v>
      </c>
    </row>
    <row r="4216" spans="1:4" x14ac:dyDescent="0.2">
      <c r="A4216" t="s">
        <v>9424</v>
      </c>
      <c r="B4216" t="s">
        <v>9426</v>
      </c>
      <c r="C4216" t="s">
        <v>190</v>
      </c>
      <c r="D4216" t="s">
        <v>9421</v>
      </c>
    </row>
    <row r="4217" spans="1:4" x14ac:dyDescent="0.2">
      <c r="A4217" t="s">
        <v>9424</v>
      </c>
      <c r="B4217" t="s">
        <v>9423</v>
      </c>
      <c r="C4217" t="s">
        <v>190</v>
      </c>
      <c r="D4217" t="s">
        <v>9421</v>
      </c>
    </row>
    <row r="4218" spans="1:4" x14ac:dyDescent="0.2">
      <c r="A4218" t="s">
        <v>9424</v>
      </c>
      <c r="B4218" t="s">
        <v>9427</v>
      </c>
      <c r="C4218" t="s">
        <v>190</v>
      </c>
      <c r="D4218" t="s">
        <v>9421</v>
      </c>
    </row>
    <row r="4219" spans="1:4" x14ac:dyDescent="0.2">
      <c r="A4219" t="s">
        <v>9424</v>
      </c>
      <c r="B4219" t="s">
        <v>9428</v>
      </c>
      <c r="C4219" t="s">
        <v>190</v>
      </c>
      <c r="D4219" t="s">
        <v>9421</v>
      </c>
    </row>
    <row r="4220" spans="1:4" x14ac:dyDescent="0.2">
      <c r="A4220" t="s">
        <v>9424</v>
      </c>
      <c r="B4220" t="s">
        <v>9429</v>
      </c>
      <c r="C4220" t="s">
        <v>190</v>
      </c>
      <c r="D4220" t="s">
        <v>9421</v>
      </c>
    </row>
    <row r="4221" spans="1:4" x14ac:dyDescent="0.2">
      <c r="A4221" t="s">
        <v>9430</v>
      </c>
      <c r="B4221" t="s">
        <v>9420</v>
      </c>
      <c r="C4221" t="s">
        <v>190</v>
      </c>
      <c r="D4221" t="s">
        <v>9421</v>
      </c>
    </row>
    <row r="4222" spans="1:4" x14ac:dyDescent="0.2">
      <c r="A4222" t="s">
        <v>9430</v>
      </c>
      <c r="B4222" t="s">
        <v>9431</v>
      </c>
      <c r="C4222" t="s">
        <v>190</v>
      </c>
      <c r="D4222" t="s">
        <v>191</v>
      </c>
    </row>
    <row r="4223" spans="1:4" x14ac:dyDescent="0.2">
      <c r="A4223" t="s">
        <v>9430</v>
      </c>
      <c r="B4223" t="s">
        <v>9432</v>
      </c>
      <c r="C4223" t="s">
        <v>190</v>
      </c>
      <c r="D4223" t="s">
        <v>280</v>
      </c>
    </row>
    <row r="4224" spans="1:4" x14ac:dyDescent="0.2">
      <c r="A4224" t="s">
        <v>9430</v>
      </c>
      <c r="B4224" t="s">
        <v>9433</v>
      </c>
      <c r="C4224" t="s">
        <v>190</v>
      </c>
      <c r="D4224" t="s">
        <v>280</v>
      </c>
    </row>
    <row r="4225" spans="1:4" x14ac:dyDescent="0.2">
      <c r="A4225" t="s">
        <v>9430</v>
      </c>
      <c r="B4225" t="s">
        <v>9427</v>
      </c>
      <c r="C4225" t="s">
        <v>190</v>
      </c>
      <c r="D4225" t="s">
        <v>9421</v>
      </c>
    </row>
    <row r="4226" spans="1:4" x14ac:dyDescent="0.2">
      <c r="A4226" t="s">
        <v>9434</v>
      </c>
      <c r="B4226" t="s">
        <v>9435</v>
      </c>
      <c r="C4226" t="s">
        <v>190</v>
      </c>
      <c r="D4226" t="s">
        <v>191</v>
      </c>
    </row>
    <row r="4227" spans="1:4" x14ac:dyDescent="0.2">
      <c r="A4227" t="s">
        <v>9436</v>
      </c>
      <c r="B4227" t="s">
        <v>9437</v>
      </c>
      <c r="C4227" t="s">
        <v>9438</v>
      </c>
      <c r="D4227" t="s">
        <v>187</v>
      </c>
    </row>
    <row r="4228" spans="1:4" x14ac:dyDescent="0.2">
      <c r="A4228" t="s">
        <v>9436</v>
      </c>
      <c r="B4228" t="s">
        <v>9439</v>
      </c>
      <c r="C4228" t="s">
        <v>9440</v>
      </c>
      <c r="D4228" t="s">
        <v>187</v>
      </c>
    </row>
    <row r="4229" spans="1:4" x14ac:dyDescent="0.2">
      <c r="A4229" t="s">
        <v>9441</v>
      </c>
      <c r="B4229" t="s">
        <v>9442</v>
      </c>
      <c r="C4229" t="s">
        <v>190</v>
      </c>
      <c r="D4229" t="s">
        <v>9443</v>
      </c>
    </row>
    <row r="4230" spans="1:4" x14ac:dyDescent="0.2">
      <c r="A4230" t="s">
        <v>9444</v>
      </c>
      <c r="B4230" t="s">
        <v>9445</v>
      </c>
      <c r="C4230" t="s">
        <v>190</v>
      </c>
      <c r="D4230" t="s">
        <v>9446</v>
      </c>
    </row>
    <row r="4231" spans="1:4" x14ac:dyDescent="0.2">
      <c r="A4231" t="s">
        <v>9444</v>
      </c>
      <c r="B4231" t="s">
        <v>9447</v>
      </c>
      <c r="C4231" t="s">
        <v>190</v>
      </c>
      <c r="D4231" t="s">
        <v>9446</v>
      </c>
    </row>
    <row r="4232" spans="1:4" x14ac:dyDescent="0.2">
      <c r="A4232" t="s">
        <v>9448</v>
      </c>
      <c r="B4232" t="s">
        <v>9449</v>
      </c>
      <c r="C4232" t="s">
        <v>9450</v>
      </c>
      <c r="D4232" t="s">
        <v>195</v>
      </c>
    </row>
    <row r="4233" spans="1:4" x14ac:dyDescent="0.2">
      <c r="A4233" t="s">
        <v>9451</v>
      </c>
      <c r="B4233" t="s">
        <v>9452</v>
      </c>
      <c r="C4233" t="s">
        <v>9453</v>
      </c>
      <c r="D4233" t="s">
        <v>187</v>
      </c>
    </row>
    <row r="4234" spans="1:4" x14ac:dyDescent="0.2">
      <c r="A4234" t="s">
        <v>9451</v>
      </c>
      <c r="B4234" t="s">
        <v>9442</v>
      </c>
      <c r="C4234" t="s">
        <v>190</v>
      </c>
      <c r="D4234" t="s">
        <v>191</v>
      </c>
    </row>
    <row r="4235" spans="1:4" x14ac:dyDescent="0.2">
      <c r="A4235" t="s">
        <v>9454</v>
      </c>
      <c r="B4235" t="s">
        <v>9449</v>
      </c>
      <c r="C4235" t="s">
        <v>9450</v>
      </c>
      <c r="D4235" t="s">
        <v>195</v>
      </c>
    </row>
    <row r="4236" spans="1:4" x14ac:dyDescent="0.2">
      <c r="A4236" t="s">
        <v>9454</v>
      </c>
      <c r="B4236" t="s">
        <v>9455</v>
      </c>
      <c r="C4236" t="s">
        <v>190</v>
      </c>
      <c r="D4236" t="s">
        <v>9456</v>
      </c>
    </row>
    <row r="4237" spans="1:4" x14ac:dyDescent="0.2">
      <c r="A4237" t="s">
        <v>9454</v>
      </c>
      <c r="B4237" t="s">
        <v>9457</v>
      </c>
      <c r="C4237" t="s">
        <v>190</v>
      </c>
      <c r="D4237" t="s">
        <v>280</v>
      </c>
    </row>
    <row r="4238" spans="1:4" x14ac:dyDescent="0.2">
      <c r="A4238" t="s">
        <v>9458</v>
      </c>
      <c r="B4238" t="s">
        <v>9445</v>
      </c>
      <c r="C4238" t="s">
        <v>190</v>
      </c>
      <c r="D4238" t="s">
        <v>9446</v>
      </c>
    </row>
    <row r="4239" spans="1:4" x14ac:dyDescent="0.2">
      <c r="A4239" t="s">
        <v>9458</v>
      </c>
      <c r="B4239" t="s">
        <v>9459</v>
      </c>
      <c r="C4239" t="s">
        <v>190</v>
      </c>
      <c r="D4239" t="s">
        <v>9446</v>
      </c>
    </row>
    <row r="4240" spans="1:4" x14ac:dyDescent="0.2">
      <c r="A4240" t="s">
        <v>9460</v>
      </c>
      <c r="B4240" t="s">
        <v>9461</v>
      </c>
      <c r="C4240" t="s">
        <v>190</v>
      </c>
      <c r="D4240" t="s">
        <v>9462</v>
      </c>
    </row>
    <row r="4241" spans="1:4" x14ac:dyDescent="0.2">
      <c r="A4241" t="s">
        <v>9460</v>
      </c>
      <c r="B4241" t="s">
        <v>9463</v>
      </c>
      <c r="C4241" t="s">
        <v>190</v>
      </c>
      <c r="D4241" t="s">
        <v>9462</v>
      </c>
    </row>
    <row r="4242" spans="1:4" x14ac:dyDescent="0.2">
      <c r="A4242" t="s">
        <v>9460</v>
      </c>
      <c r="B4242" t="s">
        <v>9445</v>
      </c>
      <c r="C4242" t="s">
        <v>190</v>
      </c>
      <c r="D4242" t="s">
        <v>191</v>
      </c>
    </row>
    <row r="4243" spans="1:4" x14ac:dyDescent="0.2">
      <c r="A4243" t="s">
        <v>9460</v>
      </c>
      <c r="B4243" t="s">
        <v>9464</v>
      </c>
      <c r="C4243" t="s">
        <v>190</v>
      </c>
      <c r="D4243" t="s">
        <v>9462</v>
      </c>
    </row>
    <row r="4244" spans="1:4" x14ac:dyDescent="0.2">
      <c r="A4244" t="s">
        <v>9460</v>
      </c>
      <c r="B4244" t="s">
        <v>9447</v>
      </c>
      <c r="C4244" t="s">
        <v>190</v>
      </c>
      <c r="D4244" t="s">
        <v>191</v>
      </c>
    </row>
    <row r="4245" spans="1:4" x14ac:dyDescent="0.2">
      <c r="A4245" t="s">
        <v>9460</v>
      </c>
      <c r="B4245" t="s">
        <v>9459</v>
      </c>
      <c r="C4245" t="s">
        <v>190</v>
      </c>
      <c r="D4245" t="s">
        <v>191</v>
      </c>
    </row>
    <row r="4246" spans="1:4" x14ac:dyDescent="0.2">
      <c r="A4246" t="s">
        <v>9465</v>
      </c>
      <c r="B4246" t="s">
        <v>9461</v>
      </c>
      <c r="C4246" t="s">
        <v>190</v>
      </c>
      <c r="D4246" t="s">
        <v>9462</v>
      </c>
    </row>
    <row r="4247" spans="1:4" x14ac:dyDescent="0.2">
      <c r="A4247" t="s">
        <v>9465</v>
      </c>
      <c r="B4247" t="s">
        <v>9445</v>
      </c>
      <c r="C4247" t="s">
        <v>190</v>
      </c>
      <c r="D4247" t="s">
        <v>9446</v>
      </c>
    </row>
    <row r="4248" spans="1:4" x14ac:dyDescent="0.2">
      <c r="A4248" t="s">
        <v>9465</v>
      </c>
      <c r="B4248" t="s">
        <v>9447</v>
      </c>
      <c r="C4248" t="s">
        <v>190</v>
      </c>
      <c r="D4248" t="s">
        <v>9446</v>
      </c>
    </row>
    <row r="4249" spans="1:4" x14ac:dyDescent="0.2">
      <c r="A4249" t="s">
        <v>9465</v>
      </c>
      <c r="B4249" t="s">
        <v>9459</v>
      </c>
      <c r="C4249" t="s">
        <v>190</v>
      </c>
      <c r="D4249" t="s">
        <v>9446</v>
      </c>
    </row>
    <row r="4250" spans="1:4" x14ac:dyDescent="0.2">
      <c r="A4250" t="s">
        <v>9466</v>
      </c>
      <c r="B4250" t="s">
        <v>9455</v>
      </c>
      <c r="C4250" t="s">
        <v>190</v>
      </c>
      <c r="D4250" t="s">
        <v>191</v>
      </c>
    </row>
    <row r="4251" spans="1:4" x14ac:dyDescent="0.2">
      <c r="A4251" t="s">
        <v>9467</v>
      </c>
      <c r="B4251" t="s">
        <v>9437</v>
      </c>
      <c r="C4251" t="s">
        <v>9438</v>
      </c>
      <c r="D4251" t="s">
        <v>187</v>
      </c>
    </row>
    <row r="4252" spans="1:4" x14ac:dyDescent="0.2">
      <c r="A4252" t="s">
        <v>9468</v>
      </c>
      <c r="B4252" t="s">
        <v>9469</v>
      </c>
      <c r="C4252" t="s">
        <v>190</v>
      </c>
      <c r="D4252" t="s">
        <v>191</v>
      </c>
    </row>
    <row r="4253" spans="1:4" x14ac:dyDescent="0.2">
      <c r="A4253" t="s">
        <v>9470</v>
      </c>
      <c r="B4253" t="s">
        <v>9471</v>
      </c>
      <c r="C4253" t="s">
        <v>190</v>
      </c>
      <c r="D4253" t="s">
        <v>280</v>
      </c>
    </row>
    <row r="4254" spans="1:4" x14ac:dyDescent="0.2">
      <c r="A4254" t="s">
        <v>9472</v>
      </c>
      <c r="B4254" t="s">
        <v>9473</v>
      </c>
      <c r="C4254" t="s">
        <v>190</v>
      </c>
      <c r="D4254" t="s">
        <v>280</v>
      </c>
    </row>
    <row r="4255" spans="1:4" x14ac:dyDescent="0.2">
      <c r="A4255" t="s">
        <v>9472</v>
      </c>
      <c r="B4255" t="s">
        <v>9474</v>
      </c>
      <c r="C4255" t="s">
        <v>190</v>
      </c>
      <c r="D4255" t="s">
        <v>280</v>
      </c>
    </row>
    <row r="4256" spans="1:4" x14ac:dyDescent="0.2">
      <c r="A4256" t="s">
        <v>9472</v>
      </c>
      <c r="B4256" t="s">
        <v>9475</v>
      </c>
      <c r="C4256" t="s">
        <v>190</v>
      </c>
      <c r="D4256" t="s">
        <v>280</v>
      </c>
    </row>
    <row r="4257" spans="1:4" x14ac:dyDescent="0.2">
      <c r="A4257" t="s">
        <v>9476</v>
      </c>
      <c r="B4257" t="s">
        <v>9477</v>
      </c>
      <c r="C4257" t="s">
        <v>190</v>
      </c>
      <c r="D4257" t="s">
        <v>9478</v>
      </c>
    </row>
    <row r="4258" spans="1:4" x14ac:dyDescent="0.2">
      <c r="A4258" t="s">
        <v>9476</v>
      </c>
      <c r="B4258" t="s">
        <v>9479</v>
      </c>
      <c r="C4258" t="s">
        <v>190</v>
      </c>
      <c r="D4258" t="s">
        <v>9478</v>
      </c>
    </row>
    <row r="4259" spans="1:4" x14ac:dyDescent="0.2">
      <c r="A4259" t="s">
        <v>9476</v>
      </c>
      <c r="B4259" t="s">
        <v>9480</v>
      </c>
      <c r="C4259" t="s">
        <v>9481</v>
      </c>
      <c r="D4259" t="s">
        <v>195</v>
      </c>
    </row>
    <row r="4260" spans="1:4" x14ac:dyDescent="0.2">
      <c r="A4260" t="s">
        <v>9476</v>
      </c>
      <c r="B4260" t="s">
        <v>9482</v>
      </c>
      <c r="C4260" t="s">
        <v>9483</v>
      </c>
      <c r="D4260" t="s">
        <v>195</v>
      </c>
    </row>
    <row r="4261" spans="1:4" x14ac:dyDescent="0.2">
      <c r="A4261" t="s">
        <v>9476</v>
      </c>
      <c r="B4261" t="s">
        <v>9484</v>
      </c>
      <c r="C4261" t="s">
        <v>190</v>
      </c>
      <c r="D4261" t="s">
        <v>9478</v>
      </c>
    </row>
    <row r="4262" spans="1:4" x14ac:dyDescent="0.2">
      <c r="A4262" t="s">
        <v>9485</v>
      </c>
      <c r="B4262" t="s">
        <v>9486</v>
      </c>
      <c r="C4262" t="s">
        <v>190</v>
      </c>
      <c r="D4262" t="s">
        <v>191</v>
      </c>
    </row>
    <row r="4263" spans="1:4" x14ac:dyDescent="0.2">
      <c r="A4263" t="s">
        <v>9485</v>
      </c>
      <c r="B4263" t="s">
        <v>9477</v>
      </c>
      <c r="C4263" t="s">
        <v>190</v>
      </c>
      <c r="D4263" t="s">
        <v>9478</v>
      </c>
    </row>
    <row r="4264" spans="1:4" x14ac:dyDescent="0.2">
      <c r="A4264" t="s">
        <v>9485</v>
      </c>
      <c r="B4264" t="s">
        <v>9479</v>
      </c>
      <c r="C4264" t="s">
        <v>190</v>
      </c>
      <c r="D4264" t="s">
        <v>9478</v>
      </c>
    </row>
    <row r="4265" spans="1:4" x14ac:dyDescent="0.2">
      <c r="A4265" t="s">
        <v>9485</v>
      </c>
      <c r="B4265" t="s">
        <v>9487</v>
      </c>
      <c r="C4265" t="s">
        <v>190</v>
      </c>
      <c r="D4265" t="s">
        <v>191</v>
      </c>
    </row>
    <row r="4266" spans="1:4" x14ac:dyDescent="0.2">
      <c r="A4266" t="s">
        <v>9485</v>
      </c>
      <c r="B4266" t="s">
        <v>9480</v>
      </c>
      <c r="C4266" t="s">
        <v>9481</v>
      </c>
      <c r="D4266" t="s">
        <v>195</v>
      </c>
    </row>
    <row r="4267" spans="1:4" x14ac:dyDescent="0.2">
      <c r="A4267" t="s">
        <v>9485</v>
      </c>
      <c r="B4267" t="s">
        <v>9482</v>
      </c>
      <c r="C4267" t="s">
        <v>9483</v>
      </c>
      <c r="D4267" t="s">
        <v>195</v>
      </c>
    </row>
    <row r="4268" spans="1:4" x14ac:dyDescent="0.2">
      <c r="A4268" t="s">
        <v>9485</v>
      </c>
      <c r="B4268" t="s">
        <v>9484</v>
      </c>
      <c r="C4268" t="s">
        <v>190</v>
      </c>
      <c r="D4268" t="s">
        <v>9478</v>
      </c>
    </row>
    <row r="4269" spans="1:4" x14ac:dyDescent="0.2">
      <c r="A4269" t="s">
        <v>9485</v>
      </c>
      <c r="B4269" t="s">
        <v>9488</v>
      </c>
      <c r="C4269" t="s">
        <v>190</v>
      </c>
      <c r="D4269" t="s">
        <v>191</v>
      </c>
    </row>
    <row r="4270" spans="1:4" x14ac:dyDescent="0.2">
      <c r="A4270" t="s">
        <v>9485</v>
      </c>
      <c r="B4270" t="s">
        <v>9489</v>
      </c>
      <c r="C4270" t="s">
        <v>190</v>
      </c>
      <c r="D4270" t="s">
        <v>191</v>
      </c>
    </row>
    <row r="4271" spans="1:4" x14ac:dyDescent="0.2">
      <c r="A4271" t="s">
        <v>9485</v>
      </c>
      <c r="B4271" t="s">
        <v>9490</v>
      </c>
      <c r="C4271" t="s">
        <v>190</v>
      </c>
      <c r="D4271" t="s">
        <v>191</v>
      </c>
    </row>
    <row r="4272" spans="1:4" x14ac:dyDescent="0.2">
      <c r="A4272" t="s">
        <v>9485</v>
      </c>
      <c r="B4272" t="s">
        <v>9491</v>
      </c>
      <c r="C4272" t="s">
        <v>190</v>
      </c>
      <c r="D4272" t="s">
        <v>191</v>
      </c>
    </row>
    <row r="4273" spans="1:4" x14ac:dyDescent="0.2">
      <c r="A4273" t="s">
        <v>9485</v>
      </c>
      <c r="B4273" t="s">
        <v>9492</v>
      </c>
      <c r="C4273" t="s">
        <v>190</v>
      </c>
      <c r="D4273" t="s">
        <v>191</v>
      </c>
    </row>
    <row r="4274" spans="1:4" x14ac:dyDescent="0.2">
      <c r="A4274" t="s">
        <v>9485</v>
      </c>
      <c r="B4274" t="s">
        <v>9493</v>
      </c>
      <c r="C4274" t="s">
        <v>190</v>
      </c>
      <c r="D4274" t="s">
        <v>191</v>
      </c>
    </row>
    <row r="4275" spans="1:4" x14ac:dyDescent="0.2">
      <c r="A4275" t="s">
        <v>9485</v>
      </c>
      <c r="B4275" t="s">
        <v>9494</v>
      </c>
      <c r="C4275" t="s">
        <v>190</v>
      </c>
      <c r="D4275" t="s">
        <v>191</v>
      </c>
    </row>
    <row r="4276" spans="1:4" x14ac:dyDescent="0.2">
      <c r="A4276" t="s">
        <v>9485</v>
      </c>
      <c r="B4276" t="s">
        <v>9495</v>
      </c>
      <c r="C4276" t="s">
        <v>190</v>
      </c>
      <c r="D4276" t="s">
        <v>191</v>
      </c>
    </row>
    <row r="4277" spans="1:4" x14ac:dyDescent="0.2">
      <c r="A4277" t="s">
        <v>9496</v>
      </c>
      <c r="B4277" t="s">
        <v>9497</v>
      </c>
      <c r="C4277" t="s">
        <v>9498</v>
      </c>
      <c r="D4277" t="s">
        <v>195</v>
      </c>
    </row>
    <row r="4278" spans="1:4" x14ac:dyDescent="0.2">
      <c r="A4278" t="s">
        <v>9496</v>
      </c>
      <c r="B4278" t="s">
        <v>9499</v>
      </c>
      <c r="C4278" t="s">
        <v>9500</v>
      </c>
      <c r="D4278" t="s">
        <v>195</v>
      </c>
    </row>
    <row r="4279" spans="1:4" x14ac:dyDescent="0.2">
      <c r="A4279" t="s">
        <v>9496</v>
      </c>
      <c r="B4279" t="s">
        <v>9501</v>
      </c>
      <c r="C4279" t="s">
        <v>190</v>
      </c>
      <c r="D4279" t="s">
        <v>191</v>
      </c>
    </row>
    <row r="4280" spans="1:4" x14ac:dyDescent="0.2">
      <c r="A4280" t="s">
        <v>9502</v>
      </c>
      <c r="B4280" t="s">
        <v>9503</v>
      </c>
      <c r="C4280" t="s">
        <v>9504</v>
      </c>
      <c r="D4280" t="s">
        <v>195</v>
      </c>
    </row>
    <row r="4281" spans="1:4" x14ac:dyDescent="0.2">
      <c r="A4281" t="s">
        <v>9505</v>
      </c>
      <c r="B4281" t="s">
        <v>9506</v>
      </c>
      <c r="C4281" t="s">
        <v>9507</v>
      </c>
      <c r="D4281" t="s">
        <v>195</v>
      </c>
    </row>
    <row r="4282" spans="1:4" x14ac:dyDescent="0.2">
      <c r="A4282" t="s">
        <v>9508</v>
      </c>
      <c r="B4282" t="s">
        <v>9509</v>
      </c>
      <c r="C4282" t="s">
        <v>9510</v>
      </c>
      <c r="D4282" t="s">
        <v>195</v>
      </c>
    </row>
    <row r="4283" spans="1:4" x14ac:dyDescent="0.2">
      <c r="A4283" t="s">
        <v>9508</v>
      </c>
      <c r="B4283" t="s">
        <v>9511</v>
      </c>
      <c r="C4283" t="s">
        <v>190</v>
      </c>
      <c r="D4283" t="s">
        <v>191</v>
      </c>
    </row>
    <row r="4284" spans="1:4" x14ac:dyDescent="0.2">
      <c r="A4284" t="s">
        <v>9512</v>
      </c>
      <c r="B4284" t="s">
        <v>9513</v>
      </c>
      <c r="C4284" t="s">
        <v>190</v>
      </c>
      <c r="D4284" t="s">
        <v>191</v>
      </c>
    </row>
    <row r="4285" spans="1:4" x14ac:dyDescent="0.2">
      <c r="A4285" t="s">
        <v>9512</v>
      </c>
      <c r="B4285" t="s">
        <v>9514</v>
      </c>
      <c r="C4285" t="s">
        <v>190</v>
      </c>
      <c r="D4285" t="s">
        <v>191</v>
      </c>
    </row>
    <row r="4286" spans="1:4" x14ac:dyDescent="0.2">
      <c r="A4286" t="s">
        <v>9512</v>
      </c>
      <c r="B4286" t="s">
        <v>9515</v>
      </c>
      <c r="C4286" t="s">
        <v>190</v>
      </c>
      <c r="D4286" t="s">
        <v>191</v>
      </c>
    </row>
    <row r="4287" spans="1:4" x14ac:dyDescent="0.2">
      <c r="A4287" t="s">
        <v>9512</v>
      </c>
      <c r="B4287" t="s">
        <v>9516</v>
      </c>
      <c r="C4287" t="s">
        <v>190</v>
      </c>
      <c r="D4287" t="s">
        <v>191</v>
      </c>
    </row>
    <row r="4288" spans="1:4" x14ac:dyDescent="0.2">
      <c r="A4288" t="s">
        <v>9512</v>
      </c>
      <c r="B4288" t="s">
        <v>9517</v>
      </c>
      <c r="C4288" t="s">
        <v>190</v>
      </c>
      <c r="D4288" t="s">
        <v>191</v>
      </c>
    </row>
    <row r="4289" spans="1:4" x14ac:dyDescent="0.2">
      <c r="A4289" t="s">
        <v>9512</v>
      </c>
      <c r="B4289" t="s">
        <v>9518</v>
      </c>
      <c r="C4289" t="s">
        <v>190</v>
      </c>
      <c r="D4289" t="s">
        <v>191</v>
      </c>
    </row>
    <row r="4290" spans="1:4" x14ac:dyDescent="0.2">
      <c r="A4290" t="s">
        <v>9512</v>
      </c>
      <c r="B4290" t="s">
        <v>9519</v>
      </c>
      <c r="C4290" t="s">
        <v>190</v>
      </c>
      <c r="D4290" t="s">
        <v>191</v>
      </c>
    </row>
    <row r="4291" spans="1:4" x14ac:dyDescent="0.2">
      <c r="A4291" t="s">
        <v>9512</v>
      </c>
      <c r="B4291" t="s">
        <v>9520</v>
      </c>
      <c r="C4291" t="s">
        <v>190</v>
      </c>
      <c r="D4291" t="s">
        <v>191</v>
      </c>
    </row>
    <row r="4292" spans="1:4" x14ac:dyDescent="0.2">
      <c r="A4292" t="s">
        <v>9512</v>
      </c>
      <c r="B4292" t="s">
        <v>9521</v>
      </c>
      <c r="C4292" t="s">
        <v>190</v>
      </c>
      <c r="D4292" t="s">
        <v>191</v>
      </c>
    </row>
    <row r="4293" spans="1:4" x14ac:dyDescent="0.2">
      <c r="A4293" t="s">
        <v>9512</v>
      </c>
      <c r="B4293" t="s">
        <v>9522</v>
      </c>
      <c r="C4293" t="s">
        <v>190</v>
      </c>
      <c r="D4293" t="s">
        <v>191</v>
      </c>
    </row>
    <row r="4294" spans="1:4" x14ac:dyDescent="0.2">
      <c r="A4294" t="s">
        <v>9523</v>
      </c>
      <c r="B4294" t="s">
        <v>9524</v>
      </c>
      <c r="C4294" t="s">
        <v>190</v>
      </c>
      <c r="D4294" t="s">
        <v>191</v>
      </c>
    </row>
    <row r="4295" spans="1:4" x14ac:dyDescent="0.2">
      <c r="A4295" t="s">
        <v>9525</v>
      </c>
      <c r="B4295" t="s">
        <v>9526</v>
      </c>
      <c r="C4295" t="s">
        <v>190</v>
      </c>
      <c r="D4295" t="s">
        <v>191</v>
      </c>
    </row>
    <row r="4296" spans="1:4" x14ac:dyDescent="0.2">
      <c r="A4296" t="s">
        <v>9527</v>
      </c>
      <c r="B4296" t="s">
        <v>9528</v>
      </c>
      <c r="C4296" t="s">
        <v>190</v>
      </c>
      <c r="D4296" t="s">
        <v>191</v>
      </c>
    </row>
    <row r="4297" spans="1:4" x14ac:dyDescent="0.2">
      <c r="A4297" t="s">
        <v>9529</v>
      </c>
      <c r="B4297" t="s">
        <v>8669</v>
      </c>
      <c r="C4297" t="s">
        <v>190</v>
      </c>
      <c r="D4297" t="s">
        <v>191</v>
      </c>
    </row>
    <row r="4298" spans="1:4" x14ac:dyDescent="0.2">
      <c r="A4298" t="s">
        <v>9530</v>
      </c>
      <c r="B4298" t="s">
        <v>9531</v>
      </c>
      <c r="C4298" t="s">
        <v>190</v>
      </c>
      <c r="D4298" t="s">
        <v>9532</v>
      </c>
    </row>
    <row r="4299" spans="1:4" x14ac:dyDescent="0.2">
      <c r="A4299" t="s">
        <v>9530</v>
      </c>
      <c r="B4299" t="s">
        <v>9533</v>
      </c>
      <c r="C4299" t="s">
        <v>190</v>
      </c>
      <c r="D4299" t="s">
        <v>9534</v>
      </c>
    </row>
    <row r="4300" spans="1:4" x14ac:dyDescent="0.2">
      <c r="A4300" t="s">
        <v>9530</v>
      </c>
      <c r="B4300" t="s">
        <v>8365</v>
      </c>
      <c r="C4300" t="s">
        <v>190</v>
      </c>
      <c r="D4300" t="s">
        <v>9535</v>
      </c>
    </row>
    <row r="4301" spans="1:4" x14ac:dyDescent="0.2">
      <c r="A4301" t="s">
        <v>9530</v>
      </c>
      <c r="B4301" t="s">
        <v>8366</v>
      </c>
      <c r="C4301" t="s">
        <v>190</v>
      </c>
      <c r="D4301" t="s">
        <v>9535</v>
      </c>
    </row>
    <row r="4302" spans="1:4" x14ac:dyDescent="0.2">
      <c r="A4302" t="s">
        <v>9536</v>
      </c>
      <c r="B4302" t="s">
        <v>9537</v>
      </c>
      <c r="C4302" t="s">
        <v>190</v>
      </c>
      <c r="D4302" t="s">
        <v>191</v>
      </c>
    </row>
    <row r="4303" spans="1:4" x14ac:dyDescent="0.2">
      <c r="A4303" t="s">
        <v>9538</v>
      </c>
      <c r="B4303" t="s">
        <v>9539</v>
      </c>
      <c r="C4303" t="s">
        <v>9540</v>
      </c>
      <c r="D4303" t="s">
        <v>187</v>
      </c>
    </row>
    <row r="4304" spans="1:4" x14ac:dyDescent="0.2">
      <c r="A4304" t="s">
        <v>9538</v>
      </c>
      <c r="B4304" t="s">
        <v>9541</v>
      </c>
      <c r="C4304" t="s">
        <v>9542</v>
      </c>
      <c r="D4304" t="s">
        <v>187</v>
      </c>
    </row>
    <row r="4305" spans="1:4" x14ac:dyDescent="0.2">
      <c r="A4305" t="s">
        <v>9543</v>
      </c>
      <c r="B4305" t="s">
        <v>9544</v>
      </c>
      <c r="C4305" t="s">
        <v>190</v>
      </c>
      <c r="D4305" t="s">
        <v>191</v>
      </c>
    </row>
    <row r="4306" spans="1:4" x14ac:dyDescent="0.2">
      <c r="A4306" t="s">
        <v>9545</v>
      </c>
      <c r="B4306" t="s">
        <v>9546</v>
      </c>
      <c r="C4306" t="s">
        <v>190</v>
      </c>
      <c r="D4306" t="s">
        <v>191</v>
      </c>
    </row>
    <row r="4307" spans="1:4" x14ac:dyDescent="0.2">
      <c r="A4307" t="s">
        <v>9547</v>
      </c>
      <c r="B4307" t="s">
        <v>9548</v>
      </c>
      <c r="C4307" t="s">
        <v>9549</v>
      </c>
      <c r="D4307" t="s">
        <v>187</v>
      </c>
    </row>
    <row r="4308" spans="1:4" x14ac:dyDescent="0.2">
      <c r="A4308" t="s">
        <v>9550</v>
      </c>
      <c r="B4308" t="s">
        <v>9551</v>
      </c>
      <c r="C4308" t="s">
        <v>9552</v>
      </c>
      <c r="D4308" t="s">
        <v>187</v>
      </c>
    </row>
    <row r="4309" spans="1:4" x14ac:dyDescent="0.2">
      <c r="A4309" t="s">
        <v>9553</v>
      </c>
      <c r="B4309" t="s">
        <v>9554</v>
      </c>
      <c r="C4309" t="s">
        <v>9555</v>
      </c>
      <c r="D4309" t="s">
        <v>187</v>
      </c>
    </row>
    <row r="4310" spans="1:4" x14ac:dyDescent="0.2">
      <c r="A4310" t="s">
        <v>9553</v>
      </c>
      <c r="B4310" t="s">
        <v>8363</v>
      </c>
      <c r="C4310" t="s">
        <v>190</v>
      </c>
      <c r="D4310" t="s">
        <v>9535</v>
      </c>
    </row>
    <row r="4311" spans="1:4" x14ac:dyDescent="0.2">
      <c r="A4311" t="s">
        <v>9556</v>
      </c>
      <c r="B4311" t="s">
        <v>9557</v>
      </c>
      <c r="C4311" t="s">
        <v>190</v>
      </c>
      <c r="D4311" t="s">
        <v>191</v>
      </c>
    </row>
    <row r="4312" spans="1:4" x14ac:dyDescent="0.2">
      <c r="A4312" t="s">
        <v>9558</v>
      </c>
      <c r="B4312" t="s">
        <v>9559</v>
      </c>
      <c r="C4312" t="s">
        <v>9560</v>
      </c>
      <c r="D4312" t="s">
        <v>187</v>
      </c>
    </row>
    <row r="4313" spans="1:4" x14ac:dyDescent="0.2">
      <c r="A4313" t="s">
        <v>9558</v>
      </c>
      <c r="B4313" t="s">
        <v>9561</v>
      </c>
      <c r="C4313" t="s">
        <v>190</v>
      </c>
      <c r="D4313" t="s">
        <v>191</v>
      </c>
    </row>
    <row r="4314" spans="1:4" x14ac:dyDescent="0.2">
      <c r="A4314" t="s">
        <v>9558</v>
      </c>
      <c r="B4314" t="s">
        <v>9562</v>
      </c>
      <c r="C4314" t="s">
        <v>190</v>
      </c>
      <c r="D4314" t="s">
        <v>191</v>
      </c>
    </row>
    <row r="4315" spans="1:4" x14ac:dyDescent="0.2">
      <c r="A4315" t="s">
        <v>9558</v>
      </c>
      <c r="B4315" t="s">
        <v>9563</v>
      </c>
      <c r="C4315" t="s">
        <v>190</v>
      </c>
      <c r="D4315" t="s">
        <v>191</v>
      </c>
    </row>
    <row r="4316" spans="1:4" x14ac:dyDescent="0.2">
      <c r="A4316" t="s">
        <v>9558</v>
      </c>
      <c r="B4316" t="s">
        <v>9564</v>
      </c>
      <c r="C4316" t="s">
        <v>190</v>
      </c>
      <c r="D4316" t="s">
        <v>191</v>
      </c>
    </row>
    <row r="4317" spans="1:4" x14ac:dyDescent="0.2">
      <c r="A4317" t="s">
        <v>9558</v>
      </c>
      <c r="B4317" t="s">
        <v>9565</v>
      </c>
      <c r="C4317" t="s">
        <v>190</v>
      </c>
      <c r="D4317" t="s">
        <v>191</v>
      </c>
    </row>
    <row r="4318" spans="1:4" x14ac:dyDescent="0.2">
      <c r="A4318" t="s">
        <v>9566</v>
      </c>
      <c r="B4318" t="s">
        <v>9559</v>
      </c>
      <c r="C4318" t="s">
        <v>9560</v>
      </c>
      <c r="D4318" t="s">
        <v>187</v>
      </c>
    </row>
    <row r="4319" spans="1:4" x14ac:dyDescent="0.2">
      <c r="A4319" t="s">
        <v>9567</v>
      </c>
      <c r="B4319" t="s">
        <v>9568</v>
      </c>
      <c r="C4319" t="s">
        <v>190</v>
      </c>
      <c r="D4319" t="s">
        <v>191</v>
      </c>
    </row>
    <row r="4320" spans="1:4" x14ac:dyDescent="0.2">
      <c r="A4320" t="s">
        <v>9569</v>
      </c>
      <c r="B4320" t="s">
        <v>9570</v>
      </c>
      <c r="C4320" t="s">
        <v>9571</v>
      </c>
      <c r="D4320" t="s">
        <v>195</v>
      </c>
    </row>
    <row r="4321" spans="1:4" x14ac:dyDescent="0.2">
      <c r="A4321" t="s">
        <v>9572</v>
      </c>
      <c r="B4321" t="s">
        <v>9573</v>
      </c>
      <c r="C4321" t="s">
        <v>190</v>
      </c>
      <c r="D4321" t="s">
        <v>191</v>
      </c>
    </row>
    <row r="4322" spans="1:4" x14ac:dyDescent="0.2">
      <c r="A4322" t="s">
        <v>9572</v>
      </c>
      <c r="B4322" t="s">
        <v>9574</v>
      </c>
      <c r="C4322" t="s">
        <v>190</v>
      </c>
      <c r="D4322" t="s">
        <v>191</v>
      </c>
    </row>
    <row r="4323" spans="1:4" x14ac:dyDescent="0.2">
      <c r="A4323" t="s">
        <v>9572</v>
      </c>
      <c r="B4323" t="s">
        <v>9575</v>
      </c>
      <c r="C4323" t="s">
        <v>190</v>
      </c>
      <c r="D4323" t="s">
        <v>191</v>
      </c>
    </row>
    <row r="4324" spans="1:4" x14ac:dyDescent="0.2">
      <c r="A4324" t="s">
        <v>9572</v>
      </c>
      <c r="B4324" t="s">
        <v>9576</v>
      </c>
      <c r="C4324" t="s">
        <v>190</v>
      </c>
      <c r="D4324" t="s">
        <v>191</v>
      </c>
    </row>
    <row r="4325" spans="1:4" x14ac:dyDescent="0.2">
      <c r="A4325" t="s">
        <v>9577</v>
      </c>
      <c r="B4325" t="s">
        <v>9574</v>
      </c>
      <c r="C4325" t="s">
        <v>190</v>
      </c>
      <c r="D4325" t="s">
        <v>9578</v>
      </c>
    </row>
    <row r="4326" spans="1:4" x14ac:dyDescent="0.2">
      <c r="A4326" t="s">
        <v>9579</v>
      </c>
      <c r="B4326" t="s">
        <v>9580</v>
      </c>
      <c r="C4326" t="s">
        <v>190</v>
      </c>
      <c r="D4326" t="s">
        <v>280</v>
      </c>
    </row>
    <row r="4327" spans="1:4" x14ac:dyDescent="0.2">
      <c r="A4327" t="s">
        <v>9581</v>
      </c>
      <c r="B4327" t="s">
        <v>9582</v>
      </c>
      <c r="C4327" t="s">
        <v>190</v>
      </c>
      <c r="D4327" t="s">
        <v>191</v>
      </c>
    </row>
    <row r="4328" spans="1:4" x14ac:dyDescent="0.2">
      <c r="A4328" t="s">
        <v>9583</v>
      </c>
      <c r="B4328" t="s">
        <v>9584</v>
      </c>
      <c r="C4328" t="s">
        <v>9585</v>
      </c>
      <c r="D4328" t="s">
        <v>195</v>
      </c>
    </row>
    <row r="4329" spans="1:4" x14ac:dyDescent="0.2">
      <c r="A4329" t="s">
        <v>9586</v>
      </c>
      <c r="B4329" t="s">
        <v>9587</v>
      </c>
      <c r="C4329" t="s">
        <v>190</v>
      </c>
      <c r="D4329" t="s">
        <v>191</v>
      </c>
    </row>
    <row r="4330" spans="1:4" x14ac:dyDescent="0.2">
      <c r="A4330" t="s">
        <v>9586</v>
      </c>
      <c r="B4330" t="s">
        <v>9588</v>
      </c>
      <c r="C4330" t="s">
        <v>190</v>
      </c>
      <c r="D4330" t="s">
        <v>280</v>
      </c>
    </row>
    <row r="4331" spans="1:4" x14ac:dyDescent="0.2">
      <c r="A4331" t="s">
        <v>9589</v>
      </c>
      <c r="B4331" t="s">
        <v>9590</v>
      </c>
      <c r="C4331" t="s">
        <v>190</v>
      </c>
      <c r="D4331" t="s">
        <v>191</v>
      </c>
    </row>
    <row r="4332" spans="1:4" x14ac:dyDescent="0.2">
      <c r="A4332" t="s">
        <v>9591</v>
      </c>
      <c r="B4332" t="s">
        <v>9592</v>
      </c>
      <c r="C4332" t="s">
        <v>190</v>
      </c>
      <c r="D4332" t="s">
        <v>9593</v>
      </c>
    </row>
    <row r="4333" spans="1:4" x14ac:dyDescent="0.2">
      <c r="A4333" t="s">
        <v>9594</v>
      </c>
      <c r="B4333" t="s">
        <v>9595</v>
      </c>
      <c r="C4333" t="s">
        <v>190</v>
      </c>
      <c r="D4333" t="s">
        <v>191</v>
      </c>
    </row>
    <row r="4334" spans="1:4" x14ac:dyDescent="0.2">
      <c r="A4334" t="s">
        <v>9596</v>
      </c>
      <c r="B4334" t="s">
        <v>9597</v>
      </c>
      <c r="C4334" t="s">
        <v>190</v>
      </c>
      <c r="D4334" t="s">
        <v>191</v>
      </c>
    </row>
    <row r="4335" spans="1:4" x14ac:dyDescent="0.2">
      <c r="A4335" t="s">
        <v>9598</v>
      </c>
      <c r="B4335" t="s">
        <v>9599</v>
      </c>
      <c r="C4335" t="s">
        <v>190</v>
      </c>
      <c r="D4335" t="s">
        <v>191</v>
      </c>
    </row>
    <row r="4336" spans="1:4" x14ac:dyDescent="0.2">
      <c r="A4336" t="s">
        <v>9600</v>
      </c>
      <c r="B4336" t="s">
        <v>9601</v>
      </c>
      <c r="C4336" t="s">
        <v>190</v>
      </c>
      <c r="D4336" t="s">
        <v>191</v>
      </c>
    </row>
    <row r="4337" spans="1:4" x14ac:dyDescent="0.2">
      <c r="A4337" t="s">
        <v>9602</v>
      </c>
      <c r="B4337" t="s">
        <v>9603</v>
      </c>
      <c r="C4337" t="s">
        <v>9604</v>
      </c>
      <c r="D4337" t="s">
        <v>195</v>
      </c>
    </row>
    <row r="4338" spans="1:4" x14ac:dyDescent="0.2">
      <c r="A4338" t="s">
        <v>9602</v>
      </c>
      <c r="B4338" t="s">
        <v>9605</v>
      </c>
      <c r="C4338" t="s">
        <v>190</v>
      </c>
      <c r="D4338" t="s">
        <v>191</v>
      </c>
    </row>
    <row r="4339" spans="1:4" x14ac:dyDescent="0.2">
      <c r="A4339" t="s">
        <v>9602</v>
      </c>
      <c r="B4339" t="s">
        <v>9606</v>
      </c>
      <c r="C4339" t="s">
        <v>190</v>
      </c>
      <c r="D4339" t="s">
        <v>191</v>
      </c>
    </row>
    <row r="4340" spans="1:4" x14ac:dyDescent="0.2">
      <c r="A4340" t="s">
        <v>9602</v>
      </c>
      <c r="B4340" t="s">
        <v>9607</v>
      </c>
      <c r="C4340" t="s">
        <v>190</v>
      </c>
      <c r="D4340" t="s">
        <v>9608</v>
      </c>
    </row>
    <row r="4341" spans="1:4" x14ac:dyDescent="0.2">
      <c r="A4341" t="s">
        <v>9609</v>
      </c>
      <c r="B4341" t="s">
        <v>9610</v>
      </c>
      <c r="C4341" t="s">
        <v>190</v>
      </c>
      <c r="D4341" t="s">
        <v>9611</v>
      </c>
    </row>
    <row r="4342" spans="1:4" x14ac:dyDescent="0.2">
      <c r="A4342" t="s">
        <v>9609</v>
      </c>
      <c r="B4342" t="s">
        <v>9612</v>
      </c>
      <c r="C4342" t="s">
        <v>190</v>
      </c>
      <c r="D4342" t="s">
        <v>191</v>
      </c>
    </row>
    <row r="4343" spans="1:4" x14ac:dyDescent="0.2">
      <c r="A4343" t="s">
        <v>9609</v>
      </c>
      <c r="B4343" t="s">
        <v>9613</v>
      </c>
      <c r="C4343" t="s">
        <v>190</v>
      </c>
      <c r="D4343" t="s">
        <v>191</v>
      </c>
    </row>
    <row r="4344" spans="1:4" x14ac:dyDescent="0.2">
      <c r="A4344" t="s">
        <v>9614</v>
      </c>
      <c r="B4344" t="s">
        <v>9615</v>
      </c>
      <c r="C4344" t="s">
        <v>9616</v>
      </c>
      <c r="D4344" t="s">
        <v>195</v>
      </c>
    </row>
    <row r="4345" spans="1:4" x14ac:dyDescent="0.2">
      <c r="A4345" t="s">
        <v>9614</v>
      </c>
      <c r="B4345" t="s">
        <v>9617</v>
      </c>
      <c r="C4345" t="s">
        <v>9618</v>
      </c>
      <c r="D4345" t="s">
        <v>195</v>
      </c>
    </row>
    <row r="4346" spans="1:4" x14ac:dyDescent="0.2">
      <c r="A4346" t="s">
        <v>9614</v>
      </c>
      <c r="B4346" t="s">
        <v>9619</v>
      </c>
      <c r="C4346" t="s">
        <v>9620</v>
      </c>
      <c r="D4346" t="s">
        <v>195</v>
      </c>
    </row>
    <row r="4347" spans="1:4" x14ac:dyDescent="0.2">
      <c r="A4347" t="s">
        <v>9614</v>
      </c>
      <c r="B4347" t="s">
        <v>9613</v>
      </c>
      <c r="C4347" t="s">
        <v>190</v>
      </c>
      <c r="D4347" t="s">
        <v>9621</v>
      </c>
    </row>
    <row r="4348" spans="1:4" x14ac:dyDescent="0.2">
      <c r="A4348" t="s">
        <v>9614</v>
      </c>
      <c r="B4348" t="s">
        <v>9622</v>
      </c>
      <c r="C4348" t="s">
        <v>9623</v>
      </c>
      <c r="D4348" t="s">
        <v>195</v>
      </c>
    </row>
    <row r="4349" spans="1:4" x14ac:dyDescent="0.2">
      <c r="A4349" t="s">
        <v>9624</v>
      </c>
      <c r="B4349" t="s">
        <v>9625</v>
      </c>
      <c r="C4349" t="s">
        <v>9626</v>
      </c>
      <c r="D4349" t="s">
        <v>195</v>
      </c>
    </row>
    <row r="4350" spans="1:4" x14ac:dyDescent="0.2">
      <c r="A4350" t="s">
        <v>9624</v>
      </c>
      <c r="B4350" t="s">
        <v>9627</v>
      </c>
      <c r="C4350" t="s">
        <v>9628</v>
      </c>
      <c r="D4350" t="s">
        <v>195</v>
      </c>
    </row>
    <row r="4351" spans="1:4" x14ac:dyDescent="0.2">
      <c r="A4351" t="s">
        <v>9629</v>
      </c>
      <c r="B4351" t="s">
        <v>9630</v>
      </c>
      <c r="C4351" t="s">
        <v>9631</v>
      </c>
      <c r="D4351" t="s">
        <v>187</v>
      </c>
    </row>
    <row r="4352" spans="1:4" x14ac:dyDescent="0.2">
      <c r="A4352" t="s">
        <v>9632</v>
      </c>
      <c r="B4352" t="s">
        <v>9633</v>
      </c>
      <c r="C4352" t="s">
        <v>190</v>
      </c>
      <c r="D4352" t="s">
        <v>191</v>
      </c>
    </row>
    <row r="4353" spans="1:4" x14ac:dyDescent="0.2">
      <c r="A4353" t="s">
        <v>9634</v>
      </c>
      <c r="B4353" t="s">
        <v>9635</v>
      </c>
      <c r="C4353" t="s">
        <v>9636</v>
      </c>
      <c r="D4353" t="s">
        <v>195</v>
      </c>
    </row>
    <row r="4354" spans="1:4" x14ac:dyDescent="0.2">
      <c r="A4354" t="s">
        <v>9637</v>
      </c>
      <c r="B4354" t="s">
        <v>9638</v>
      </c>
      <c r="C4354" t="s">
        <v>190</v>
      </c>
      <c r="D4354" t="s">
        <v>191</v>
      </c>
    </row>
    <row r="4355" spans="1:4" x14ac:dyDescent="0.2">
      <c r="A4355" t="s">
        <v>9639</v>
      </c>
      <c r="B4355" t="s">
        <v>9640</v>
      </c>
      <c r="C4355" t="s">
        <v>190</v>
      </c>
      <c r="D4355" t="s">
        <v>191</v>
      </c>
    </row>
    <row r="4356" spans="1:4" x14ac:dyDescent="0.2">
      <c r="A4356" t="s">
        <v>9641</v>
      </c>
      <c r="B4356" t="s">
        <v>9642</v>
      </c>
      <c r="C4356" t="s">
        <v>190</v>
      </c>
      <c r="D4356" t="s">
        <v>191</v>
      </c>
    </row>
    <row r="4357" spans="1:4" x14ac:dyDescent="0.2">
      <c r="A4357" t="s">
        <v>9643</v>
      </c>
      <c r="B4357" t="s">
        <v>9644</v>
      </c>
      <c r="C4357" t="s">
        <v>190</v>
      </c>
      <c r="D4357" t="s">
        <v>191</v>
      </c>
    </row>
    <row r="4358" spans="1:4" x14ac:dyDescent="0.2">
      <c r="A4358" t="s">
        <v>9645</v>
      </c>
      <c r="B4358" t="s">
        <v>9646</v>
      </c>
      <c r="C4358" t="s">
        <v>190</v>
      </c>
      <c r="D4358" t="s">
        <v>191</v>
      </c>
    </row>
    <row r="4359" spans="1:4" x14ac:dyDescent="0.2">
      <c r="A4359" t="s">
        <v>9647</v>
      </c>
      <c r="B4359" t="s">
        <v>9648</v>
      </c>
      <c r="C4359" t="s">
        <v>190</v>
      </c>
      <c r="D4359" t="s">
        <v>191</v>
      </c>
    </row>
    <row r="4360" spans="1:4" x14ac:dyDescent="0.2">
      <c r="A4360" t="s">
        <v>9649</v>
      </c>
      <c r="B4360" t="s">
        <v>9650</v>
      </c>
      <c r="C4360" t="s">
        <v>9651</v>
      </c>
      <c r="D4360" t="s">
        <v>195</v>
      </c>
    </row>
    <row r="4361" spans="1:4" x14ac:dyDescent="0.2">
      <c r="A4361" t="s">
        <v>9652</v>
      </c>
      <c r="B4361" t="s">
        <v>9653</v>
      </c>
      <c r="C4361" t="s">
        <v>9654</v>
      </c>
      <c r="D4361" t="s">
        <v>195</v>
      </c>
    </row>
    <row r="4362" spans="1:4" x14ac:dyDescent="0.2">
      <c r="A4362" t="s">
        <v>9655</v>
      </c>
      <c r="B4362" t="s">
        <v>9656</v>
      </c>
      <c r="C4362" t="s">
        <v>190</v>
      </c>
      <c r="D4362" t="s">
        <v>191</v>
      </c>
    </row>
    <row r="4363" spans="1:4" x14ac:dyDescent="0.2">
      <c r="A4363" t="s">
        <v>9657</v>
      </c>
      <c r="B4363" t="s">
        <v>9658</v>
      </c>
      <c r="C4363" t="s">
        <v>9659</v>
      </c>
      <c r="D4363" t="s">
        <v>195</v>
      </c>
    </row>
    <row r="4364" spans="1:4" x14ac:dyDescent="0.2">
      <c r="A4364" t="s">
        <v>9660</v>
      </c>
      <c r="B4364" t="s">
        <v>9661</v>
      </c>
      <c r="C4364" t="s">
        <v>190</v>
      </c>
      <c r="D4364" t="s">
        <v>191</v>
      </c>
    </row>
    <row r="4365" spans="1:4" x14ac:dyDescent="0.2">
      <c r="A4365" t="s">
        <v>9662</v>
      </c>
      <c r="B4365" t="s">
        <v>9663</v>
      </c>
      <c r="C4365" t="s">
        <v>190</v>
      </c>
      <c r="D4365" t="s">
        <v>191</v>
      </c>
    </row>
    <row r="4366" spans="1:4" x14ac:dyDescent="0.2">
      <c r="A4366" t="s">
        <v>9664</v>
      </c>
      <c r="B4366" t="s">
        <v>9665</v>
      </c>
      <c r="C4366" t="s">
        <v>190</v>
      </c>
      <c r="D4366" t="s">
        <v>191</v>
      </c>
    </row>
    <row r="4367" spans="1:4" x14ac:dyDescent="0.2">
      <c r="A4367" t="s">
        <v>9666</v>
      </c>
      <c r="B4367" t="s">
        <v>9667</v>
      </c>
      <c r="C4367" t="s">
        <v>190</v>
      </c>
      <c r="D4367" t="s">
        <v>191</v>
      </c>
    </row>
    <row r="4368" spans="1:4" x14ac:dyDescent="0.2">
      <c r="A4368" t="s">
        <v>9668</v>
      </c>
      <c r="B4368" t="s">
        <v>9669</v>
      </c>
      <c r="C4368" t="s">
        <v>190</v>
      </c>
      <c r="D4368" t="s">
        <v>191</v>
      </c>
    </row>
    <row r="4369" spans="1:4" x14ac:dyDescent="0.2">
      <c r="A4369" t="s">
        <v>9670</v>
      </c>
      <c r="B4369" t="s">
        <v>9671</v>
      </c>
      <c r="C4369" t="s">
        <v>190</v>
      </c>
      <c r="D4369" t="s">
        <v>191</v>
      </c>
    </row>
    <row r="4370" spans="1:4" x14ac:dyDescent="0.2">
      <c r="A4370" t="s">
        <v>9672</v>
      </c>
      <c r="B4370" t="s">
        <v>9673</v>
      </c>
      <c r="C4370" t="s">
        <v>190</v>
      </c>
      <c r="D4370" t="s">
        <v>191</v>
      </c>
    </row>
    <row r="4371" spans="1:4" x14ac:dyDescent="0.2">
      <c r="A4371" t="s">
        <v>9674</v>
      </c>
      <c r="B4371" t="s">
        <v>9675</v>
      </c>
      <c r="C4371" t="s">
        <v>190</v>
      </c>
      <c r="D4371" t="s">
        <v>191</v>
      </c>
    </row>
    <row r="4372" spans="1:4" x14ac:dyDescent="0.2">
      <c r="A4372" t="s">
        <v>9676</v>
      </c>
      <c r="B4372" t="s">
        <v>9677</v>
      </c>
      <c r="C4372" t="s">
        <v>190</v>
      </c>
      <c r="D4372" t="s">
        <v>191</v>
      </c>
    </row>
    <row r="4373" spans="1:4" x14ac:dyDescent="0.2">
      <c r="A4373" t="s">
        <v>9678</v>
      </c>
      <c r="B4373" t="s">
        <v>9679</v>
      </c>
      <c r="C4373" t="s">
        <v>9680</v>
      </c>
      <c r="D4373" t="s">
        <v>195</v>
      </c>
    </row>
    <row r="4374" spans="1:4" x14ac:dyDescent="0.2">
      <c r="A4374" t="s">
        <v>9681</v>
      </c>
      <c r="B4374" t="s">
        <v>9682</v>
      </c>
      <c r="C4374" t="s">
        <v>190</v>
      </c>
      <c r="D4374" t="s">
        <v>191</v>
      </c>
    </row>
    <row r="4375" spans="1:4" x14ac:dyDescent="0.2">
      <c r="A4375" t="s">
        <v>9683</v>
      </c>
      <c r="B4375" t="s">
        <v>9684</v>
      </c>
      <c r="C4375" t="s">
        <v>9685</v>
      </c>
      <c r="D4375" t="s">
        <v>195</v>
      </c>
    </row>
    <row r="4376" spans="1:4" x14ac:dyDescent="0.2">
      <c r="A4376" t="s">
        <v>9686</v>
      </c>
      <c r="B4376" t="s">
        <v>9687</v>
      </c>
      <c r="C4376" t="s">
        <v>9688</v>
      </c>
      <c r="D4376" t="s">
        <v>187</v>
      </c>
    </row>
    <row r="4377" spans="1:4" x14ac:dyDescent="0.2">
      <c r="A4377" t="s">
        <v>9689</v>
      </c>
      <c r="B4377" t="s">
        <v>9690</v>
      </c>
      <c r="C4377" t="s">
        <v>190</v>
      </c>
      <c r="D4377" t="s">
        <v>191</v>
      </c>
    </row>
    <row r="4378" spans="1:4" x14ac:dyDescent="0.2">
      <c r="A4378" t="s">
        <v>9689</v>
      </c>
      <c r="B4378" t="s">
        <v>9691</v>
      </c>
      <c r="C4378" t="s">
        <v>9692</v>
      </c>
      <c r="D4378" t="s">
        <v>195</v>
      </c>
    </row>
    <row r="4379" spans="1:4" x14ac:dyDescent="0.2">
      <c r="A4379" t="s">
        <v>9693</v>
      </c>
      <c r="B4379" t="s">
        <v>9694</v>
      </c>
      <c r="C4379" t="s">
        <v>190</v>
      </c>
      <c r="D4379" t="s">
        <v>191</v>
      </c>
    </row>
    <row r="4380" spans="1:4" x14ac:dyDescent="0.2">
      <c r="A4380" t="s">
        <v>9695</v>
      </c>
      <c r="B4380" t="s">
        <v>9696</v>
      </c>
      <c r="C4380" t="s">
        <v>9697</v>
      </c>
      <c r="D4380" t="s">
        <v>195</v>
      </c>
    </row>
    <row r="4381" spans="1:4" x14ac:dyDescent="0.2">
      <c r="A4381" t="s">
        <v>9698</v>
      </c>
      <c r="B4381" t="s">
        <v>9699</v>
      </c>
      <c r="C4381" t="s">
        <v>9700</v>
      </c>
      <c r="D4381" t="s">
        <v>195</v>
      </c>
    </row>
    <row r="4382" spans="1:4" x14ac:dyDescent="0.2">
      <c r="A4382" t="s">
        <v>9701</v>
      </c>
      <c r="B4382" t="s">
        <v>9702</v>
      </c>
      <c r="C4382" t="s">
        <v>190</v>
      </c>
      <c r="D4382" t="s">
        <v>9703</v>
      </c>
    </row>
    <row r="4383" spans="1:4" x14ac:dyDescent="0.2">
      <c r="A4383" t="s">
        <v>9701</v>
      </c>
      <c r="B4383" t="s">
        <v>9704</v>
      </c>
      <c r="C4383" t="s">
        <v>190</v>
      </c>
      <c r="D4383" t="s">
        <v>280</v>
      </c>
    </row>
    <row r="4384" spans="1:4" x14ac:dyDescent="0.2">
      <c r="A4384" t="s">
        <v>9705</v>
      </c>
      <c r="B4384" t="s">
        <v>9706</v>
      </c>
      <c r="C4384" t="s">
        <v>190</v>
      </c>
      <c r="D4384" t="s">
        <v>191</v>
      </c>
    </row>
    <row r="4385" spans="1:4" x14ac:dyDescent="0.2">
      <c r="A4385" t="s">
        <v>9707</v>
      </c>
      <c r="B4385" t="s">
        <v>9708</v>
      </c>
      <c r="C4385" t="s">
        <v>190</v>
      </c>
      <c r="D4385" t="s">
        <v>191</v>
      </c>
    </row>
    <row r="4386" spans="1:4" x14ac:dyDescent="0.2">
      <c r="A4386" t="s">
        <v>9709</v>
      </c>
      <c r="B4386" t="s">
        <v>9710</v>
      </c>
      <c r="C4386" t="s">
        <v>9711</v>
      </c>
      <c r="D4386" t="s">
        <v>187</v>
      </c>
    </row>
    <row r="4387" spans="1:4" x14ac:dyDescent="0.2">
      <c r="A4387" t="s">
        <v>9712</v>
      </c>
      <c r="B4387" t="s">
        <v>9713</v>
      </c>
      <c r="C4387" t="s">
        <v>190</v>
      </c>
      <c r="D4387" t="s">
        <v>191</v>
      </c>
    </row>
    <row r="4388" spans="1:4" x14ac:dyDescent="0.2">
      <c r="A4388" t="s">
        <v>9714</v>
      </c>
      <c r="B4388" t="s">
        <v>9715</v>
      </c>
      <c r="C4388" t="s">
        <v>190</v>
      </c>
      <c r="D4388" t="s">
        <v>191</v>
      </c>
    </row>
    <row r="4389" spans="1:4" x14ac:dyDescent="0.2">
      <c r="A4389" t="s">
        <v>9716</v>
      </c>
      <c r="B4389" t="s">
        <v>9717</v>
      </c>
      <c r="C4389" t="s">
        <v>9718</v>
      </c>
      <c r="D4389" t="s">
        <v>195</v>
      </c>
    </row>
    <row r="4390" spans="1:4" x14ac:dyDescent="0.2">
      <c r="A4390" t="s">
        <v>9719</v>
      </c>
      <c r="B4390" t="s">
        <v>9720</v>
      </c>
      <c r="C4390" t="s">
        <v>9721</v>
      </c>
      <c r="D4390" t="s">
        <v>187</v>
      </c>
    </row>
    <row r="4391" spans="1:4" x14ac:dyDescent="0.2">
      <c r="A4391" t="s">
        <v>9722</v>
      </c>
      <c r="B4391" t="s">
        <v>9723</v>
      </c>
      <c r="C4391" t="s">
        <v>190</v>
      </c>
      <c r="D4391" t="s">
        <v>191</v>
      </c>
    </row>
    <row r="4392" spans="1:4" x14ac:dyDescent="0.2">
      <c r="A4392" t="s">
        <v>9724</v>
      </c>
      <c r="B4392" t="s">
        <v>9725</v>
      </c>
      <c r="C4392" t="s">
        <v>190</v>
      </c>
      <c r="D4392" t="s">
        <v>191</v>
      </c>
    </row>
    <row r="4393" spans="1:4" x14ac:dyDescent="0.2">
      <c r="A4393" t="s">
        <v>9726</v>
      </c>
      <c r="B4393" t="s">
        <v>9727</v>
      </c>
      <c r="C4393" t="s">
        <v>190</v>
      </c>
      <c r="D4393" t="s">
        <v>9728</v>
      </c>
    </row>
    <row r="4394" spans="1:4" x14ac:dyDescent="0.2">
      <c r="A4394" t="s">
        <v>9729</v>
      </c>
      <c r="B4394" t="s">
        <v>9730</v>
      </c>
      <c r="C4394" t="s">
        <v>190</v>
      </c>
      <c r="D4394" t="s">
        <v>191</v>
      </c>
    </row>
    <row r="4395" spans="1:4" x14ac:dyDescent="0.2">
      <c r="A4395" t="s">
        <v>9731</v>
      </c>
      <c r="B4395" t="s">
        <v>9732</v>
      </c>
      <c r="C4395" t="s">
        <v>190</v>
      </c>
      <c r="D4395" t="s">
        <v>191</v>
      </c>
    </row>
    <row r="4396" spans="1:4" x14ac:dyDescent="0.2">
      <c r="A4396" t="s">
        <v>9733</v>
      </c>
      <c r="B4396" t="s">
        <v>9734</v>
      </c>
      <c r="C4396" t="s">
        <v>9735</v>
      </c>
      <c r="D4396" t="s">
        <v>187</v>
      </c>
    </row>
    <row r="4397" spans="1:4" x14ac:dyDescent="0.2">
      <c r="A4397" t="s">
        <v>9736</v>
      </c>
      <c r="B4397" t="s">
        <v>9737</v>
      </c>
      <c r="C4397" t="s">
        <v>190</v>
      </c>
      <c r="D4397" t="s">
        <v>191</v>
      </c>
    </row>
    <row r="4398" spans="1:4" x14ac:dyDescent="0.2">
      <c r="A4398" t="s">
        <v>9738</v>
      </c>
      <c r="B4398" t="s">
        <v>9739</v>
      </c>
      <c r="C4398" t="s">
        <v>9740</v>
      </c>
      <c r="D4398" t="s">
        <v>187</v>
      </c>
    </row>
    <row r="4399" spans="1:4" x14ac:dyDescent="0.2">
      <c r="A4399" t="s">
        <v>9741</v>
      </c>
      <c r="B4399" t="s">
        <v>9742</v>
      </c>
      <c r="C4399" t="s">
        <v>9743</v>
      </c>
      <c r="D4399" t="s">
        <v>187</v>
      </c>
    </row>
    <row r="4400" spans="1:4" x14ac:dyDescent="0.2">
      <c r="A4400" t="s">
        <v>9744</v>
      </c>
      <c r="B4400" t="s">
        <v>9745</v>
      </c>
      <c r="C4400" t="s">
        <v>190</v>
      </c>
      <c r="D4400" t="s">
        <v>280</v>
      </c>
    </row>
    <row r="4401" spans="1:4" x14ac:dyDescent="0.2">
      <c r="A4401" t="s">
        <v>9746</v>
      </c>
      <c r="B4401" t="s">
        <v>9747</v>
      </c>
      <c r="C4401" t="s">
        <v>190</v>
      </c>
      <c r="D4401" t="s">
        <v>191</v>
      </c>
    </row>
    <row r="4402" spans="1:4" x14ac:dyDescent="0.2">
      <c r="A4402" t="s">
        <v>9748</v>
      </c>
      <c r="B4402" t="s">
        <v>9749</v>
      </c>
      <c r="C4402" t="s">
        <v>9750</v>
      </c>
      <c r="D4402" t="s">
        <v>195</v>
      </c>
    </row>
    <row r="4403" spans="1:4" x14ac:dyDescent="0.2">
      <c r="A4403" t="s">
        <v>9751</v>
      </c>
      <c r="B4403" t="s">
        <v>9752</v>
      </c>
      <c r="C4403" t="s">
        <v>9753</v>
      </c>
      <c r="D4403" t="s">
        <v>195</v>
      </c>
    </row>
    <row r="4404" spans="1:4" x14ac:dyDescent="0.2">
      <c r="A4404" t="s">
        <v>9754</v>
      </c>
      <c r="B4404" t="s">
        <v>9755</v>
      </c>
      <c r="C4404" t="s">
        <v>190</v>
      </c>
      <c r="D4404" t="s">
        <v>191</v>
      </c>
    </row>
    <row r="4405" spans="1:4" x14ac:dyDescent="0.2">
      <c r="A4405" t="s">
        <v>9756</v>
      </c>
      <c r="B4405" t="s">
        <v>9757</v>
      </c>
      <c r="C4405" t="s">
        <v>190</v>
      </c>
      <c r="D4405" t="s">
        <v>191</v>
      </c>
    </row>
    <row r="4406" spans="1:4" x14ac:dyDescent="0.2">
      <c r="A4406" t="s">
        <v>9758</v>
      </c>
      <c r="B4406" t="s">
        <v>9759</v>
      </c>
      <c r="C4406" t="s">
        <v>190</v>
      </c>
      <c r="D4406" t="s">
        <v>191</v>
      </c>
    </row>
    <row r="4407" spans="1:4" x14ac:dyDescent="0.2">
      <c r="A4407" t="s">
        <v>9760</v>
      </c>
      <c r="B4407" t="s">
        <v>9761</v>
      </c>
      <c r="C4407" t="s">
        <v>9762</v>
      </c>
      <c r="D4407" t="s">
        <v>195</v>
      </c>
    </row>
    <row r="4408" spans="1:4" x14ac:dyDescent="0.2">
      <c r="A4408" t="s">
        <v>9763</v>
      </c>
      <c r="B4408" t="s">
        <v>9764</v>
      </c>
      <c r="C4408" t="s">
        <v>9765</v>
      </c>
      <c r="D4408" t="s">
        <v>195</v>
      </c>
    </row>
    <row r="4409" spans="1:4" x14ac:dyDescent="0.2">
      <c r="A4409" t="s">
        <v>9766</v>
      </c>
      <c r="B4409" t="s">
        <v>9767</v>
      </c>
      <c r="C4409" t="s">
        <v>9768</v>
      </c>
      <c r="D4409" t="s">
        <v>195</v>
      </c>
    </row>
    <row r="4410" spans="1:4" x14ac:dyDescent="0.2">
      <c r="A4410" t="s">
        <v>9769</v>
      </c>
      <c r="B4410" t="s">
        <v>9770</v>
      </c>
      <c r="C4410" t="s">
        <v>190</v>
      </c>
      <c r="D4410" t="s">
        <v>191</v>
      </c>
    </row>
    <row r="4411" spans="1:4" x14ac:dyDescent="0.2">
      <c r="A4411" t="s">
        <v>9771</v>
      </c>
      <c r="B4411" t="s">
        <v>9772</v>
      </c>
      <c r="C4411" t="s">
        <v>190</v>
      </c>
      <c r="D4411" t="s">
        <v>191</v>
      </c>
    </row>
    <row r="4412" spans="1:4" x14ac:dyDescent="0.2">
      <c r="A4412" t="s">
        <v>9773</v>
      </c>
      <c r="B4412" t="s">
        <v>9774</v>
      </c>
      <c r="C4412" t="s">
        <v>190</v>
      </c>
      <c r="D4412" t="s">
        <v>191</v>
      </c>
    </row>
    <row r="4413" spans="1:4" x14ac:dyDescent="0.2">
      <c r="A4413" t="s">
        <v>9773</v>
      </c>
      <c r="B4413" t="s">
        <v>9775</v>
      </c>
      <c r="C4413" t="s">
        <v>190</v>
      </c>
      <c r="D4413" t="s">
        <v>280</v>
      </c>
    </row>
    <row r="4414" spans="1:4" x14ac:dyDescent="0.2">
      <c r="A4414" t="s">
        <v>9776</v>
      </c>
      <c r="B4414" t="s">
        <v>9777</v>
      </c>
      <c r="C4414" t="s">
        <v>9778</v>
      </c>
      <c r="D4414" t="s">
        <v>195</v>
      </c>
    </row>
    <row r="4415" spans="1:4" x14ac:dyDescent="0.2">
      <c r="A4415" t="s">
        <v>9779</v>
      </c>
      <c r="B4415" t="s">
        <v>9780</v>
      </c>
      <c r="C4415" t="s">
        <v>9781</v>
      </c>
      <c r="D4415" t="s">
        <v>195</v>
      </c>
    </row>
    <row r="4416" spans="1:4" x14ac:dyDescent="0.2">
      <c r="A4416" t="s">
        <v>9782</v>
      </c>
      <c r="B4416" t="s">
        <v>9783</v>
      </c>
      <c r="C4416" t="s">
        <v>190</v>
      </c>
      <c r="D4416" t="s">
        <v>191</v>
      </c>
    </row>
    <row r="4417" spans="1:4" x14ac:dyDescent="0.2">
      <c r="A4417" t="s">
        <v>9784</v>
      </c>
      <c r="B4417" t="s">
        <v>9785</v>
      </c>
      <c r="C4417" t="s">
        <v>190</v>
      </c>
      <c r="D4417" t="s">
        <v>191</v>
      </c>
    </row>
    <row r="4418" spans="1:4" x14ac:dyDescent="0.2">
      <c r="A4418" t="s">
        <v>9786</v>
      </c>
      <c r="B4418" t="s">
        <v>9787</v>
      </c>
      <c r="C4418" t="s">
        <v>9788</v>
      </c>
      <c r="D4418" t="s">
        <v>187</v>
      </c>
    </row>
    <row r="4419" spans="1:4" x14ac:dyDescent="0.2">
      <c r="A4419" t="s">
        <v>9789</v>
      </c>
      <c r="B4419" t="s">
        <v>9790</v>
      </c>
      <c r="C4419" t="s">
        <v>190</v>
      </c>
      <c r="D4419" t="s">
        <v>191</v>
      </c>
    </row>
    <row r="4420" spans="1:4" x14ac:dyDescent="0.2">
      <c r="A4420" t="s">
        <v>9791</v>
      </c>
      <c r="B4420" t="s">
        <v>9792</v>
      </c>
      <c r="C4420" t="s">
        <v>190</v>
      </c>
      <c r="D4420" t="s">
        <v>280</v>
      </c>
    </row>
    <row r="4421" spans="1:4" x14ac:dyDescent="0.2">
      <c r="A4421" t="s">
        <v>9793</v>
      </c>
      <c r="B4421" t="s">
        <v>9794</v>
      </c>
      <c r="C4421" t="s">
        <v>190</v>
      </c>
      <c r="D4421" t="s">
        <v>191</v>
      </c>
    </row>
    <row r="4422" spans="1:4" x14ac:dyDescent="0.2">
      <c r="A4422" t="s">
        <v>9795</v>
      </c>
      <c r="B4422" t="s">
        <v>9796</v>
      </c>
      <c r="C4422" t="s">
        <v>190</v>
      </c>
      <c r="D4422" t="s">
        <v>191</v>
      </c>
    </row>
    <row r="4423" spans="1:4" x14ac:dyDescent="0.2">
      <c r="A4423" t="s">
        <v>9797</v>
      </c>
      <c r="B4423" t="s">
        <v>9798</v>
      </c>
      <c r="C4423" t="s">
        <v>190</v>
      </c>
      <c r="D4423" t="s">
        <v>191</v>
      </c>
    </row>
    <row r="4424" spans="1:4" x14ac:dyDescent="0.2">
      <c r="A4424" t="s">
        <v>9799</v>
      </c>
      <c r="B4424" t="s">
        <v>9800</v>
      </c>
      <c r="C4424" t="s">
        <v>190</v>
      </c>
      <c r="D4424" t="s">
        <v>191</v>
      </c>
    </row>
    <row r="4425" spans="1:4" x14ac:dyDescent="0.2">
      <c r="A4425" t="s">
        <v>9801</v>
      </c>
      <c r="B4425" t="s">
        <v>9802</v>
      </c>
      <c r="C4425" t="s">
        <v>9803</v>
      </c>
      <c r="D4425" t="s">
        <v>187</v>
      </c>
    </row>
    <row r="4426" spans="1:4" x14ac:dyDescent="0.2">
      <c r="A4426" t="s">
        <v>9804</v>
      </c>
      <c r="B4426" t="s">
        <v>9805</v>
      </c>
      <c r="C4426" t="s">
        <v>190</v>
      </c>
      <c r="D4426" t="s">
        <v>191</v>
      </c>
    </row>
    <row r="4427" spans="1:4" x14ac:dyDescent="0.2">
      <c r="A4427" t="s">
        <v>9806</v>
      </c>
      <c r="B4427" t="s">
        <v>9807</v>
      </c>
      <c r="C4427" t="s">
        <v>190</v>
      </c>
      <c r="D4427" t="s">
        <v>191</v>
      </c>
    </row>
    <row r="4428" spans="1:4" x14ac:dyDescent="0.2">
      <c r="A4428" t="s">
        <v>9808</v>
      </c>
      <c r="B4428" t="s">
        <v>9809</v>
      </c>
      <c r="C4428" t="s">
        <v>190</v>
      </c>
      <c r="D4428" t="s">
        <v>191</v>
      </c>
    </row>
    <row r="4429" spans="1:4" x14ac:dyDescent="0.2">
      <c r="A4429" t="s">
        <v>9810</v>
      </c>
      <c r="B4429" t="s">
        <v>9811</v>
      </c>
      <c r="C4429" t="s">
        <v>190</v>
      </c>
      <c r="D4429" t="s">
        <v>191</v>
      </c>
    </row>
    <row r="4430" spans="1:4" x14ac:dyDescent="0.2">
      <c r="A4430" t="s">
        <v>9812</v>
      </c>
      <c r="B4430" t="s">
        <v>9813</v>
      </c>
      <c r="C4430" t="s">
        <v>190</v>
      </c>
      <c r="D4430" t="s">
        <v>191</v>
      </c>
    </row>
    <row r="4431" spans="1:4" x14ac:dyDescent="0.2">
      <c r="A4431" t="s">
        <v>9814</v>
      </c>
      <c r="B4431" t="s">
        <v>9815</v>
      </c>
      <c r="C4431" t="s">
        <v>190</v>
      </c>
      <c r="D4431" t="s">
        <v>191</v>
      </c>
    </row>
    <row r="4432" spans="1:4" x14ac:dyDescent="0.2">
      <c r="A4432" t="s">
        <v>9816</v>
      </c>
      <c r="B4432" t="s">
        <v>9817</v>
      </c>
      <c r="C4432" t="s">
        <v>190</v>
      </c>
      <c r="D4432" t="s">
        <v>191</v>
      </c>
    </row>
    <row r="4433" spans="1:4" x14ac:dyDescent="0.2">
      <c r="A4433" t="s">
        <v>9818</v>
      </c>
      <c r="B4433" t="s">
        <v>9819</v>
      </c>
      <c r="C4433" t="s">
        <v>9820</v>
      </c>
      <c r="D4433" t="s">
        <v>187</v>
      </c>
    </row>
    <row r="4434" spans="1:4" x14ac:dyDescent="0.2">
      <c r="A4434" t="s">
        <v>9821</v>
      </c>
      <c r="B4434" t="s">
        <v>9822</v>
      </c>
      <c r="C4434" t="s">
        <v>190</v>
      </c>
      <c r="D4434" t="s">
        <v>191</v>
      </c>
    </row>
    <row r="4435" spans="1:4" x14ac:dyDescent="0.2">
      <c r="A4435" t="s">
        <v>9823</v>
      </c>
      <c r="B4435" t="s">
        <v>9824</v>
      </c>
      <c r="C4435" t="s">
        <v>190</v>
      </c>
      <c r="D4435" t="s">
        <v>191</v>
      </c>
    </row>
    <row r="4436" spans="1:4" x14ac:dyDescent="0.2">
      <c r="A4436" t="s">
        <v>9823</v>
      </c>
      <c r="B4436" t="s">
        <v>9825</v>
      </c>
      <c r="C4436" t="s">
        <v>190</v>
      </c>
      <c r="D4436" t="s">
        <v>191</v>
      </c>
    </row>
    <row r="4437" spans="1:4" x14ac:dyDescent="0.2">
      <c r="A4437" t="s">
        <v>9826</v>
      </c>
      <c r="B4437" t="s">
        <v>9827</v>
      </c>
      <c r="C4437" t="s">
        <v>9828</v>
      </c>
      <c r="D4437" t="s">
        <v>187</v>
      </c>
    </row>
    <row r="4438" spans="1:4" x14ac:dyDescent="0.2">
      <c r="A4438" t="s">
        <v>9829</v>
      </c>
      <c r="B4438" t="s">
        <v>9830</v>
      </c>
      <c r="C4438" t="s">
        <v>190</v>
      </c>
      <c r="D4438" t="s">
        <v>191</v>
      </c>
    </row>
    <row r="4439" spans="1:4" x14ac:dyDescent="0.2">
      <c r="A4439" t="s">
        <v>9831</v>
      </c>
      <c r="B4439" t="s">
        <v>9832</v>
      </c>
      <c r="C4439" t="s">
        <v>190</v>
      </c>
      <c r="D4439" t="s">
        <v>191</v>
      </c>
    </row>
    <row r="4440" spans="1:4" x14ac:dyDescent="0.2">
      <c r="A4440" t="s">
        <v>9833</v>
      </c>
      <c r="B4440" t="s">
        <v>9834</v>
      </c>
      <c r="C4440" t="s">
        <v>9835</v>
      </c>
      <c r="D4440" t="s">
        <v>195</v>
      </c>
    </row>
    <row r="4441" spans="1:4" x14ac:dyDescent="0.2">
      <c r="A4441" t="s">
        <v>9836</v>
      </c>
      <c r="B4441" t="s">
        <v>9837</v>
      </c>
      <c r="C4441" t="s">
        <v>190</v>
      </c>
      <c r="D4441" t="s">
        <v>191</v>
      </c>
    </row>
    <row r="4442" spans="1:4" x14ac:dyDescent="0.2">
      <c r="A4442" t="s">
        <v>9836</v>
      </c>
      <c r="B4442" t="s">
        <v>9838</v>
      </c>
      <c r="C4442" t="s">
        <v>190</v>
      </c>
      <c r="D4442" t="s">
        <v>191</v>
      </c>
    </row>
    <row r="4443" spans="1:4" x14ac:dyDescent="0.2">
      <c r="A4443" t="s">
        <v>9839</v>
      </c>
      <c r="B4443" t="s">
        <v>9840</v>
      </c>
      <c r="C4443" t="s">
        <v>190</v>
      </c>
      <c r="D4443" t="s">
        <v>191</v>
      </c>
    </row>
    <row r="4444" spans="1:4" x14ac:dyDescent="0.2">
      <c r="A4444" t="s">
        <v>9841</v>
      </c>
      <c r="B4444" t="s">
        <v>9842</v>
      </c>
      <c r="C4444" t="s">
        <v>190</v>
      </c>
      <c r="D4444" t="s">
        <v>191</v>
      </c>
    </row>
    <row r="4445" spans="1:4" x14ac:dyDescent="0.2">
      <c r="A4445" t="s">
        <v>9843</v>
      </c>
      <c r="B4445" t="s">
        <v>9844</v>
      </c>
      <c r="C4445" t="s">
        <v>9845</v>
      </c>
      <c r="D4445" t="s">
        <v>187</v>
      </c>
    </row>
    <row r="4446" spans="1:4" x14ac:dyDescent="0.2">
      <c r="A4446" t="s">
        <v>9846</v>
      </c>
      <c r="B4446" t="s">
        <v>9847</v>
      </c>
      <c r="C4446" t="s">
        <v>9848</v>
      </c>
      <c r="D4446" t="s">
        <v>187</v>
      </c>
    </row>
    <row r="4447" spans="1:4" x14ac:dyDescent="0.2">
      <c r="A4447" t="s">
        <v>9849</v>
      </c>
      <c r="B4447" t="s">
        <v>9850</v>
      </c>
      <c r="C4447" t="s">
        <v>9851</v>
      </c>
      <c r="D4447" t="s">
        <v>195</v>
      </c>
    </row>
    <row r="4448" spans="1:4" x14ac:dyDescent="0.2">
      <c r="A4448" t="s">
        <v>9852</v>
      </c>
      <c r="B4448" t="s">
        <v>9853</v>
      </c>
      <c r="C4448" t="s">
        <v>190</v>
      </c>
      <c r="D4448" t="s">
        <v>191</v>
      </c>
    </row>
    <row r="4449" spans="1:4" x14ac:dyDescent="0.2">
      <c r="A4449" t="s">
        <v>9854</v>
      </c>
      <c r="B4449" t="s">
        <v>9855</v>
      </c>
      <c r="C4449" t="s">
        <v>190</v>
      </c>
      <c r="D4449" t="s">
        <v>191</v>
      </c>
    </row>
    <row r="4450" spans="1:4" x14ac:dyDescent="0.2">
      <c r="A4450" t="s">
        <v>9856</v>
      </c>
      <c r="B4450" t="s">
        <v>9857</v>
      </c>
      <c r="C4450" t="s">
        <v>9858</v>
      </c>
      <c r="D4450" t="s">
        <v>195</v>
      </c>
    </row>
    <row r="4451" spans="1:4" x14ac:dyDescent="0.2">
      <c r="A4451" t="s">
        <v>9859</v>
      </c>
      <c r="B4451" t="s">
        <v>9860</v>
      </c>
      <c r="C4451" t="s">
        <v>9861</v>
      </c>
      <c r="D4451" t="s">
        <v>187</v>
      </c>
    </row>
    <row r="4452" spans="1:4" x14ac:dyDescent="0.2">
      <c r="A4452" t="s">
        <v>9862</v>
      </c>
      <c r="B4452" t="s">
        <v>9863</v>
      </c>
      <c r="C4452" t="s">
        <v>190</v>
      </c>
      <c r="D4452" t="s">
        <v>191</v>
      </c>
    </row>
    <row r="4453" spans="1:4" x14ac:dyDescent="0.2">
      <c r="A4453" t="s">
        <v>9864</v>
      </c>
      <c r="B4453" t="s">
        <v>9865</v>
      </c>
      <c r="C4453" t="s">
        <v>9866</v>
      </c>
      <c r="D4453" t="s">
        <v>195</v>
      </c>
    </row>
    <row r="4454" spans="1:4" x14ac:dyDescent="0.2">
      <c r="A4454" t="s">
        <v>9867</v>
      </c>
      <c r="B4454" t="s">
        <v>9868</v>
      </c>
      <c r="C4454" t="s">
        <v>190</v>
      </c>
      <c r="D4454" t="s">
        <v>191</v>
      </c>
    </row>
    <row r="4455" spans="1:4" x14ac:dyDescent="0.2">
      <c r="A4455" t="s">
        <v>9869</v>
      </c>
      <c r="B4455" t="s">
        <v>9870</v>
      </c>
      <c r="C4455" t="s">
        <v>190</v>
      </c>
      <c r="D4455" t="s">
        <v>191</v>
      </c>
    </row>
    <row r="4456" spans="1:4" x14ac:dyDescent="0.2">
      <c r="A4456" t="s">
        <v>9871</v>
      </c>
      <c r="B4456" t="s">
        <v>9872</v>
      </c>
      <c r="C4456" t="s">
        <v>190</v>
      </c>
      <c r="D4456" t="s">
        <v>191</v>
      </c>
    </row>
    <row r="4457" spans="1:4" x14ac:dyDescent="0.2">
      <c r="A4457" t="s">
        <v>9873</v>
      </c>
      <c r="B4457" t="s">
        <v>9874</v>
      </c>
      <c r="C4457" t="s">
        <v>190</v>
      </c>
      <c r="D4457" t="s">
        <v>191</v>
      </c>
    </row>
    <row r="4458" spans="1:4" x14ac:dyDescent="0.2">
      <c r="A4458" t="s">
        <v>9875</v>
      </c>
      <c r="B4458" t="s">
        <v>9876</v>
      </c>
      <c r="C4458" t="s">
        <v>190</v>
      </c>
      <c r="D4458" t="s">
        <v>191</v>
      </c>
    </row>
    <row r="4459" spans="1:4" x14ac:dyDescent="0.2">
      <c r="A4459" t="s">
        <v>9877</v>
      </c>
      <c r="B4459" t="s">
        <v>9878</v>
      </c>
      <c r="C4459" t="s">
        <v>9879</v>
      </c>
      <c r="D4459" t="s">
        <v>187</v>
      </c>
    </row>
    <row r="4460" spans="1:4" x14ac:dyDescent="0.2">
      <c r="A4460" t="s">
        <v>9880</v>
      </c>
      <c r="B4460" t="s">
        <v>9881</v>
      </c>
      <c r="C4460" t="s">
        <v>190</v>
      </c>
      <c r="D4460" t="s">
        <v>191</v>
      </c>
    </row>
    <row r="4461" spans="1:4" x14ac:dyDescent="0.2">
      <c r="A4461" t="s">
        <v>9882</v>
      </c>
      <c r="B4461" t="s">
        <v>9883</v>
      </c>
      <c r="C4461" t="s">
        <v>190</v>
      </c>
      <c r="D4461" t="s">
        <v>191</v>
      </c>
    </row>
    <row r="4462" spans="1:4" x14ac:dyDescent="0.2">
      <c r="A4462" t="s">
        <v>9884</v>
      </c>
      <c r="B4462" t="s">
        <v>9885</v>
      </c>
      <c r="C4462" t="s">
        <v>190</v>
      </c>
      <c r="D4462" t="s">
        <v>191</v>
      </c>
    </row>
    <row r="4463" spans="1:4" x14ac:dyDescent="0.2">
      <c r="A4463" t="s">
        <v>9886</v>
      </c>
      <c r="B4463" t="s">
        <v>9887</v>
      </c>
      <c r="C4463" t="s">
        <v>190</v>
      </c>
      <c r="D4463" t="s">
        <v>9888</v>
      </c>
    </row>
    <row r="4464" spans="1:4" x14ac:dyDescent="0.2">
      <c r="A4464" t="s">
        <v>9889</v>
      </c>
      <c r="B4464" t="s">
        <v>9890</v>
      </c>
      <c r="C4464" t="s">
        <v>9891</v>
      </c>
      <c r="D4464" t="s">
        <v>187</v>
      </c>
    </row>
    <row r="4465" spans="1:4" x14ac:dyDescent="0.2">
      <c r="A4465" t="s">
        <v>9892</v>
      </c>
      <c r="B4465" t="s">
        <v>9893</v>
      </c>
      <c r="C4465" t="s">
        <v>190</v>
      </c>
      <c r="D4465" t="s">
        <v>191</v>
      </c>
    </row>
    <row r="4466" spans="1:4" x14ac:dyDescent="0.2">
      <c r="A4466" t="s">
        <v>9894</v>
      </c>
      <c r="B4466" t="s">
        <v>9895</v>
      </c>
      <c r="C4466" t="s">
        <v>9896</v>
      </c>
      <c r="D4466" t="s">
        <v>187</v>
      </c>
    </row>
    <row r="4467" spans="1:4" x14ac:dyDescent="0.2">
      <c r="A4467" t="s">
        <v>9897</v>
      </c>
      <c r="B4467" t="s">
        <v>9898</v>
      </c>
      <c r="C4467" t="s">
        <v>190</v>
      </c>
      <c r="D4467" t="s">
        <v>191</v>
      </c>
    </row>
    <row r="4468" spans="1:4" x14ac:dyDescent="0.2">
      <c r="A4468" t="s">
        <v>9899</v>
      </c>
      <c r="B4468" t="s">
        <v>9900</v>
      </c>
      <c r="C4468" t="s">
        <v>190</v>
      </c>
      <c r="D4468" t="s">
        <v>191</v>
      </c>
    </row>
    <row r="4469" spans="1:4" x14ac:dyDescent="0.2">
      <c r="A4469" t="s">
        <v>9899</v>
      </c>
      <c r="B4469" t="s">
        <v>9901</v>
      </c>
      <c r="C4469" t="s">
        <v>190</v>
      </c>
      <c r="D4469" t="s">
        <v>191</v>
      </c>
    </row>
    <row r="4470" spans="1:4" x14ac:dyDescent="0.2">
      <c r="A4470" t="s">
        <v>9899</v>
      </c>
      <c r="B4470" t="s">
        <v>9902</v>
      </c>
      <c r="C4470" t="s">
        <v>190</v>
      </c>
      <c r="D4470" t="s">
        <v>191</v>
      </c>
    </row>
    <row r="4471" spans="1:4" x14ac:dyDescent="0.2">
      <c r="A4471" t="s">
        <v>9903</v>
      </c>
      <c r="B4471" t="s">
        <v>9904</v>
      </c>
      <c r="C4471" t="s">
        <v>9905</v>
      </c>
      <c r="D4471" t="s">
        <v>187</v>
      </c>
    </row>
    <row r="4472" spans="1:4" x14ac:dyDescent="0.2">
      <c r="A4472" t="s">
        <v>9906</v>
      </c>
      <c r="B4472" t="s">
        <v>9907</v>
      </c>
      <c r="C4472" t="s">
        <v>9908</v>
      </c>
      <c r="D4472" t="s">
        <v>187</v>
      </c>
    </row>
    <row r="4473" spans="1:4" x14ac:dyDescent="0.2">
      <c r="A4473" t="s">
        <v>9906</v>
      </c>
      <c r="B4473" t="s">
        <v>9909</v>
      </c>
      <c r="C4473" t="s">
        <v>9910</v>
      </c>
      <c r="D4473" t="s">
        <v>187</v>
      </c>
    </row>
    <row r="4474" spans="1:4" x14ac:dyDescent="0.2">
      <c r="A4474" t="s">
        <v>9911</v>
      </c>
      <c r="B4474" t="s">
        <v>9912</v>
      </c>
      <c r="C4474" t="s">
        <v>190</v>
      </c>
      <c r="D4474" t="s">
        <v>191</v>
      </c>
    </row>
    <row r="4475" spans="1:4" x14ac:dyDescent="0.2">
      <c r="A4475" t="s">
        <v>9913</v>
      </c>
      <c r="B4475" t="s">
        <v>9914</v>
      </c>
      <c r="C4475" t="s">
        <v>190</v>
      </c>
      <c r="D4475" t="s">
        <v>191</v>
      </c>
    </row>
    <row r="4476" spans="1:4" x14ac:dyDescent="0.2">
      <c r="A4476" t="s">
        <v>9915</v>
      </c>
      <c r="B4476" t="s">
        <v>9916</v>
      </c>
      <c r="C4476" t="s">
        <v>190</v>
      </c>
      <c r="D4476" t="s">
        <v>191</v>
      </c>
    </row>
    <row r="4477" spans="1:4" x14ac:dyDescent="0.2">
      <c r="A4477" t="s">
        <v>9917</v>
      </c>
      <c r="B4477" t="s">
        <v>9918</v>
      </c>
      <c r="C4477" t="s">
        <v>190</v>
      </c>
      <c r="D4477" t="s">
        <v>191</v>
      </c>
    </row>
    <row r="4478" spans="1:4" x14ac:dyDescent="0.2">
      <c r="A4478" t="s">
        <v>9917</v>
      </c>
      <c r="B4478" t="s">
        <v>9919</v>
      </c>
      <c r="C4478" t="s">
        <v>190</v>
      </c>
      <c r="D4478" t="s">
        <v>191</v>
      </c>
    </row>
    <row r="4479" spans="1:4" x14ac:dyDescent="0.2">
      <c r="A4479" t="s">
        <v>9920</v>
      </c>
      <c r="B4479" t="s">
        <v>9921</v>
      </c>
      <c r="C4479" t="s">
        <v>190</v>
      </c>
      <c r="D4479" t="s">
        <v>191</v>
      </c>
    </row>
    <row r="4480" spans="1:4" x14ac:dyDescent="0.2">
      <c r="A4480" t="s">
        <v>9922</v>
      </c>
      <c r="B4480" t="s">
        <v>9923</v>
      </c>
      <c r="C4480" t="s">
        <v>9924</v>
      </c>
      <c r="D4480" t="s">
        <v>187</v>
      </c>
    </row>
    <row r="4481" spans="1:4" x14ac:dyDescent="0.2">
      <c r="A4481" t="s">
        <v>9925</v>
      </c>
      <c r="B4481" t="s">
        <v>9926</v>
      </c>
      <c r="C4481" t="s">
        <v>190</v>
      </c>
      <c r="D4481" t="s">
        <v>191</v>
      </c>
    </row>
    <row r="4482" spans="1:4" x14ac:dyDescent="0.2">
      <c r="A4482" t="s">
        <v>9927</v>
      </c>
      <c r="B4482" t="s">
        <v>9928</v>
      </c>
      <c r="C4482" t="s">
        <v>9929</v>
      </c>
      <c r="D4482" t="s">
        <v>187</v>
      </c>
    </row>
    <row r="4483" spans="1:4" x14ac:dyDescent="0.2">
      <c r="A4483" t="s">
        <v>9930</v>
      </c>
      <c r="B4483" t="s">
        <v>9931</v>
      </c>
      <c r="C4483" t="s">
        <v>190</v>
      </c>
      <c r="D4483" t="s">
        <v>191</v>
      </c>
    </row>
    <row r="4484" spans="1:4" x14ac:dyDescent="0.2">
      <c r="A4484" t="s">
        <v>9932</v>
      </c>
      <c r="B4484" t="s">
        <v>9933</v>
      </c>
      <c r="C4484" t="s">
        <v>9934</v>
      </c>
      <c r="D4484" t="s">
        <v>187</v>
      </c>
    </row>
    <row r="4485" spans="1:4" x14ac:dyDescent="0.2">
      <c r="A4485" t="s">
        <v>9935</v>
      </c>
      <c r="B4485" t="s">
        <v>9936</v>
      </c>
      <c r="C4485" t="s">
        <v>190</v>
      </c>
      <c r="D4485" t="s">
        <v>191</v>
      </c>
    </row>
    <row r="4486" spans="1:4" x14ac:dyDescent="0.2">
      <c r="A4486" t="s">
        <v>9937</v>
      </c>
      <c r="B4486" t="s">
        <v>9938</v>
      </c>
      <c r="C4486" t="s">
        <v>190</v>
      </c>
      <c r="D4486" t="s">
        <v>191</v>
      </c>
    </row>
    <row r="4487" spans="1:4" x14ac:dyDescent="0.2">
      <c r="A4487" t="s">
        <v>9939</v>
      </c>
      <c r="B4487" t="s">
        <v>9940</v>
      </c>
      <c r="C4487" t="s">
        <v>190</v>
      </c>
      <c r="D4487" t="s">
        <v>191</v>
      </c>
    </row>
    <row r="4488" spans="1:4" x14ac:dyDescent="0.2">
      <c r="A4488" t="s">
        <v>9941</v>
      </c>
      <c r="B4488" t="s">
        <v>9942</v>
      </c>
      <c r="C4488" t="s">
        <v>190</v>
      </c>
      <c r="D4488" t="s">
        <v>191</v>
      </c>
    </row>
    <row r="4489" spans="1:4" x14ac:dyDescent="0.2">
      <c r="A4489" t="s">
        <v>9943</v>
      </c>
      <c r="B4489" t="s">
        <v>9944</v>
      </c>
      <c r="C4489" t="s">
        <v>9945</v>
      </c>
      <c r="D4489" t="s">
        <v>187</v>
      </c>
    </row>
    <row r="4490" spans="1:4" x14ac:dyDescent="0.2">
      <c r="A4490" t="s">
        <v>9946</v>
      </c>
      <c r="B4490" t="s">
        <v>9947</v>
      </c>
      <c r="C4490" t="s">
        <v>9948</v>
      </c>
      <c r="D4490" t="s">
        <v>187</v>
      </c>
    </row>
    <row r="4491" spans="1:4" x14ac:dyDescent="0.2">
      <c r="A4491" t="s">
        <v>9949</v>
      </c>
      <c r="B4491" t="s">
        <v>9950</v>
      </c>
      <c r="C4491" t="s">
        <v>190</v>
      </c>
      <c r="D4491" t="s">
        <v>191</v>
      </c>
    </row>
    <row r="4492" spans="1:4" x14ac:dyDescent="0.2">
      <c r="A4492" t="s">
        <v>9951</v>
      </c>
      <c r="B4492" t="s">
        <v>9952</v>
      </c>
      <c r="C4492" t="s">
        <v>9953</v>
      </c>
      <c r="D4492" t="s">
        <v>187</v>
      </c>
    </row>
    <row r="4493" spans="1:4" x14ac:dyDescent="0.2">
      <c r="A4493" t="s">
        <v>9954</v>
      </c>
      <c r="B4493" t="s">
        <v>9955</v>
      </c>
      <c r="C4493" t="s">
        <v>190</v>
      </c>
      <c r="D4493" t="s">
        <v>191</v>
      </c>
    </row>
    <row r="4494" spans="1:4" x14ac:dyDescent="0.2">
      <c r="A4494" t="s">
        <v>9956</v>
      </c>
      <c r="B4494" t="s">
        <v>9957</v>
      </c>
      <c r="C4494" t="s">
        <v>190</v>
      </c>
      <c r="D4494" t="s">
        <v>191</v>
      </c>
    </row>
    <row r="4495" spans="1:4" x14ac:dyDescent="0.2">
      <c r="A4495" t="s">
        <v>9958</v>
      </c>
      <c r="B4495" t="s">
        <v>9959</v>
      </c>
      <c r="C4495" t="s">
        <v>9960</v>
      </c>
      <c r="D4495" t="s">
        <v>195</v>
      </c>
    </row>
    <row r="4496" spans="1:4" x14ac:dyDescent="0.2">
      <c r="A4496" t="s">
        <v>9961</v>
      </c>
      <c r="B4496" t="s">
        <v>9962</v>
      </c>
      <c r="C4496" t="s">
        <v>190</v>
      </c>
      <c r="D4496" t="s">
        <v>191</v>
      </c>
    </row>
    <row r="4497" spans="1:4" x14ac:dyDescent="0.2">
      <c r="A4497" t="s">
        <v>9963</v>
      </c>
      <c r="B4497" t="s">
        <v>9964</v>
      </c>
      <c r="C4497" t="s">
        <v>190</v>
      </c>
      <c r="D4497" t="s">
        <v>191</v>
      </c>
    </row>
    <row r="4498" spans="1:4" x14ac:dyDescent="0.2">
      <c r="A4498" t="s">
        <v>9965</v>
      </c>
      <c r="B4498" t="s">
        <v>9966</v>
      </c>
      <c r="C4498" t="s">
        <v>190</v>
      </c>
      <c r="D4498" t="s">
        <v>191</v>
      </c>
    </row>
    <row r="4499" spans="1:4" x14ac:dyDescent="0.2">
      <c r="A4499" t="s">
        <v>9967</v>
      </c>
      <c r="B4499" t="s">
        <v>9968</v>
      </c>
      <c r="C4499" t="s">
        <v>9969</v>
      </c>
      <c r="D4499" t="s">
        <v>195</v>
      </c>
    </row>
    <row r="4500" spans="1:4" x14ac:dyDescent="0.2">
      <c r="A4500" t="s">
        <v>9970</v>
      </c>
      <c r="B4500" t="s">
        <v>9971</v>
      </c>
      <c r="C4500" t="s">
        <v>9972</v>
      </c>
      <c r="D4500" t="s">
        <v>195</v>
      </c>
    </row>
    <row r="4501" spans="1:4" x14ac:dyDescent="0.2">
      <c r="A4501" t="s">
        <v>9973</v>
      </c>
      <c r="B4501" t="s">
        <v>9974</v>
      </c>
      <c r="C4501" t="s">
        <v>190</v>
      </c>
      <c r="D4501" t="s">
        <v>191</v>
      </c>
    </row>
    <row r="4502" spans="1:4" x14ac:dyDescent="0.2">
      <c r="A4502" t="s">
        <v>9975</v>
      </c>
      <c r="B4502" t="s">
        <v>9976</v>
      </c>
      <c r="C4502" t="s">
        <v>190</v>
      </c>
      <c r="D4502" t="s">
        <v>191</v>
      </c>
    </row>
    <row r="4503" spans="1:4" x14ac:dyDescent="0.2">
      <c r="A4503" t="s">
        <v>9977</v>
      </c>
      <c r="B4503" t="s">
        <v>9978</v>
      </c>
      <c r="C4503" t="s">
        <v>190</v>
      </c>
      <c r="D4503" t="s">
        <v>191</v>
      </c>
    </row>
    <row r="4504" spans="1:4" x14ac:dyDescent="0.2">
      <c r="A4504" t="s">
        <v>9977</v>
      </c>
      <c r="B4504" t="s">
        <v>9979</v>
      </c>
      <c r="C4504" t="s">
        <v>190</v>
      </c>
      <c r="D4504" t="s">
        <v>9980</v>
      </c>
    </row>
    <row r="4505" spans="1:4" x14ac:dyDescent="0.2">
      <c r="A4505" t="s">
        <v>9981</v>
      </c>
      <c r="B4505" t="s">
        <v>9982</v>
      </c>
      <c r="C4505" t="s">
        <v>9983</v>
      </c>
      <c r="D4505" t="s">
        <v>195</v>
      </c>
    </row>
    <row r="4506" spans="1:4" x14ac:dyDescent="0.2">
      <c r="A4506" t="s">
        <v>9984</v>
      </c>
      <c r="B4506" t="s">
        <v>9985</v>
      </c>
      <c r="C4506" t="s">
        <v>190</v>
      </c>
      <c r="D4506" t="s">
        <v>191</v>
      </c>
    </row>
    <row r="4507" spans="1:4" x14ac:dyDescent="0.2">
      <c r="A4507" t="s">
        <v>9986</v>
      </c>
      <c r="B4507" t="s">
        <v>9987</v>
      </c>
      <c r="C4507" t="s">
        <v>190</v>
      </c>
      <c r="D4507" t="s">
        <v>191</v>
      </c>
    </row>
    <row r="4508" spans="1:4" x14ac:dyDescent="0.2">
      <c r="A4508" t="s">
        <v>9988</v>
      </c>
      <c r="B4508" t="s">
        <v>9989</v>
      </c>
      <c r="C4508" t="s">
        <v>190</v>
      </c>
      <c r="D4508" t="s">
        <v>191</v>
      </c>
    </row>
    <row r="4509" spans="1:4" x14ac:dyDescent="0.2">
      <c r="A4509" t="s">
        <v>9990</v>
      </c>
      <c r="B4509" t="s">
        <v>9991</v>
      </c>
      <c r="C4509" t="s">
        <v>190</v>
      </c>
      <c r="D4509" t="s">
        <v>9992</v>
      </c>
    </row>
    <row r="4510" spans="1:4" x14ac:dyDescent="0.2">
      <c r="A4510" t="s">
        <v>9990</v>
      </c>
      <c r="B4510" t="s">
        <v>9993</v>
      </c>
      <c r="C4510" t="s">
        <v>9994</v>
      </c>
      <c r="D4510" t="s">
        <v>195</v>
      </c>
    </row>
    <row r="4511" spans="1:4" x14ac:dyDescent="0.2">
      <c r="A4511" t="s">
        <v>9990</v>
      </c>
      <c r="B4511" t="s">
        <v>9995</v>
      </c>
      <c r="C4511" t="s">
        <v>9996</v>
      </c>
      <c r="D4511" t="s">
        <v>195</v>
      </c>
    </row>
    <row r="4512" spans="1:4" x14ac:dyDescent="0.2">
      <c r="A4512" t="s">
        <v>9997</v>
      </c>
      <c r="B4512" t="s">
        <v>9998</v>
      </c>
      <c r="C4512" t="s">
        <v>9999</v>
      </c>
      <c r="D4512" t="s">
        <v>195</v>
      </c>
    </row>
    <row r="4513" spans="1:4" x14ac:dyDescent="0.2">
      <c r="A4513" t="s">
        <v>10000</v>
      </c>
      <c r="B4513" t="s">
        <v>10001</v>
      </c>
      <c r="C4513" t="s">
        <v>10002</v>
      </c>
      <c r="D4513" t="s">
        <v>187</v>
      </c>
    </row>
    <row r="4514" spans="1:4" x14ac:dyDescent="0.2">
      <c r="A4514" t="s">
        <v>10003</v>
      </c>
      <c r="B4514" t="s">
        <v>10004</v>
      </c>
      <c r="C4514" t="s">
        <v>190</v>
      </c>
      <c r="D4514" t="s">
        <v>191</v>
      </c>
    </row>
    <row r="4515" spans="1:4" x14ac:dyDescent="0.2">
      <c r="A4515" t="s">
        <v>10005</v>
      </c>
      <c r="B4515" t="s">
        <v>10006</v>
      </c>
      <c r="C4515" t="s">
        <v>190</v>
      </c>
      <c r="D4515" t="s">
        <v>191</v>
      </c>
    </row>
    <row r="4516" spans="1:4" x14ac:dyDescent="0.2">
      <c r="A4516" t="s">
        <v>10007</v>
      </c>
      <c r="B4516" t="s">
        <v>10008</v>
      </c>
      <c r="C4516" t="s">
        <v>190</v>
      </c>
      <c r="D4516" t="s">
        <v>191</v>
      </c>
    </row>
    <row r="4517" spans="1:4" x14ac:dyDescent="0.2">
      <c r="A4517" t="s">
        <v>10009</v>
      </c>
      <c r="B4517" t="s">
        <v>10010</v>
      </c>
      <c r="C4517" t="s">
        <v>190</v>
      </c>
      <c r="D4517" t="s">
        <v>191</v>
      </c>
    </row>
    <row r="4518" spans="1:4" x14ac:dyDescent="0.2">
      <c r="A4518" t="s">
        <v>10011</v>
      </c>
      <c r="B4518" t="s">
        <v>10012</v>
      </c>
      <c r="C4518" t="s">
        <v>10013</v>
      </c>
      <c r="D4518" t="s">
        <v>187</v>
      </c>
    </row>
    <row r="4519" spans="1:4" x14ac:dyDescent="0.2">
      <c r="A4519" t="s">
        <v>10014</v>
      </c>
      <c r="B4519" t="s">
        <v>10015</v>
      </c>
      <c r="C4519" t="s">
        <v>190</v>
      </c>
      <c r="D4519" t="s">
        <v>191</v>
      </c>
    </row>
    <row r="4520" spans="1:4" x14ac:dyDescent="0.2">
      <c r="A4520" t="s">
        <v>10016</v>
      </c>
      <c r="B4520" t="s">
        <v>10017</v>
      </c>
      <c r="C4520" t="s">
        <v>10018</v>
      </c>
      <c r="D4520" t="s">
        <v>195</v>
      </c>
    </row>
    <row r="4521" spans="1:4" x14ac:dyDescent="0.2">
      <c r="A4521" t="s">
        <v>10019</v>
      </c>
      <c r="B4521" t="s">
        <v>10020</v>
      </c>
      <c r="C4521" t="s">
        <v>190</v>
      </c>
      <c r="D4521" t="s">
        <v>191</v>
      </c>
    </row>
    <row r="4522" spans="1:4" x14ac:dyDescent="0.2">
      <c r="A4522" t="s">
        <v>10021</v>
      </c>
      <c r="B4522" t="s">
        <v>10022</v>
      </c>
      <c r="C4522" t="s">
        <v>190</v>
      </c>
      <c r="D4522" t="s">
        <v>280</v>
      </c>
    </row>
    <row r="4523" spans="1:4" x14ac:dyDescent="0.2">
      <c r="A4523" t="s">
        <v>10023</v>
      </c>
      <c r="B4523" t="s">
        <v>10024</v>
      </c>
      <c r="C4523" t="s">
        <v>10025</v>
      </c>
      <c r="D4523" t="s">
        <v>195</v>
      </c>
    </row>
    <row r="4524" spans="1:4" x14ac:dyDescent="0.2">
      <c r="A4524" t="s">
        <v>10026</v>
      </c>
      <c r="B4524" t="s">
        <v>10027</v>
      </c>
      <c r="C4524" t="s">
        <v>10028</v>
      </c>
      <c r="D4524" t="s">
        <v>195</v>
      </c>
    </row>
    <row r="4525" spans="1:4" x14ac:dyDescent="0.2">
      <c r="A4525" t="s">
        <v>10029</v>
      </c>
      <c r="B4525" t="s">
        <v>10030</v>
      </c>
      <c r="C4525" t="s">
        <v>190</v>
      </c>
      <c r="D4525" t="s">
        <v>191</v>
      </c>
    </row>
    <row r="4526" spans="1:4" x14ac:dyDescent="0.2">
      <c r="A4526" t="s">
        <v>10031</v>
      </c>
      <c r="B4526" t="s">
        <v>10032</v>
      </c>
      <c r="C4526" t="s">
        <v>10033</v>
      </c>
      <c r="D4526" t="s">
        <v>195</v>
      </c>
    </row>
    <row r="4527" spans="1:4" x14ac:dyDescent="0.2">
      <c r="A4527" t="s">
        <v>10031</v>
      </c>
      <c r="B4527" t="s">
        <v>10034</v>
      </c>
      <c r="C4527" t="s">
        <v>10035</v>
      </c>
      <c r="D4527" t="s">
        <v>195</v>
      </c>
    </row>
    <row r="4528" spans="1:4" x14ac:dyDescent="0.2">
      <c r="A4528" t="s">
        <v>10036</v>
      </c>
      <c r="B4528" t="s">
        <v>10037</v>
      </c>
      <c r="C4528" t="s">
        <v>190</v>
      </c>
      <c r="D4528" t="s">
        <v>191</v>
      </c>
    </row>
    <row r="4529" spans="1:4" x14ac:dyDescent="0.2">
      <c r="A4529" t="s">
        <v>10038</v>
      </c>
      <c r="B4529" t="s">
        <v>10039</v>
      </c>
      <c r="C4529" t="s">
        <v>10040</v>
      </c>
      <c r="D4529" t="s">
        <v>195</v>
      </c>
    </row>
    <row r="4530" spans="1:4" x14ac:dyDescent="0.2">
      <c r="A4530" t="s">
        <v>10041</v>
      </c>
      <c r="B4530" t="s">
        <v>10042</v>
      </c>
      <c r="C4530" t="s">
        <v>190</v>
      </c>
      <c r="D4530" t="s">
        <v>191</v>
      </c>
    </row>
    <row r="4531" spans="1:4" x14ac:dyDescent="0.2">
      <c r="A4531" t="s">
        <v>10043</v>
      </c>
      <c r="B4531" t="s">
        <v>10044</v>
      </c>
      <c r="C4531" t="s">
        <v>190</v>
      </c>
      <c r="D4531" t="s">
        <v>191</v>
      </c>
    </row>
    <row r="4532" spans="1:4" x14ac:dyDescent="0.2">
      <c r="A4532" t="s">
        <v>10045</v>
      </c>
      <c r="B4532" t="s">
        <v>10046</v>
      </c>
      <c r="C4532" t="s">
        <v>10047</v>
      </c>
      <c r="D4532" t="s">
        <v>187</v>
      </c>
    </row>
    <row r="4533" spans="1:4" x14ac:dyDescent="0.2">
      <c r="A4533" t="s">
        <v>10048</v>
      </c>
      <c r="B4533" t="s">
        <v>10049</v>
      </c>
      <c r="C4533" t="s">
        <v>190</v>
      </c>
      <c r="D4533" t="s">
        <v>191</v>
      </c>
    </row>
    <row r="4534" spans="1:4" x14ac:dyDescent="0.2">
      <c r="A4534" t="s">
        <v>10050</v>
      </c>
      <c r="B4534" t="s">
        <v>10051</v>
      </c>
      <c r="C4534" t="s">
        <v>190</v>
      </c>
      <c r="D4534" t="s">
        <v>191</v>
      </c>
    </row>
    <row r="4535" spans="1:4" x14ac:dyDescent="0.2">
      <c r="A4535" t="s">
        <v>10050</v>
      </c>
      <c r="B4535" t="s">
        <v>10052</v>
      </c>
      <c r="C4535" t="s">
        <v>10053</v>
      </c>
      <c r="D4535" t="s">
        <v>195</v>
      </c>
    </row>
    <row r="4536" spans="1:4" x14ac:dyDescent="0.2">
      <c r="A4536" t="s">
        <v>10050</v>
      </c>
      <c r="B4536" t="s">
        <v>10054</v>
      </c>
      <c r="C4536" t="s">
        <v>10055</v>
      </c>
      <c r="D4536" t="s">
        <v>195</v>
      </c>
    </row>
    <row r="4537" spans="1:4" x14ac:dyDescent="0.2">
      <c r="A4537" t="s">
        <v>10050</v>
      </c>
      <c r="B4537" t="s">
        <v>10056</v>
      </c>
      <c r="C4537" t="s">
        <v>10057</v>
      </c>
      <c r="D4537" t="s">
        <v>195</v>
      </c>
    </row>
    <row r="4538" spans="1:4" x14ac:dyDescent="0.2">
      <c r="A4538" t="s">
        <v>10058</v>
      </c>
      <c r="B4538" t="s">
        <v>10059</v>
      </c>
      <c r="C4538" t="s">
        <v>190</v>
      </c>
      <c r="D4538" t="s">
        <v>191</v>
      </c>
    </row>
    <row r="4539" spans="1:4" x14ac:dyDescent="0.2">
      <c r="A4539" t="s">
        <v>10058</v>
      </c>
      <c r="B4539" t="s">
        <v>10060</v>
      </c>
      <c r="C4539" t="s">
        <v>190</v>
      </c>
      <c r="D4539" t="s">
        <v>191</v>
      </c>
    </row>
    <row r="4540" spans="1:4" x14ac:dyDescent="0.2">
      <c r="A4540" t="s">
        <v>10061</v>
      </c>
      <c r="B4540" t="s">
        <v>10062</v>
      </c>
      <c r="C4540" t="s">
        <v>190</v>
      </c>
      <c r="D4540" t="s">
        <v>191</v>
      </c>
    </row>
    <row r="4541" spans="1:4" x14ac:dyDescent="0.2">
      <c r="A4541" t="s">
        <v>10061</v>
      </c>
      <c r="B4541" t="s">
        <v>10063</v>
      </c>
      <c r="C4541" t="s">
        <v>190</v>
      </c>
      <c r="D4541" t="s">
        <v>191</v>
      </c>
    </row>
    <row r="4542" spans="1:4" x14ac:dyDescent="0.2">
      <c r="A4542" t="s">
        <v>10064</v>
      </c>
      <c r="B4542" t="s">
        <v>10065</v>
      </c>
      <c r="C4542" t="s">
        <v>190</v>
      </c>
      <c r="D4542" t="s">
        <v>191</v>
      </c>
    </row>
    <row r="4543" spans="1:4" x14ac:dyDescent="0.2">
      <c r="A4543" t="s">
        <v>10064</v>
      </c>
      <c r="B4543" t="s">
        <v>10066</v>
      </c>
      <c r="C4543" t="s">
        <v>190</v>
      </c>
      <c r="D4543" t="s">
        <v>191</v>
      </c>
    </row>
    <row r="4544" spans="1:4" x14ac:dyDescent="0.2">
      <c r="A4544" t="s">
        <v>10067</v>
      </c>
      <c r="B4544" t="s">
        <v>10068</v>
      </c>
      <c r="C4544" t="s">
        <v>190</v>
      </c>
      <c r="D4544" t="s">
        <v>191</v>
      </c>
    </row>
    <row r="4545" spans="1:4" x14ac:dyDescent="0.2">
      <c r="A4545" t="s">
        <v>10069</v>
      </c>
      <c r="B4545" t="s">
        <v>10070</v>
      </c>
      <c r="C4545" t="s">
        <v>10071</v>
      </c>
      <c r="D4545" t="s">
        <v>195</v>
      </c>
    </row>
    <row r="4546" spans="1:4" x14ac:dyDescent="0.2">
      <c r="A4546" t="s">
        <v>10072</v>
      </c>
      <c r="B4546" t="s">
        <v>10073</v>
      </c>
      <c r="C4546" t="s">
        <v>10074</v>
      </c>
      <c r="D4546" t="s">
        <v>187</v>
      </c>
    </row>
    <row r="4547" spans="1:4" x14ac:dyDescent="0.2">
      <c r="A4547" t="s">
        <v>10075</v>
      </c>
      <c r="B4547" t="s">
        <v>10076</v>
      </c>
      <c r="C4547" t="s">
        <v>10077</v>
      </c>
      <c r="D4547" t="s">
        <v>195</v>
      </c>
    </row>
    <row r="4548" spans="1:4" x14ac:dyDescent="0.2">
      <c r="A4548" t="s">
        <v>10078</v>
      </c>
      <c r="B4548" t="s">
        <v>10079</v>
      </c>
      <c r="C4548" t="s">
        <v>190</v>
      </c>
      <c r="D4548" t="s">
        <v>191</v>
      </c>
    </row>
    <row r="4549" spans="1:4" x14ac:dyDescent="0.2">
      <c r="A4549" t="s">
        <v>10080</v>
      </c>
      <c r="B4549" t="s">
        <v>10081</v>
      </c>
      <c r="C4549" t="s">
        <v>190</v>
      </c>
      <c r="D4549" t="s">
        <v>191</v>
      </c>
    </row>
    <row r="4550" spans="1:4" x14ac:dyDescent="0.2">
      <c r="A4550" t="s">
        <v>10080</v>
      </c>
      <c r="B4550" t="s">
        <v>10082</v>
      </c>
      <c r="C4550" t="s">
        <v>190</v>
      </c>
      <c r="D4550" t="s">
        <v>280</v>
      </c>
    </row>
    <row r="4551" spans="1:4" x14ac:dyDescent="0.2">
      <c r="A4551" t="s">
        <v>10080</v>
      </c>
      <c r="B4551" t="s">
        <v>10083</v>
      </c>
      <c r="C4551" t="s">
        <v>10084</v>
      </c>
      <c r="D4551" t="s">
        <v>195</v>
      </c>
    </row>
    <row r="4552" spans="1:4" x14ac:dyDescent="0.2">
      <c r="A4552" t="s">
        <v>10080</v>
      </c>
      <c r="B4552" t="s">
        <v>10085</v>
      </c>
      <c r="C4552" t="s">
        <v>190</v>
      </c>
      <c r="D4552" t="s">
        <v>10086</v>
      </c>
    </row>
    <row r="4553" spans="1:4" x14ac:dyDescent="0.2">
      <c r="A4553" t="s">
        <v>10080</v>
      </c>
      <c r="B4553" t="s">
        <v>10087</v>
      </c>
      <c r="C4553" t="s">
        <v>190</v>
      </c>
      <c r="D4553" t="s">
        <v>280</v>
      </c>
    </row>
    <row r="4554" spans="1:4" x14ac:dyDescent="0.2">
      <c r="A4554" t="s">
        <v>10088</v>
      </c>
      <c r="B4554" t="s">
        <v>10089</v>
      </c>
      <c r="C4554" t="s">
        <v>190</v>
      </c>
      <c r="D4554" t="s">
        <v>191</v>
      </c>
    </row>
    <row r="4555" spans="1:4" x14ac:dyDescent="0.2">
      <c r="A4555" t="s">
        <v>10090</v>
      </c>
      <c r="B4555" t="s">
        <v>10091</v>
      </c>
      <c r="C4555" t="s">
        <v>190</v>
      </c>
      <c r="D4555" t="s">
        <v>280</v>
      </c>
    </row>
    <row r="4556" spans="1:4" x14ac:dyDescent="0.2">
      <c r="A4556" t="s">
        <v>10090</v>
      </c>
      <c r="B4556" t="s">
        <v>10092</v>
      </c>
      <c r="C4556" t="s">
        <v>190</v>
      </c>
      <c r="D4556" t="s">
        <v>10093</v>
      </c>
    </row>
    <row r="4557" spans="1:4" x14ac:dyDescent="0.2">
      <c r="A4557" t="s">
        <v>10090</v>
      </c>
      <c r="B4557" t="s">
        <v>10094</v>
      </c>
      <c r="C4557" t="s">
        <v>190</v>
      </c>
      <c r="D4557" t="s">
        <v>10093</v>
      </c>
    </row>
    <row r="4558" spans="1:4" x14ac:dyDescent="0.2">
      <c r="A4558" t="s">
        <v>10095</v>
      </c>
      <c r="B4558" t="s">
        <v>10096</v>
      </c>
      <c r="C4558" t="s">
        <v>190</v>
      </c>
      <c r="D4558" t="s">
        <v>191</v>
      </c>
    </row>
    <row r="4559" spans="1:4" x14ac:dyDescent="0.2">
      <c r="A4559" t="s">
        <v>10097</v>
      </c>
      <c r="B4559" t="s">
        <v>10098</v>
      </c>
      <c r="C4559" t="s">
        <v>190</v>
      </c>
      <c r="D4559" t="s">
        <v>191</v>
      </c>
    </row>
    <row r="4560" spans="1:4" x14ac:dyDescent="0.2">
      <c r="A4560" t="s">
        <v>10097</v>
      </c>
      <c r="B4560" t="s">
        <v>10099</v>
      </c>
      <c r="C4560" t="s">
        <v>10100</v>
      </c>
      <c r="D4560" t="s">
        <v>195</v>
      </c>
    </row>
    <row r="4561" spans="1:4" x14ac:dyDescent="0.2">
      <c r="A4561" t="s">
        <v>10101</v>
      </c>
      <c r="B4561" t="s">
        <v>10102</v>
      </c>
      <c r="C4561" t="s">
        <v>190</v>
      </c>
      <c r="D4561" t="s">
        <v>191</v>
      </c>
    </row>
    <row r="4562" spans="1:4" x14ac:dyDescent="0.2">
      <c r="A4562" t="s">
        <v>10103</v>
      </c>
      <c r="B4562" t="s">
        <v>10104</v>
      </c>
      <c r="C4562" t="s">
        <v>190</v>
      </c>
      <c r="D4562" t="s">
        <v>191</v>
      </c>
    </row>
    <row r="4563" spans="1:4" x14ac:dyDescent="0.2">
      <c r="A4563" t="s">
        <v>10105</v>
      </c>
      <c r="B4563" t="s">
        <v>10106</v>
      </c>
      <c r="C4563" t="s">
        <v>190</v>
      </c>
      <c r="D4563" t="s">
        <v>191</v>
      </c>
    </row>
    <row r="4564" spans="1:4" x14ac:dyDescent="0.2">
      <c r="A4564" t="s">
        <v>10107</v>
      </c>
      <c r="B4564" t="s">
        <v>10108</v>
      </c>
      <c r="C4564" t="s">
        <v>10109</v>
      </c>
      <c r="D4564" t="s">
        <v>187</v>
      </c>
    </row>
    <row r="4565" spans="1:4" x14ac:dyDescent="0.2">
      <c r="A4565" t="s">
        <v>10110</v>
      </c>
      <c r="B4565" t="s">
        <v>10111</v>
      </c>
      <c r="C4565" t="s">
        <v>10112</v>
      </c>
      <c r="D4565" t="s">
        <v>195</v>
      </c>
    </row>
    <row r="4566" spans="1:4" x14ac:dyDescent="0.2">
      <c r="A4566" t="s">
        <v>10113</v>
      </c>
      <c r="B4566" t="s">
        <v>10114</v>
      </c>
      <c r="C4566" t="s">
        <v>190</v>
      </c>
      <c r="D4566" t="s">
        <v>280</v>
      </c>
    </row>
    <row r="4567" spans="1:4" x14ac:dyDescent="0.2">
      <c r="A4567" t="s">
        <v>10115</v>
      </c>
      <c r="B4567" t="s">
        <v>10116</v>
      </c>
      <c r="C4567" t="s">
        <v>190</v>
      </c>
      <c r="D4567" t="s">
        <v>191</v>
      </c>
    </row>
    <row r="4568" spans="1:4" x14ac:dyDescent="0.2">
      <c r="A4568" t="s">
        <v>10117</v>
      </c>
      <c r="B4568" t="s">
        <v>10118</v>
      </c>
      <c r="C4568" t="s">
        <v>10119</v>
      </c>
      <c r="D4568" t="s">
        <v>187</v>
      </c>
    </row>
    <row r="4569" spans="1:4" x14ac:dyDescent="0.2">
      <c r="A4569" t="s">
        <v>10120</v>
      </c>
      <c r="B4569" t="s">
        <v>10121</v>
      </c>
      <c r="C4569" t="s">
        <v>190</v>
      </c>
      <c r="D4569" t="s">
        <v>191</v>
      </c>
    </row>
    <row r="4570" spans="1:4" x14ac:dyDescent="0.2">
      <c r="A4570" t="s">
        <v>10122</v>
      </c>
      <c r="B4570" t="s">
        <v>10123</v>
      </c>
      <c r="C4570" t="s">
        <v>10124</v>
      </c>
      <c r="D4570" t="s">
        <v>187</v>
      </c>
    </row>
    <row r="4571" spans="1:4" x14ac:dyDescent="0.2">
      <c r="A4571" t="s">
        <v>10125</v>
      </c>
      <c r="B4571" t="s">
        <v>10126</v>
      </c>
      <c r="C4571" t="s">
        <v>190</v>
      </c>
      <c r="D4571" t="s">
        <v>191</v>
      </c>
    </row>
    <row r="4572" spans="1:4" x14ac:dyDescent="0.2">
      <c r="A4572" t="s">
        <v>10125</v>
      </c>
      <c r="B4572" t="s">
        <v>10127</v>
      </c>
      <c r="C4572" t="s">
        <v>190</v>
      </c>
      <c r="D4572" t="s">
        <v>191</v>
      </c>
    </row>
    <row r="4573" spans="1:4" x14ac:dyDescent="0.2">
      <c r="A4573" t="s">
        <v>10128</v>
      </c>
      <c r="B4573" t="s">
        <v>10129</v>
      </c>
      <c r="C4573" t="s">
        <v>190</v>
      </c>
      <c r="D4573" t="s">
        <v>191</v>
      </c>
    </row>
    <row r="4574" spans="1:4" x14ac:dyDescent="0.2">
      <c r="A4574" t="s">
        <v>10130</v>
      </c>
      <c r="B4574" t="s">
        <v>10131</v>
      </c>
      <c r="C4574" t="s">
        <v>10132</v>
      </c>
      <c r="D4574" t="s">
        <v>195</v>
      </c>
    </row>
    <row r="4575" spans="1:4" x14ac:dyDescent="0.2">
      <c r="A4575" t="s">
        <v>10130</v>
      </c>
      <c r="B4575" t="s">
        <v>10133</v>
      </c>
      <c r="C4575" t="s">
        <v>190</v>
      </c>
      <c r="D4575" t="s">
        <v>191</v>
      </c>
    </row>
    <row r="4576" spans="1:4" x14ac:dyDescent="0.2">
      <c r="A4576" t="s">
        <v>10134</v>
      </c>
      <c r="B4576" t="s">
        <v>10135</v>
      </c>
      <c r="C4576" t="s">
        <v>10136</v>
      </c>
      <c r="D4576" t="s">
        <v>195</v>
      </c>
    </row>
    <row r="4577" spans="1:4" x14ac:dyDescent="0.2">
      <c r="A4577" t="s">
        <v>10137</v>
      </c>
      <c r="B4577" t="s">
        <v>10138</v>
      </c>
      <c r="C4577" t="s">
        <v>10139</v>
      </c>
      <c r="D4577" t="s">
        <v>195</v>
      </c>
    </row>
    <row r="4578" spans="1:4" x14ac:dyDescent="0.2">
      <c r="A4578" t="s">
        <v>10140</v>
      </c>
      <c r="B4578" t="s">
        <v>10141</v>
      </c>
      <c r="C4578" t="s">
        <v>190</v>
      </c>
      <c r="D4578" t="s">
        <v>191</v>
      </c>
    </row>
    <row r="4579" spans="1:4" x14ac:dyDescent="0.2">
      <c r="A4579" t="s">
        <v>10142</v>
      </c>
      <c r="B4579" t="s">
        <v>10143</v>
      </c>
      <c r="C4579" t="s">
        <v>10144</v>
      </c>
      <c r="D4579" t="s">
        <v>187</v>
      </c>
    </row>
    <row r="4580" spans="1:4" x14ac:dyDescent="0.2">
      <c r="A4580" t="s">
        <v>10145</v>
      </c>
      <c r="B4580" t="s">
        <v>10146</v>
      </c>
      <c r="C4580" t="s">
        <v>190</v>
      </c>
      <c r="D4580" t="s">
        <v>191</v>
      </c>
    </row>
    <row r="4581" spans="1:4" x14ac:dyDescent="0.2">
      <c r="A4581" t="s">
        <v>10147</v>
      </c>
      <c r="B4581" t="s">
        <v>10148</v>
      </c>
      <c r="C4581" t="s">
        <v>190</v>
      </c>
      <c r="D4581" t="s">
        <v>191</v>
      </c>
    </row>
    <row r="4582" spans="1:4" x14ac:dyDescent="0.2">
      <c r="A4582" t="s">
        <v>10149</v>
      </c>
      <c r="B4582" t="s">
        <v>10150</v>
      </c>
      <c r="C4582" t="s">
        <v>190</v>
      </c>
      <c r="D4582" t="s">
        <v>191</v>
      </c>
    </row>
    <row r="4583" spans="1:4" x14ac:dyDescent="0.2">
      <c r="A4583" t="s">
        <v>10151</v>
      </c>
      <c r="B4583" t="s">
        <v>10152</v>
      </c>
      <c r="C4583" t="s">
        <v>190</v>
      </c>
      <c r="D4583" t="s">
        <v>191</v>
      </c>
    </row>
    <row r="4584" spans="1:4" x14ac:dyDescent="0.2">
      <c r="A4584" t="s">
        <v>10153</v>
      </c>
      <c r="B4584" t="s">
        <v>10154</v>
      </c>
      <c r="C4584" t="s">
        <v>10155</v>
      </c>
      <c r="D4584" t="s">
        <v>187</v>
      </c>
    </row>
    <row r="4585" spans="1:4" x14ac:dyDescent="0.2">
      <c r="A4585" t="s">
        <v>10156</v>
      </c>
      <c r="B4585" t="s">
        <v>10157</v>
      </c>
      <c r="C4585" t="s">
        <v>190</v>
      </c>
      <c r="D4585" t="s">
        <v>191</v>
      </c>
    </row>
    <row r="4586" spans="1:4" x14ac:dyDescent="0.2">
      <c r="A4586" t="s">
        <v>10158</v>
      </c>
      <c r="B4586" t="s">
        <v>10159</v>
      </c>
      <c r="C4586" t="s">
        <v>190</v>
      </c>
      <c r="D4586" t="s">
        <v>191</v>
      </c>
    </row>
    <row r="4587" spans="1:4" x14ac:dyDescent="0.2">
      <c r="A4587" t="s">
        <v>10160</v>
      </c>
      <c r="B4587" t="s">
        <v>10161</v>
      </c>
      <c r="C4587" t="s">
        <v>10162</v>
      </c>
      <c r="D4587" t="s">
        <v>187</v>
      </c>
    </row>
    <row r="4588" spans="1:4" x14ac:dyDescent="0.2">
      <c r="A4588" t="s">
        <v>10163</v>
      </c>
      <c r="B4588" t="s">
        <v>10164</v>
      </c>
      <c r="C4588" t="s">
        <v>10165</v>
      </c>
      <c r="D4588" t="s">
        <v>195</v>
      </c>
    </row>
    <row r="4589" spans="1:4" x14ac:dyDescent="0.2">
      <c r="A4589" t="s">
        <v>10166</v>
      </c>
      <c r="B4589" t="s">
        <v>10167</v>
      </c>
      <c r="C4589" t="s">
        <v>190</v>
      </c>
      <c r="D4589" t="s">
        <v>191</v>
      </c>
    </row>
    <row r="4590" spans="1:4" x14ac:dyDescent="0.2">
      <c r="A4590" t="s">
        <v>10168</v>
      </c>
      <c r="B4590" t="s">
        <v>10169</v>
      </c>
      <c r="C4590" t="s">
        <v>190</v>
      </c>
      <c r="D4590" t="s">
        <v>191</v>
      </c>
    </row>
    <row r="4591" spans="1:4" x14ac:dyDescent="0.2">
      <c r="A4591" t="s">
        <v>10170</v>
      </c>
      <c r="B4591" t="s">
        <v>10171</v>
      </c>
      <c r="C4591" t="s">
        <v>10172</v>
      </c>
      <c r="D4591" t="s">
        <v>187</v>
      </c>
    </row>
    <row r="4592" spans="1:4" x14ac:dyDescent="0.2">
      <c r="A4592" t="s">
        <v>10173</v>
      </c>
      <c r="B4592" t="s">
        <v>10174</v>
      </c>
      <c r="C4592" t="s">
        <v>190</v>
      </c>
      <c r="D4592" t="s">
        <v>191</v>
      </c>
    </row>
    <row r="4593" spans="1:4" x14ac:dyDescent="0.2">
      <c r="A4593" t="s">
        <v>10175</v>
      </c>
      <c r="B4593" t="s">
        <v>10176</v>
      </c>
      <c r="C4593" t="s">
        <v>190</v>
      </c>
      <c r="D4593" t="s">
        <v>191</v>
      </c>
    </row>
    <row r="4594" spans="1:4" x14ac:dyDescent="0.2">
      <c r="A4594" t="s">
        <v>10177</v>
      </c>
      <c r="B4594" t="s">
        <v>10178</v>
      </c>
      <c r="C4594" t="s">
        <v>10179</v>
      </c>
      <c r="D4594" t="s">
        <v>195</v>
      </c>
    </row>
    <row r="4595" spans="1:4" x14ac:dyDescent="0.2">
      <c r="A4595" t="s">
        <v>10180</v>
      </c>
      <c r="B4595" t="s">
        <v>10181</v>
      </c>
      <c r="C4595" t="s">
        <v>10182</v>
      </c>
      <c r="D4595" t="s">
        <v>195</v>
      </c>
    </row>
    <row r="4596" spans="1:4" x14ac:dyDescent="0.2">
      <c r="A4596" t="s">
        <v>10183</v>
      </c>
      <c r="B4596" t="s">
        <v>10184</v>
      </c>
      <c r="C4596" t="s">
        <v>10185</v>
      </c>
      <c r="D4596" t="s">
        <v>187</v>
      </c>
    </row>
    <row r="4597" spans="1:4" x14ac:dyDescent="0.2">
      <c r="A4597" t="s">
        <v>10183</v>
      </c>
      <c r="B4597" t="s">
        <v>10186</v>
      </c>
      <c r="C4597" t="s">
        <v>10187</v>
      </c>
      <c r="D4597" t="s">
        <v>195</v>
      </c>
    </row>
    <row r="4598" spans="1:4" x14ac:dyDescent="0.2">
      <c r="A4598" t="s">
        <v>10188</v>
      </c>
      <c r="B4598" t="s">
        <v>10189</v>
      </c>
      <c r="C4598" t="s">
        <v>190</v>
      </c>
      <c r="D4598" t="s">
        <v>191</v>
      </c>
    </row>
    <row r="4599" spans="1:4" x14ac:dyDescent="0.2">
      <c r="A4599" t="s">
        <v>10190</v>
      </c>
      <c r="B4599" t="s">
        <v>10191</v>
      </c>
      <c r="C4599" t="s">
        <v>10192</v>
      </c>
      <c r="D4599" t="s">
        <v>195</v>
      </c>
    </row>
    <row r="4600" spans="1:4" x14ac:dyDescent="0.2">
      <c r="A4600" t="s">
        <v>10193</v>
      </c>
      <c r="B4600" t="s">
        <v>10194</v>
      </c>
      <c r="C4600" t="s">
        <v>190</v>
      </c>
      <c r="D4600" t="s">
        <v>191</v>
      </c>
    </row>
    <row r="4601" spans="1:4" x14ac:dyDescent="0.2">
      <c r="A4601" t="s">
        <v>10195</v>
      </c>
      <c r="B4601" t="s">
        <v>10196</v>
      </c>
      <c r="C4601" t="s">
        <v>10197</v>
      </c>
      <c r="D4601" t="s">
        <v>187</v>
      </c>
    </row>
    <row r="4602" spans="1:4" x14ac:dyDescent="0.2">
      <c r="A4602" t="s">
        <v>10198</v>
      </c>
      <c r="B4602" t="s">
        <v>10199</v>
      </c>
      <c r="C4602" t="s">
        <v>190</v>
      </c>
      <c r="D4602" t="s">
        <v>191</v>
      </c>
    </row>
    <row r="4603" spans="1:4" x14ac:dyDescent="0.2">
      <c r="A4603" t="s">
        <v>10200</v>
      </c>
      <c r="B4603" t="s">
        <v>10201</v>
      </c>
      <c r="C4603" t="s">
        <v>190</v>
      </c>
      <c r="D4603" t="s">
        <v>191</v>
      </c>
    </row>
    <row r="4604" spans="1:4" x14ac:dyDescent="0.2">
      <c r="A4604" t="s">
        <v>10202</v>
      </c>
      <c r="B4604" t="s">
        <v>10203</v>
      </c>
      <c r="C4604" t="s">
        <v>190</v>
      </c>
      <c r="D4604" t="s">
        <v>191</v>
      </c>
    </row>
    <row r="4605" spans="1:4" x14ac:dyDescent="0.2">
      <c r="A4605" t="s">
        <v>10204</v>
      </c>
      <c r="B4605" t="s">
        <v>10205</v>
      </c>
      <c r="C4605" t="s">
        <v>190</v>
      </c>
      <c r="D4605" t="s">
        <v>191</v>
      </c>
    </row>
    <row r="4606" spans="1:4" x14ac:dyDescent="0.2">
      <c r="A4606" t="s">
        <v>10206</v>
      </c>
      <c r="B4606" t="s">
        <v>10207</v>
      </c>
      <c r="C4606" t="s">
        <v>190</v>
      </c>
      <c r="D4606" t="s">
        <v>191</v>
      </c>
    </row>
    <row r="4607" spans="1:4" x14ac:dyDescent="0.2">
      <c r="A4607" t="s">
        <v>10208</v>
      </c>
      <c r="B4607" t="s">
        <v>10209</v>
      </c>
      <c r="C4607" t="s">
        <v>190</v>
      </c>
      <c r="D4607" t="s">
        <v>191</v>
      </c>
    </row>
    <row r="4608" spans="1:4" x14ac:dyDescent="0.2">
      <c r="A4608" t="s">
        <v>10210</v>
      </c>
      <c r="B4608" t="s">
        <v>10211</v>
      </c>
      <c r="C4608" t="s">
        <v>190</v>
      </c>
      <c r="D4608" t="s">
        <v>191</v>
      </c>
    </row>
    <row r="4609" spans="1:4" x14ac:dyDescent="0.2">
      <c r="A4609" t="s">
        <v>10212</v>
      </c>
      <c r="B4609" t="s">
        <v>10213</v>
      </c>
      <c r="C4609" t="s">
        <v>190</v>
      </c>
      <c r="D4609" t="s">
        <v>191</v>
      </c>
    </row>
    <row r="4610" spans="1:4" x14ac:dyDescent="0.2">
      <c r="A4610" t="s">
        <v>10214</v>
      </c>
      <c r="B4610" t="s">
        <v>10215</v>
      </c>
      <c r="C4610" t="s">
        <v>190</v>
      </c>
      <c r="D4610" t="s">
        <v>191</v>
      </c>
    </row>
    <row r="4611" spans="1:4" x14ac:dyDescent="0.2">
      <c r="A4611" t="s">
        <v>10216</v>
      </c>
      <c r="B4611" t="s">
        <v>10217</v>
      </c>
      <c r="C4611" t="s">
        <v>190</v>
      </c>
      <c r="D4611" t="s">
        <v>191</v>
      </c>
    </row>
    <row r="4612" spans="1:4" x14ac:dyDescent="0.2">
      <c r="A4612" t="s">
        <v>10218</v>
      </c>
      <c r="B4612" t="s">
        <v>10219</v>
      </c>
      <c r="C4612" t="s">
        <v>10220</v>
      </c>
      <c r="D4612" t="s">
        <v>187</v>
      </c>
    </row>
    <row r="4613" spans="1:4" x14ac:dyDescent="0.2">
      <c r="A4613" t="s">
        <v>10221</v>
      </c>
      <c r="B4613" t="s">
        <v>10222</v>
      </c>
      <c r="C4613" t="s">
        <v>10223</v>
      </c>
      <c r="D4613" t="s">
        <v>195</v>
      </c>
    </row>
    <row r="4614" spans="1:4" x14ac:dyDescent="0.2">
      <c r="A4614" t="s">
        <v>10224</v>
      </c>
      <c r="B4614" t="s">
        <v>10225</v>
      </c>
      <c r="C4614" t="s">
        <v>190</v>
      </c>
      <c r="D4614" t="s">
        <v>191</v>
      </c>
    </row>
    <row r="4615" spans="1:4" x14ac:dyDescent="0.2">
      <c r="A4615" t="s">
        <v>10226</v>
      </c>
      <c r="B4615" t="s">
        <v>10227</v>
      </c>
      <c r="C4615" t="s">
        <v>190</v>
      </c>
      <c r="D4615" t="s">
        <v>191</v>
      </c>
    </row>
    <row r="4616" spans="1:4" x14ac:dyDescent="0.2">
      <c r="A4616" t="s">
        <v>10228</v>
      </c>
      <c r="B4616" t="s">
        <v>10229</v>
      </c>
      <c r="C4616" t="s">
        <v>10230</v>
      </c>
      <c r="D4616" t="s">
        <v>195</v>
      </c>
    </row>
    <row r="4617" spans="1:4" x14ac:dyDescent="0.2">
      <c r="A4617" t="s">
        <v>10228</v>
      </c>
      <c r="B4617" t="s">
        <v>770</v>
      </c>
      <c r="C4617" t="s">
        <v>190</v>
      </c>
      <c r="D4617" t="s">
        <v>280</v>
      </c>
    </row>
    <row r="4618" spans="1:4" x14ac:dyDescent="0.2">
      <c r="A4618" t="s">
        <v>10231</v>
      </c>
      <c r="B4618" t="s">
        <v>10232</v>
      </c>
      <c r="C4618" t="s">
        <v>10233</v>
      </c>
      <c r="D4618" t="s">
        <v>187</v>
      </c>
    </row>
    <row r="4619" spans="1:4" x14ac:dyDescent="0.2">
      <c r="A4619" t="s">
        <v>10234</v>
      </c>
      <c r="B4619" t="s">
        <v>10235</v>
      </c>
      <c r="C4619" t="s">
        <v>10236</v>
      </c>
      <c r="D4619" t="s">
        <v>187</v>
      </c>
    </row>
    <row r="4620" spans="1:4" x14ac:dyDescent="0.2">
      <c r="A4620" t="s">
        <v>10237</v>
      </c>
      <c r="B4620" t="s">
        <v>10238</v>
      </c>
      <c r="C4620" t="s">
        <v>190</v>
      </c>
      <c r="D4620" t="s">
        <v>191</v>
      </c>
    </row>
    <row r="4621" spans="1:4" x14ac:dyDescent="0.2">
      <c r="A4621" t="s">
        <v>10239</v>
      </c>
      <c r="B4621" t="s">
        <v>10240</v>
      </c>
      <c r="C4621" t="s">
        <v>190</v>
      </c>
      <c r="D4621" t="s">
        <v>191</v>
      </c>
    </row>
    <row r="4622" spans="1:4" x14ac:dyDescent="0.2">
      <c r="A4622" t="s">
        <v>10241</v>
      </c>
      <c r="B4622" t="s">
        <v>10242</v>
      </c>
      <c r="C4622" t="s">
        <v>190</v>
      </c>
      <c r="D4622" t="s">
        <v>191</v>
      </c>
    </row>
    <row r="4623" spans="1:4" x14ac:dyDescent="0.2">
      <c r="A4623" t="s">
        <v>10243</v>
      </c>
      <c r="B4623" t="s">
        <v>10244</v>
      </c>
      <c r="C4623" t="s">
        <v>190</v>
      </c>
      <c r="D4623" t="s">
        <v>191</v>
      </c>
    </row>
    <row r="4624" spans="1:4" x14ac:dyDescent="0.2">
      <c r="A4624" t="s">
        <v>10243</v>
      </c>
      <c r="B4624" t="s">
        <v>10245</v>
      </c>
      <c r="C4624" t="s">
        <v>190</v>
      </c>
      <c r="D4624" t="s">
        <v>191</v>
      </c>
    </row>
    <row r="4625" spans="1:4" x14ac:dyDescent="0.2">
      <c r="A4625" t="s">
        <v>10246</v>
      </c>
      <c r="B4625" t="s">
        <v>10247</v>
      </c>
      <c r="C4625" t="s">
        <v>190</v>
      </c>
      <c r="D4625" t="s">
        <v>191</v>
      </c>
    </row>
    <row r="4626" spans="1:4" x14ac:dyDescent="0.2">
      <c r="A4626" t="s">
        <v>10248</v>
      </c>
      <c r="B4626" t="s">
        <v>10249</v>
      </c>
      <c r="C4626" t="s">
        <v>190</v>
      </c>
      <c r="D4626" t="s">
        <v>191</v>
      </c>
    </row>
    <row r="4627" spans="1:4" x14ac:dyDescent="0.2">
      <c r="A4627" t="s">
        <v>10248</v>
      </c>
      <c r="B4627" t="s">
        <v>10250</v>
      </c>
      <c r="C4627" t="s">
        <v>190</v>
      </c>
      <c r="D4627" t="s">
        <v>280</v>
      </c>
    </row>
    <row r="4628" spans="1:4" x14ac:dyDescent="0.2">
      <c r="A4628" t="s">
        <v>10251</v>
      </c>
      <c r="B4628" t="s">
        <v>10252</v>
      </c>
      <c r="C4628" t="s">
        <v>10253</v>
      </c>
      <c r="D4628" t="s">
        <v>195</v>
      </c>
    </row>
    <row r="4629" spans="1:4" x14ac:dyDescent="0.2">
      <c r="A4629" t="s">
        <v>10254</v>
      </c>
      <c r="B4629" t="s">
        <v>10255</v>
      </c>
      <c r="C4629" t="s">
        <v>190</v>
      </c>
      <c r="D4629" t="s">
        <v>191</v>
      </c>
    </row>
    <row r="4630" spans="1:4" x14ac:dyDescent="0.2">
      <c r="A4630" t="s">
        <v>10256</v>
      </c>
      <c r="B4630" t="s">
        <v>10257</v>
      </c>
      <c r="C4630" t="s">
        <v>190</v>
      </c>
      <c r="D4630" t="s">
        <v>191</v>
      </c>
    </row>
    <row r="4631" spans="1:4" x14ac:dyDescent="0.2">
      <c r="A4631" t="s">
        <v>10258</v>
      </c>
      <c r="B4631" t="s">
        <v>10259</v>
      </c>
      <c r="C4631" t="s">
        <v>190</v>
      </c>
      <c r="D4631" t="s">
        <v>191</v>
      </c>
    </row>
    <row r="4632" spans="1:4" x14ac:dyDescent="0.2">
      <c r="A4632" t="s">
        <v>10258</v>
      </c>
      <c r="B4632" t="s">
        <v>10260</v>
      </c>
      <c r="C4632" t="s">
        <v>190</v>
      </c>
      <c r="D4632" t="s">
        <v>191</v>
      </c>
    </row>
    <row r="4633" spans="1:4" x14ac:dyDescent="0.2">
      <c r="A4633" t="s">
        <v>10261</v>
      </c>
      <c r="B4633" t="s">
        <v>10262</v>
      </c>
      <c r="C4633" t="s">
        <v>190</v>
      </c>
      <c r="D4633" t="s">
        <v>191</v>
      </c>
    </row>
    <row r="4634" spans="1:4" x14ac:dyDescent="0.2">
      <c r="A4634" t="s">
        <v>10263</v>
      </c>
      <c r="B4634" t="s">
        <v>10264</v>
      </c>
      <c r="C4634" t="s">
        <v>190</v>
      </c>
      <c r="D4634" t="s">
        <v>191</v>
      </c>
    </row>
    <row r="4635" spans="1:4" x14ac:dyDescent="0.2">
      <c r="A4635" t="s">
        <v>10265</v>
      </c>
      <c r="B4635" t="s">
        <v>10266</v>
      </c>
      <c r="C4635" t="s">
        <v>190</v>
      </c>
      <c r="D4635" t="s">
        <v>191</v>
      </c>
    </row>
    <row r="4636" spans="1:4" x14ac:dyDescent="0.2">
      <c r="A4636" t="s">
        <v>10267</v>
      </c>
      <c r="B4636" t="s">
        <v>10268</v>
      </c>
      <c r="C4636" t="s">
        <v>190</v>
      </c>
      <c r="D4636" t="s">
        <v>191</v>
      </c>
    </row>
    <row r="4637" spans="1:4" x14ac:dyDescent="0.2">
      <c r="A4637" t="s">
        <v>10269</v>
      </c>
      <c r="B4637" t="s">
        <v>10270</v>
      </c>
      <c r="C4637" t="s">
        <v>190</v>
      </c>
      <c r="D4637" t="s">
        <v>191</v>
      </c>
    </row>
    <row r="4638" spans="1:4" x14ac:dyDescent="0.2">
      <c r="A4638" t="s">
        <v>10271</v>
      </c>
      <c r="B4638" t="s">
        <v>10272</v>
      </c>
      <c r="C4638" t="s">
        <v>10273</v>
      </c>
      <c r="D4638" t="s">
        <v>187</v>
      </c>
    </row>
    <row r="4639" spans="1:4" x14ac:dyDescent="0.2">
      <c r="A4639" t="s">
        <v>10274</v>
      </c>
      <c r="B4639" t="s">
        <v>10275</v>
      </c>
      <c r="C4639" t="s">
        <v>190</v>
      </c>
      <c r="D4639" t="s">
        <v>191</v>
      </c>
    </row>
    <row r="4640" spans="1:4" x14ac:dyDescent="0.2">
      <c r="A4640" t="s">
        <v>10276</v>
      </c>
      <c r="B4640" t="s">
        <v>10277</v>
      </c>
      <c r="C4640" t="s">
        <v>190</v>
      </c>
      <c r="D4640" t="s">
        <v>191</v>
      </c>
    </row>
    <row r="4641" spans="1:4" x14ac:dyDescent="0.2">
      <c r="A4641" t="s">
        <v>10278</v>
      </c>
      <c r="B4641" t="s">
        <v>10279</v>
      </c>
      <c r="C4641" t="s">
        <v>190</v>
      </c>
      <c r="D4641" t="s">
        <v>191</v>
      </c>
    </row>
    <row r="4642" spans="1:4" x14ac:dyDescent="0.2">
      <c r="A4642" t="s">
        <v>10280</v>
      </c>
      <c r="B4642" t="s">
        <v>10281</v>
      </c>
      <c r="C4642" t="s">
        <v>190</v>
      </c>
      <c r="D4642" t="s">
        <v>191</v>
      </c>
    </row>
    <row r="4643" spans="1:4" x14ac:dyDescent="0.2">
      <c r="A4643" t="s">
        <v>10282</v>
      </c>
      <c r="B4643" t="s">
        <v>10283</v>
      </c>
      <c r="C4643" t="s">
        <v>10284</v>
      </c>
      <c r="D4643" t="s">
        <v>187</v>
      </c>
    </row>
    <row r="4644" spans="1:4" x14ac:dyDescent="0.2">
      <c r="A4644" t="s">
        <v>10285</v>
      </c>
      <c r="B4644" t="s">
        <v>10286</v>
      </c>
      <c r="C4644" t="s">
        <v>190</v>
      </c>
      <c r="D4644" t="s">
        <v>191</v>
      </c>
    </row>
    <row r="4645" spans="1:4" x14ac:dyDescent="0.2">
      <c r="A4645" t="s">
        <v>10287</v>
      </c>
      <c r="B4645" t="s">
        <v>10288</v>
      </c>
      <c r="C4645" t="s">
        <v>190</v>
      </c>
      <c r="D4645" t="s">
        <v>191</v>
      </c>
    </row>
    <row r="4646" spans="1:4" x14ac:dyDescent="0.2">
      <c r="A4646" t="s">
        <v>10287</v>
      </c>
      <c r="B4646" t="s">
        <v>10289</v>
      </c>
      <c r="C4646" t="s">
        <v>190</v>
      </c>
      <c r="D4646" t="s">
        <v>10290</v>
      </c>
    </row>
    <row r="4647" spans="1:4" x14ac:dyDescent="0.2">
      <c r="A4647" t="s">
        <v>10291</v>
      </c>
      <c r="B4647" t="s">
        <v>10292</v>
      </c>
      <c r="C4647" t="s">
        <v>190</v>
      </c>
      <c r="D4647" t="s">
        <v>191</v>
      </c>
    </row>
    <row r="4648" spans="1:4" x14ac:dyDescent="0.2">
      <c r="A4648" t="s">
        <v>10293</v>
      </c>
      <c r="B4648" t="s">
        <v>10294</v>
      </c>
      <c r="C4648" t="s">
        <v>10295</v>
      </c>
      <c r="D4648" t="s">
        <v>187</v>
      </c>
    </row>
    <row r="4649" spans="1:4" x14ac:dyDescent="0.2">
      <c r="A4649" t="s">
        <v>10296</v>
      </c>
      <c r="B4649" t="s">
        <v>10297</v>
      </c>
      <c r="C4649" t="s">
        <v>190</v>
      </c>
      <c r="D4649" t="s">
        <v>191</v>
      </c>
    </row>
    <row r="4650" spans="1:4" x14ac:dyDescent="0.2">
      <c r="A4650" t="s">
        <v>10298</v>
      </c>
      <c r="B4650" t="s">
        <v>10299</v>
      </c>
      <c r="C4650" t="s">
        <v>10300</v>
      </c>
      <c r="D4650" t="s">
        <v>187</v>
      </c>
    </row>
    <row r="4651" spans="1:4" x14ac:dyDescent="0.2">
      <c r="A4651" t="s">
        <v>10301</v>
      </c>
      <c r="B4651" t="s">
        <v>10302</v>
      </c>
      <c r="C4651" t="s">
        <v>190</v>
      </c>
      <c r="D4651" t="s">
        <v>191</v>
      </c>
    </row>
    <row r="4652" spans="1:4" x14ac:dyDescent="0.2">
      <c r="A4652" t="s">
        <v>10303</v>
      </c>
      <c r="B4652" t="s">
        <v>10304</v>
      </c>
      <c r="C4652" t="s">
        <v>10305</v>
      </c>
      <c r="D4652" t="s">
        <v>195</v>
      </c>
    </row>
    <row r="4653" spans="1:4" x14ac:dyDescent="0.2">
      <c r="A4653" t="s">
        <v>10306</v>
      </c>
      <c r="B4653" t="s">
        <v>10307</v>
      </c>
      <c r="C4653" t="s">
        <v>10308</v>
      </c>
      <c r="D4653" t="s">
        <v>195</v>
      </c>
    </row>
    <row r="4654" spans="1:4" x14ac:dyDescent="0.2">
      <c r="A4654" t="s">
        <v>10309</v>
      </c>
      <c r="B4654" t="s">
        <v>10310</v>
      </c>
      <c r="C4654" t="s">
        <v>10311</v>
      </c>
      <c r="D4654" t="s">
        <v>195</v>
      </c>
    </row>
    <row r="4655" spans="1:4" x14ac:dyDescent="0.2">
      <c r="A4655" t="s">
        <v>10312</v>
      </c>
      <c r="B4655" t="s">
        <v>10313</v>
      </c>
      <c r="C4655" t="s">
        <v>190</v>
      </c>
      <c r="D4655" t="s">
        <v>191</v>
      </c>
    </row>
    <row r="4656" spans="1:4" x14ac:dyDescent="0.2">
      <c r="A4656" t="s">
        <v>10314</v>
      </c>
      <c r="B4656" t="s">
        <v>10315</v>
      </c>
      <c r="C4656" t="s">
        <v>190</v>
      </c>
      <c r="D4656" t="s">
        <v>191</v>
      </c>
    </row>
    <row r="4657" spans="1:4" x14ac:dyDescent="0.2">
      <c r="A4657" t="s">
        <v>10316</v>
      </c>
      <c r="B4657" t="s">
        <v>10317</v>
      </c>
      <c r="C4657" t="s">
        <v>10318</v>
      </c>
      <c r="D4657" t="s">
        <v>195</v>
      </c>
    </row>
    <row r="4658" spans="1:4" x14ac:dyDescent="0.2">
      <c r="A4658" t="s">
        <v>10319</v>
      </c>
      <c r="B4658" t="s">
        <v>10320</v>
      </c>
      <c r="C4658" t="s">
        <v>190</v>
      </c>
      <c r="D4658" t="s">
        <v>191</v>
      </c>
    </row>
    <row r="4659" spans="1:4" x14ac:dyDescent="0.2">
      <c r="A4659" t="s">
        <v>10321</v>
      </c>
      <c r="B4659" t="s">
        <v>10322</v>
      </c>
      <c r="C4659" t="s">
        <v>10323</v>
      </c>
      <c r="D4659" t="s">
        <v>187</v>
      </c>
    </row>
    <row r="4660" spans="1:4" x14ac:dyDescent="0.2">
      <c r="A4660" t="s">
        <v>10324</v>
      </c>
      <c r="B4660" t="s">
        <v>10325</v>
      </c>
      <c r="C4660" t="s">
        <v>190</v>
      </c>
      <c r="D4660" t="s">
        <v>191</v>
      </c>
    </row>
    <row r="4661" spans="1:4" x14ac:dyDescent="0.2">
      <c r="A4661" t="s">
        <v>10326</v>
      </c>
      <c r="B4661" t="s">
        <v>10327</v>
      </c>
      <c r="C4661" t="s">
        <v>190</v>
      </c>
      <c r="D4661" t="s">
        <v>191</v>
      </c>
    </row>
    <row r="4662" spans="1:4" x14ac:dyDescent="0.2">
      <c r="A4662" t="s">
        <v>10328</v>
      </c>
      <c r="B4662" t="s">
        <v>10329</v>
      </c>
      <c r="C4662" t="s">
        <v>10330</v>
      </c>
      <c r="D4662" t="s">
        <v>187</v>
      </c>
    </row>
    <row r="4663" spans="1:4" x14ac:dyDescent="0.2">
      <c r="A4663" t="s">
        <v>10331</v>
      </c>
      <c r="B4663" t="s">
        <v>10332</v>
      </c>
      <c r="C4663" t="s">
        <v>190</v>
      </c>
      <c r="D4663" t="s">
        <v>191</v>
      </c>
    </row>
    <row r="4664" spans="1:4" x14ac:dyDescent="0.2">
      <c r="A4664" t="s">
        <v>10333</v>
      </c>
      <c r="B4664" t="s">
        <v>10334</v>
      </c>
      <c r="C4664" t="s">
        <v>10335</v>
      </c>
      <c r="D4664" t="s">
        <v>195</v>
      </c>
    </row>
    <row r="4665" spans="1:4" x14ac:dyDescent="0.2">
      <c r="A4665" t="s">
        <v>10336</v>
      </c>
      <c r="B4665" t="s">
        <v>10337</v>
      </c>
      <c r="C4665" t="s">
        <v>190</v>
      </c>
      <c r="D4665" t="s">
        <v>10338</v>
      </c>
    </row>
    <row r="4666" spans="1:4" x14ac:dyDescent="0.2">
      <c r="A4666" t="s">
        <v>10339</v>
      </c>
      <c r="B4666" t="s">
        <v>10340</v>
      </c>
      <c r="C4666" t="s">
        <v>190</v>
      </c>
      <c r="D4666" t="s">
        <v>191</v>
      </c>
    </row>
    <row r="4667" spans="1:4" x14ac:dyDescent="0.2">
      <c r="A4667" t="s">
        <v>10341</v>
      </c>
      <c r="B4667" t="s">
        <v>10342</v>
      </c>
      <c r="C4667" t="s">
        <v>190</v>
      </c>
      <c r="D4667" t="s">
        <v>191</v>
      </c>
    </row>
    <row r="4668" spans="1:4" x14ac:dyDescent="0.2">
      <c r="A4668" t="s">
        <v>10343</v>
      </c>
      <c r="B4668" t="s">
        <v>10344</v>
      </c>
      <c r="C4668" t="s">
        <v>190</v>
      </c>
      <c r="D4668" t="s">
        <v>280</v>
      </c>
    </row>
    <row r="4669" spans="1:4" x14ac:dyDescent="0.2">
      <c r="A4669" t="s">
        <v>10345</v>
      </c>
      <c r="B4669" t="s">
        <v>10346</v>
      </c>
      <c r="C4669" t="s">
        <v>10347</v>
      </c>
      <c r="D4669" t="s">
        <v>187</v>
      </c>
    </row>
    <row r="4670" spans="1:4" x14ac:dyDescent="0.2">
      <c r="A4670" t="s">
        <v>10348</v>
      </c>
      <c r="B4670" t="s">
        <v>10349</v>
      </c>
      <c r="C4670" t="s">
        <v>190</v>
      </c>
      <c r="D4670" t="s">
        <v>191</v>
      </c>
    </row>
    <row r="4671" spans="1:4" x14ac:dyDescent="0.2">
      <c r="A4671" t="s">
        <v>10350</v>
      </c>
      <c r="B4671" t="s">
        <v>10351</v>
      </c>
      <c r="C4671" t="s">
        <v>190</v>
      </c>
      <c r="D4671" t="s">
        <v>191</v>
      </c>
    </row>
    <row r="4672" spans="1:4" x14ac:dyDescent="0.2">
      <c r="A4672" t="s">
        <v>10352</v>
      </c>
      <c r="B4672" t="s">
        <v>10353</v>
      </c>
      <c r="C4672" t="s">
        <v>190</v>
      </c>
      <c r="D4672" t="s">
        <v>191</v>
      </c>
    </row>
    <row r="4673" spans="1:4" x14ac:dyDescent="0.2">
      <c r="A4673" t="s">
        <v>10354</v>
      </c>
      <c r="B4673" t="s">
        <v>10355</v>
      </c>
      <c r="C4673" t="s">
        <v>190</v>
      </c>
      <c r="D4673" t="s">
        <v>191</v>
      </c>
    </row>
    <row r="4674" spans="1:4" x14ac:dyDescent="0.2">
      <c r="A4674" t="s">
        <v>10356</v>
      </c>
      <c r="B4674" t="s">
        <v>10357</v>
      </c>
      <c r="C4674" t="s">
        <v>10358</v>
      </c>
      <c r="D4674" t="s">
        <v>195</v>
      </c>
    </row>
    <row r="4675" spans="1:4" x14ac:dyDescent="0.2">
      <c r="A4675" t="s">
        <v>10359</v>
      </c>
      <c r="B4675" t="s">
        <v>10360</v>
      </c>
      <c r="C4675" t="s">
        <v>10361</v>
      </c>
      <c r="D4675" t="s">
        <v>187</v>
      </c>
    </row>
    <row r="4676" spans="1:4" x14ac:dyDescent="0.2">
      <c r="A4676" t="s">
        <v>10362</v>
      </c>
      <c r="B4676" t="s">
        <v>10363</v>
      </c>
      <c r="C4676" t="s">
        <v>190</v>
      </c>
      <c r="D4676" t="s">
        <v>191</v>
      </c>
    </row>
    <row r="4677" spans="1:4" x14ac:dyDescent="0.2">
      <c r="A4677" t="s">
        <v>10364</v>
      </c>
      <c r="B4677" t="s">
        <v>10365</v>
      </c>
      <c r="C4677" t="s">
        <v>190</v>
      </c>
      <c r="D4677" t="s">
        <v>191</v>
      </c>
    </row>
    <row r="4678" spans="1:4" x14ac:dyDescent="0.2">
      <c r="A4678" t="s">
        <v>10366</v>
      </c>
      <c r="B4678" t="s">
        <v>10367</v>
      </c>
      <c r="C4678" t="s">
        <v>190</v>
      </c>
      <c r="D4678" t="s">
        <v>191</v>
      </c>
    </row>
    <row r="4679" spans="1:4" x14ac:dyDescent="0.2">
      <c r="A4679" t="s">
        <v>10368</v>
      </c>
      <c r="B4679" t="s">
        <v>10369</v>
      </c>
      <c r="C4679" t="s">
        <v>10370</v>
      </c>
      <c r="D4679" t="s">
        <v>195</v>
      </c>
    </row>
    <row r="4680" spans="1:4" x14ac:dyDescent="0.2">
      <c r="A4680" t="s">
        <v>10371</v>
      </c>
      <c r="B4680" t="s">
        <v>10372</v>
      </c>
      <c r="C4680" t="s">
        <v>10373</v>
      </c>
      <c r="D4680" t="s">
        <v>187</v>
      </c>
    </row>
    <row r="4681" spans="1:4" x14ac:dyDescent="0.2">
      <c r="A4681" t="s">
        <v>10374</v>
      </c>
      <c r="B4681" t="s">
        <v>10375</v>
      </c>
      <c r="C4681" t="s">
        <v>10376</v>
      </c>
      <c r="D4681" t="s">
        <v>195</v>
      </c>
    </row>
    <row r="4682" spans="1:4" x14ac:dyDescent="0.2">
      <c r="A4682" t="s">
        <v>10377</v>
      </c>
      <c r="B4682" t="s">
        <v>10378</v>
      </c>
      <c r="C4682" t="s">
        <v>10379</v>
      </c>
      <c r="D4682" t="s">
        <v>195</v>
      </c>
    </row>
    <row r="4683" spans="1:4" x14ac:dyDescent="0.2">
      <c r="A4683" t="s">
        <v>10380</v>
      </c>
      <c r="B4683" t="s">
        <v>10381</v>
      </c>
      <c r="C4683" t="s">
        <v>190</v>
      </c>
      <c r="D4683" t="s">
        <v>191</v>
      </c>
    </row>
    <row r="4684" spans="1:4" x14ac:dyDescent="0.2">
      <c r="A4684" t="s">
        <v>10382</v>
      </c>
      <c r="B4684" t="s">
        <v>10383</v>
      </c>
      <c r="C4684" t="s">
        <v>10384</v>
      </c>
      <c r="D4684" t="s">
        <v>195</v>
      </c>
    </row>
    <row r="4685" spans="1:4" x14ac:dyDescent="0.2">
      <c r="A4685" t="s">
        <v>10385</v>
      </c>
      <c r="B4685" t="s">
        <v>10386</v>
      </c>
      <c r="C4685" t="s">
        <v>10387</v>
      </c>
      <c r="D4685" t="s">
        <v>195</v>
      </c>
    </row>
    <row r="4686" spans="1:4" x14ac:dyDescent="0.2">
      <c r="A4686" t="s">
        <v>10388</v>
      </c>
      <c r="B4686" t="s">
        <v>10389</v>
      </c>
      <c r="C4686" t="s">
        <v>190</v>
      </c>
      <c r="D4686" t="s">
        <v>191</v>
      </c>
    </row>
    <row r="4687" spans="1:4" x14ac:dyDescent="0.2">
      <c r="A4687" t="s">
        <v>10390</v>
      </c>
      <c r="B4687" t="s">
        <v>10391</v>
      </c>
      <c r="C4687" t="s">
        <v>10392</v>
      </c>
      <c r="D4687" t="s">
        <v>195</v>
      </c>
    </row>
    <row r="4688" spans="1:4" x14ac:dyDescent="0.2">
      <c r="A4688" t="s">
        <v>10393</v>
      </c>
      <c r="B4688" t="s">
        <v>10394</v>
      </c>
      <c r="C4688" t="s">
        <v>190</v>
      </c>
      <c r="D4688" t="s">
        <v>191</v>
      </c>
    </row>
    <row r="4689" spans="1:4" x14ac:dyDescent="0.2">
      <c r="A4689" t="s">
        <v>10395</v>
      </c>
      <c r="B4689" t="s">
        <v>10396</v>
      </c>
      <c r="C4689" t="s">
        <v>190</v>
      </c>
      <c r="D4689" t="s">
        <v>191</v>
      </c>
    </row>
    <row r="4690" spans="1:4" x14ac:dyDescent="0.2">
      <c r="A4690" t="s">
        <v>10397</v>
      </c>
      <c r="B4690" t="s">
        <v>10398</v>
      </c>
      <c r="C4690" t="s">
        <v>10399</v>
      </c>
      <c r="D4690" t="s">
        <v>195</v>
      </c>
    </row>
    <row r="4691" spans="1:4" x14ac:dyDescent="0.2">
      <c r="A4691" t="s">
        <v>10400</v>
      </c>
      <c r="B4691" t="s">
        <v>10401</v>
      </c>
      <c r="C4691" t="s">
        <v>190</v>
      </c>
      <c r="D4691" t="s">
        <v>191</v>
      </c>
    </row>
    <row r="4692" spans="1:4" x14ac:dyDescent="0.2">
      <c r="A4692" t="s">
        <v>10402</v>
      </c>
      <c r="B4692" t="s">
        <v>10403</v>
      </c>
      <c r="C4692" t="s">
        <v>190</v>
      </c>
      <c r="D4692" t="s">
        <v>191</v>
      </c>
    </row>
    <row r="4693" spans="1:4" x14ac:dyDescent="0.2">
      <c r="A4693" t="s">
        <v>10404</v>
      </c>
      <c r="B4693" t="s">
        <v>10405</v>
      </c>
      <c r="C4693" t="s">
        <v>190</v>
      </c>
      <c r="D4693" t="s">
        <v>191</v>
      </c>
    </row>
    <row r="4694" spans="1:4" x14ac:dyDescent="0.2">
      <c r="A4694" t="s">
        <v>10406</v>
      </c>
      <c r="B4694" t="s">
        <v>10407</v>
      </c>
      <c r="C4694" t="s">
        <v>190</v>
      </c>
      <c r="D4694" t="s">
        <v>191</v>
      </c>
    </row>
    <row r="4695" spans="1:4" x14ac:dyDescent="0.2">
      <c r="A4695" t="s">
        <v>10408</v>
      </c>
      <c r="B4695" t="s">
        <v>10409</v>
      </c>
      <c r="C4695" t="s">
        <v>190</v>
      </c>
      <c r="D4695" t="s">
        <v>191</v>
      </c>
    </row>
    <row r="4696" spans="1:4" x14ac:dyDescent="0.2">
      <c r="A4696" t="s">
        <v>10410</v>
      </c>
      <c r="B4696" t="s">
        <v>10411</v>
      </c>
      <c r="C4696" t="s">
        <v>190</v>
      </c>
      <c r="D4696" t="s">
        <v>191</v>
      </c>
    </row>
    <row r="4697" spans="1:4" x14ac:dyDescent="0.2">
      <c r="A4697" t="s">
        <v>10412</v>
      </c>
      <c r="B4697" t="s">
        <v>10413</v>
      </c>
      <c r="C4697" t="s">
        <v>10414</v>
      </c>
      <c r="D4697" t="s">
        <v>195</v>
      </c>
    </row>
    <row r="4698" spans="1:4" x14ac:dyDescent="0.2">
      <c r="A4698" t="s">
        <v>10412</v>
      </c>
      <c r="B4698" t="s">
        <v>10415</v>
      </c>
      <c r="C4698" t="s">
        <v>190</v>
      </c>
      <c r="D4698" t="s">
        <v>10416</v>
      </c>
    </row>
    <row r="4699" spans="1:4" x14ac:dyDescent="0.2">
      <c r="A4699" t="s">
        <v>10417</v>
      </c>
      <c r="B4699" t="s">
        <v>10418</v>
      </c>
      <c r="C4699" t="s">
        <v>190</v>
      </c>
      <c r="D4699" t="s">
        <v>191</v>
      </c>
    </row>
    <row r="4700" spans="1:4" x14ac:dyDescent="0.2">
      <c r="A4700" t="s">
        <v>10419</v>
      </c>
      <c r="B4700" t="s">
        <v>10420</v>
      </c>
      <c r="C4700" t="s">
        <v>190</v>
      </c>
      <c r="D4700" t="s">
        <v>191</v>
      </c>
    </row>
    <row r="4701" spans="1:4" x14ac:dyDescent="0.2">
      <c r="A4701" t="s">
        <v>10421</v>
      </c>
      <c r="B4701" t="s">
        <v>10422</v>
      </c>
      <c r="C4701" t="s">
        <v>190</v>
      </c>
      <c r="D4701" t="s">
        <v>191</v>
      </c>
    </row>
    <row r="4702" spans="1:4" x14ac:dyDescent="0.2">
      <c r="A4702" t="s">
        <v>10423</v>
      </c>
      <c r="B4702" t="s">
        <v>10424</v>
      </c>
      <c r="C4702" t="s">
        <v>190</v>
      </c>
      <c r="D4702" t="s">
        <v>191</v>
      </c>
    </row>
    <row r="4703" spans="1:4" x14ac:dyDescent="0.2">
      <c r="A4703" t="s">
        <v>10425</v>
      </c>
      <c r="B4703" t="s">
        <v>10426</v>
      </c>
      <c r="C4703" t="s">
        <v>190</v>
      </c>
      <c r="D4703" t="s">
        <v>10427</v>
      </c>
    </row>
    <row r="4704" spans="1:4" x14ac:dyDescent="0.2">
      <c r="A4704" t="s">
        <v>10428</v>
      </c>
      <c r="B4704" t="s">
        <v>10429</v>
      </c>
      <c r="C4704" t="s">
        <v>10430</v>
      </c>
      <c r="D4704" t="s">
        <v>195</v>
      </c>
    </row>
    <row r="4705" spans="1:4" x14ac:dyDescent="0.2">
      <c r="A4705" t="s">
        <v>10431</v>
      </c>
      <c r="B4705" t="s">
        <v>10432</v>
      </c>
      <c r="C4705" t="s">
        <v>10433</v>
      </c>
      <c r="D4705" t="s">
        <v>195</v>
      </c>
    </row>
    <row r="4706" spans="1:4" x14ac:dyDescent="0.2">
      <c r="A4706" t="s">
        <v>10431</v>
      </c>
      <c r="B4706" t="s">
        <v>10434</v>
      </c>
      <c r="C4706" t="s">
        <v>190</v>
      </c>
      <c r="D4706" t="s">
        <v>10427</v>
      </c>
    </row>
    <row r="4707" spans="1:4" x14ac:dyDescent="0.2">
      <c r="A4707" t="s">
        <v>10431</v>
      </c>
      <c r="B4707" t="s">
        <v>10435</v>
      </c>
      <c r="C4707" t="s">
        <v>190</v>
      </c>
      <c r="D4707" t="s">
        <v>10436</v>
      </c>
    </row>
    <row r="4708" spans="1:4" x14ac:dyDescent="0.2">
      <c r="A4708" t="s">
        <v>10431</v>
      </c>
      <c r="B4708" t="s">
        <v>10437</v>
      </c>
      <c r="C4708" t="s">
        <v>10438</v>
      </c>
      <c r="D4708" t="s">
        <v>195</v>
      </c>
    </row>
    <row r="4709" spans="1:4" x14ac:dyDescent="0.2">
      <c r="A4709" t="s">
        <v>10431</v>
      </c>
      <c r="B4709" t="s">
        <v>10439</v>
      </c>
      <c r="C4709" t="s">
        <v>10440</v>
      </c>
      <c r="D4709" t="s">
        <v>195</v>
      </c>
    </row>
    <row r="4710" spans="1:4" x14ac:dyDescent="0.2">
      <c r="A4710" t="s">
        <v>10431</v>
      </c>
      <c r="B4710" t="s">
        <v>10441</v>
      </c>
      <c r="C4710" t="s">
        <v>10442</v>
      </c>
      <c r="D4710" t="s">
        <v>195</v>
      </c>
    </row>
    <row r="4711" spans="1:4" x14ac:dyDescent="0.2">
      <c r="A4711" t="s">
        <v>10443</v>
      </c>
      <c r="B4711" t="s">
        <v>10444</v>
      </c>
      <c r="C4711" t="s">
        <v>10445</v>
      </c>
      <c r="D4711" t="s">
        <v>195</v>
      </c>
    </row>
    <row r="4712" spans="1:4" x14ac:dyDescent="0.2">
      <c r="A4712" t="s">
        <v>10443</v>
      </c>
      <c r="B4712" t="s">
        <v>10446</v>
      </c>
      <c r="C4712" t="s">
        <v>10447</v>
      </c>
      <c r="D4712" t="s">
        <v>195</v>
      </c>
    </row>
    <row r="4713" spans="1:4" x14ac:dyDescent="0.2">
      <c r="A4713" t="s">
        <v>10443</v>
      </c>
      <c r="B4713" t="s">
        <v>10448</v>
      </c>
      <c r="C4713" t="s">
        <v>10449</v>
      </c>
      <c r="D4713" t="s">
        <v>195</v>
      </c>
    </row>
    <row r="4714" spans="1:4" x14ac:dyDescent="0.2">
      <c r="A4714" t="s">
        <v>10450</v>
      </c>
      <c r="B4714" t="s">
        <v>10451</v>
      </c>
      <c r="C4714" t="s">
        <v>190</v>
      </c>
      <c r="D4714" t="s">
        <v>191</v>
      </c>
    </row>
    <row r="4715" spans="1:4" x14ac:dyDescent="0.2">
      <c r="A4715" t="s">
        <v>10452</v>
      </c>
      <c r="B4715" t="s">
        <v>10453</v>
      </c>
      <c r="C4715" t="s">
        <v>190</v>
      </c>
      <c r="D4715" t="s">
        <v>191</v>
      </c>
    </row>
    <row r="4716" spans="1:4" x14ac:dyDescent="0.2">
      <c r="A4716" t="s">
        <v>10454</v>
      </c>
      <c r="B4716" t="s">
        <v>10455</v>
      </c>
      <c r="C4716" t="s">
        <v>10456</v>
      </c>
      <c r="D4716" t="s">
        <v>195</v>
      </c>
    </row>
    <row r="4717" spans="1:4" x14ac:dyDescent="0.2">
      <c r="A4717" t="s">
        <v>10457</v>
      </c>
      <c r="B4717" t="s">
        <v>10458</v>
      </c>
      <c r="C4717" t="s">
        <v>190</v>
      </c>
      <c r="D4717" t="s">
        <v>191</v>
      </c>
    </row>
    <row r="4718" spans="1:4" x14ac:dyDescent="0.2">
      <c r="A4718" t="s">
        <v>10459</v>
      </c>
      <c r="B4718" t="s">
        <v>10460</v>
      </c>
      <c r="C4718" t="s">
        <v>190</v>
      </c>
      <c r="D4718" t="s">
        <v>191</v>
      </c>
    </row>
    <row r="4719" spans="1:4" x14ac:dyDescent="0.2">
      <c r="A4719" t="s">
        <v>10461</v>
      </c>
      <c r="B4719" t="s">
        <v>10462</v>
      </c>
      <c r="C4719" t="s">
        <v>190</v>
      </c>
      <c r="D4719" t="s">
        <v>191</v>
      </c>
    </row>
    <row r="4720" spans="1:4" x14ac:dyDescent="0.2">
      <c r="A4720" t="s">
        <v>10463</v>
      </c>
      <c r="B4720" t="s">
        <v>10464</v>
      </c>
      <c r="C4720" t="s">
        <v>190</v>
      </c>
      <c r="D4720" t="s">
        <v>191</v>
      </c>
    </row>
    <row r="4721" spans="1:4" x14ac:dyDescent="0.2">
      <c r="A4721" t="s">
        <v>10465</v>
      </c>
      <c r="B4721" t="s">
        <v>10466</v>
      </c>
      <c r="C4721" t="s">
        <v>10467</v>
      </c>
      <c r="D4721" t="s">
        <v>195</v>
      </c>
    </row>
    <row r="4722" spans="1:4" x14ac:dyDescent="0.2">
      <c r="A4722" t="s">
        <v>10468</v>
      </c>
      <c r="B4722" t="s">
        <v>10469</v>
      </c>
      <c r="C4722" t="s">
        <v>10470</v>
      </c>
      <c r="D4722" t="s">
        <v>195</v>
      </c>
    </row>
    <row r="4723" spans="1:4" x14ac:dyDescent="0.2">
      <c r="A4723" t="s">
        <v>10471</v>
      </c>
      <c r="B4723" t="s">
        <v>10472</v>
      </c>
      <c r="C4723" t="s">
        <v>190</v>
      </c>
      <c r="D4723" t="s">
        <v>191</v>
      </c>
    </row>
    <row r="4724" spans="1:4" x14ac:dyDescent="0.2">
      <c r="A4724" t="s">
        <v>10473</v>
      </c>
      <c r="B4724" t="s">
        <v>10474</v>
      </c>
      <c r="C4724" t="s">
        <v>190</v>
      </c>
      <c r="D4724" t="s">
        <v>191</v>
      </c>
    </row>
    <row r="4725" spans="1:4" x14ac:dyDescent="0.2">
      <c r="A4725" t="s">
        <v>10475</v>
      </c>
      <c r="B4725" t="s">
        <v>10476</v>
      </c>
      <c r="C4725" t="s">
        <v>190</v>
      </c>
      <c r="D4725" t="s">
        <v>191</v>
      </c>
    </row>
    <row r="4726" spans="1:4" x14ac:dyDescent="0.2">
      <c r="A4726" t="s">
        <v>10477</v>
      </c>
      <c r="B4726" t="s">
        <v>10478</v>
      </c>
      <c r="C4726" t="s">
        <v>190</v>
      </c>
      <c r="D4726" t="s">
        <v>191</v>
      </c>
    </row>
    <row r="4727" spans="1:4" x14ac:dyDescent="0.2">
      <c r="A4727" t="s">
        <v>10479</v>
      </c>
      <c r="B4727" t="s">
        <v>10480</v>
      </c>
      <c r="C4727" t="s">
        <v>190</v>
      </c>
      <c r="D4727" t="s">
        <v>191</v>
      </c>
    </row>
    <row r="4728" spans="1:4" x14ac:dyDescent="0.2">
      <c r="A4728" t="s">
        <v>10481</v>
      </c>
      <c r="B4728" t="s">
        <v>10482</v>
      </c>
      <c r="C4728" t="s">
        <v>190</v>
      </c>
      <c r="D4728" t="s">
        <v>191</v>
      </c>
    </row>
    <row r="4729" spans="1:4" x14ac:dyDescent="0.2">
      <c r="A4729" t="s">
        <v>10483</v>
      </c>
      <c r="B4729" t="s">
        <v>10484</v>
      </c>
      <c r="C4729" t="s">
        <v>190</v>
      </c>
      <c r="D4729" t="s">
        <v>191</v>
      </c>
    </row>
    <row r="4730" spans="1:4" x14ac:dyDescent="0.2">
      <c r="A4730" t="s">
        <v>10485</v>
      </c>
      <c r="B4730" t="s">
        <v>10486</v>
      </c>
      <c r="C4730" t="s">
        <v>190</v>
      </c>
      <c r="D4730" t="s">
        <v>191</v>
      </c>
    </row>
    <row r="4731" spans="1:4" x14ac:dyDescent="0.2">
      <c r="A4731" t="s">
        <v>10487</v>
      </c>
      <c r="B4731" t="s">
        <v>10488</v>
      </c>
      <c r="C4731" t="s">
        <v>10489</v>
      </c>
      <c r="D4731" t="s">
        <v>195</v>
      </c>
    </row>
    <row r="4732" spans="1:4" x14ac:dyDescent="0.2">
      <c r="A4732" t="s">
        <v>10490</v>
      </c>
      <c r="B4732" t="s">
        <v>10491</v>
      </c>
      <c r="C4732" t="s">
        <v>190</v>
      </c>
      <c r="D4732" t="s">
        <v>191</v>
      </c>
    </row>
    <row r="4733" spans="1:4" x14ac:dyDescent="0.2">
      <c r="A4733" t="s">
        <v>10490</v>
      </c>
      <c r="B4733" t="s">
        <v>10492</v>
      </c>
      <c r="C4733" t="s">
        <v>190</v>
      </c>
      <c r="D4733" t="s">
        <v>191</v>
      </c>
    </row>
    <row r="4734" spans="1:4" x14ac:dyDescent="0.2">
      <c r="A4734" t="s">
        <v>10493</v>
      </c>
      <c r="B4734" t="s">
        <v>10494</v>
      </c>
      <c r="C4734" t="s">
        <v>10495</v>
      </c>
      <c r="D4734" t="s">
        <v>187</v>
      </c>
    </row>
    <row r="4735" spans="1:4" x14ac:dyDescent="0.2">
      <c r="A4735" t="s">
        <v>10496</v>
      </c>
      <c r="B4735" t="s">
        <v>10497</v>
      </c>
      <c r="C4735" t="s">
        <v>10498</v>
      </c>
      <c r="D4735" t="s">
        <v>187</v>
      </c>
    </row>
    <row r="4736" spans="1:4" x14ac:dyDescent="0.2">
      <c r="A4736" t="s">
        <v>10499</v>
      </c>
      <c r="B4736" t="s">
        <v>10500</v>
      </c>
      <c r="C4736" t="s">
        <v>190</v>
      </c>
      <c r="D4736" t="s">
        <v>191</v>
      </c>
    </row>
    <row r="4737" spans="1:4" x14ac:dyDescent="0.2">
      <c r="A4737" t="s">
        <v>10501</v>
      </c>
      <c r="B4737" t="s">
        <v>10502</v>
      </c>
      <c r="C4737" t="s">
        <v>10503</v>
      </c>
      <c r="D4737" t="s">
        <v>195</v>
      </c>
    </row>
    <row r="4738" spans="1:4" x14ac:dyDescent="0.2">
      <c r="A4738" t="s">
        <v>10504</v>
      </c>
      <c r="B4738" t="s">
        <v>10505</v>
      </c>
      <c r="C4738" t="s">
        <v>10506</v>
      </c>
      <c r="D4738" t="s">
        <v>195</v>
      </c>
    </row>
    <row r="4739" spans="1:4" x14ac:dyDescent="0.2">
      <c r="A4739" t="s">
        <v>10507</v>
      </c>
      <c r="B4739" t="s">
        <v>10508</v>
      </c>
      <c r="C4739" t="s">
        <v>190</v>
      </c>
      <c r="D4739" t="s">
        <v>191</v>
      </c>
    </row>
    <row r="4740" spans="1:4" x14ac:dyDescent="0.2">
      <c r="A4740" t="s">
        <v>10509</v>
      </c>
      <c r="B4740" t="s">
        <v>10510</v>
      </c>
      <c r="C4740" t="s">
        <v>190</v>
      </c>
      <c r="D4740" t="s">
        <v>191</v>
      </c>
    </row>
    <row r="4741" spans="1:4" x14ac:dyDescent="0.2">
      <c r="A4741" t="s">
        <v>10511</v>
      </c>
      <c r="B4741" t="s">
        <v>10512</v>
      </c>
      <c r="C4741" t="s">
        <v>190</v>
      </c>
      <c r="D4741" t="s">
        <v>191</v>
      </c>
    </row>
    <row r="4742" spans="1:4" x14ac:dyDescent="0.2">
      <c r="A4742" t="s">
        <v>10513</v>
      </c>
      <c r="B4742" t="s">
        <v>10514</v>
      </c>
      <c r="C4742" t="s">
        <v>10515</v>
      </c>
      <c r="D4742" t="s">
        <v>195</v>
      </c>
    </row>
    <row r="4743" spans="1:4" x14ac:dyDescent="0.2">
      <c r="A4743" t="s">
        <v>10516</v>
      </c>
      <c r="B4743" t="s">
        <v>10517</v>
      </c>
      <c r="C4743" t="s">
        <v>190</v>
      </c>
      <c r="D4743" t="s">
        <v>191</v>
      </c>
    </row>
    <row r="4744" spans="1:4" x14ac:dyDescent="0.2">
      <c r="A4744" t="s">
        <v>10518</v>
      </c>
      <c r="B4744" t="s">
        <v>10519</v>
      </c>
      <c r="C4744" t="s">
        <v>190</v>
      </c>
      <c r="D4744" t="s">
        <v>191</v>
      </c>
    </row>
    <row r="4745" spans="1:4" x14ac:dyDescent="0.2">
      <c r="A4745" t="s">
        <v>10520</v>
      </c>
      <c r="B4745" t="s">
        <v>10521</v>
      </c>
      <c r="C4745" t="s">
        <v>190</v>
      </c>
      <c r="D4745" t="s">
        <v>191</v>
      </c>
    </row>
    <row r="4746" spans="1:4" x14ac:dyDescent="0.2">
      <c r="A4746" t="s">
        <v>10522</v>
      </c>
      <c r="B4746" t="s">
        <v>10523</v>
      </c>
      <c r="C4746" t="s">
        <v>10524</v>
      </c>
      <c r="D4746" t="s">
        <v>195</v>
      </c>
    </row>
    <row r="4747" spans="1:4" x14ac:dyDescent="0.2">
      <c r="A4747" t="s">
        <v>10525</v>
      </c>
      <c r="B4747" t="s">
        <v>10526</v>
      </c>
      <c r="C4747" t="s">
        <v>190</v>
      </c>
      <c r="D4747" t="s">
        <v>191</v>
      </c>
    </row>
    <row r="4748" spans="1:4" x14ac:dyDescent="0.2">
      <c r="A4748" t="s">
        <v>10527</v>
      </c>
      <c r="B4748" t="s">
        <v>10528</v>
      </c>
      <c r="C4748" t="s">
        <v>190</v>
      </c>
      <c r="D4748" t="s">
        <v>191</v>
      </c>
    </row>
    <row r="4749" spans="1:4" x14ac:dyDescent="0.2">
      <c r="A4749" t="s">
        <v>10529</v>
      </c>
      <c r="B4749" t="s">
        <v>10530</v>
      </c>
      <c r="C4749" t="s">
        <v>190</v>
      </c>
      <c r="D4749" t="s">
        <v>191</v>
      </c>
    </row>
    <row r="4750" spans="1:4" x14ac:dyDescent="0.2">
      <c r="A4750" t="s">
        <v>10531</v>
      </c>
      <c r="B4750" t="s">
        <v>10532</v>
      </c>
      <c r="C4750" t="s">
        <v>10533</v>
      </c>
      <c r="D4750" t="s">
        <v>187</v>
      </c>
    </row>
    <row r="4751" spans="1:4" x14ac:dyDescent="0.2">
      <c r="A4751" t="s">
        <v>10534</v>
      </c>
      <c r="B4751" t="s">
        <v>10535</v>
      </c>
      <c r="C4751" t="s">
        <v>190</v>
      </c>
      <c r="D4751" t="s">
        <v>191</v>
      </c>
    </row>
    <row r="4752" spans="1:4" x14ac:dyDescent="0.2">
      <c r="A4752" t="s">
        <v>10536</v>
      </c>
      <c r="B4752" t="s">
        <v>10537</v>
      </c>
      <c r="C4752" t="s">
        <v>190</v>
      </c>
      <c r="D4752" t="s">
        <v>191</v>
      </c>
    </row>
    <row r="4753" spans="1:4" x14ac:dyDescent="0.2">
      <c r="A4753" t="s">
        <v>10538</v>
      </c>
      <c r="B4753" t="s">
        <v>10539</v>
      </c>
      <c r="C4753" t="s">
        <v>190</v>
      </c>
      <c r="D4753" t="s">
        <v>191</v>
      </c>
    </row>
    <row r="4754" spans="1:4" x14ac:dyDescent="0.2">
      <c r="A4754" t="s">
        <v>10540</v>
      </c>
      <c r="B4754" t="s">
        <v>10541</v>
      </c>
      <c r="C4754" t="s">
        <v>10542</v>
      </c>
      <c r="D4754" t="s">
        <v>195</v>
      </c>
    </row>
    <row r="4755" spans="1:4" x14ac:dyDescent="0.2">
      <c r="A4755" t="s">
        <v>10543</v>
      </c>
      <c r="B4755" t="s">
        <v>10544</v>
      </c>
      <c r="C4755" t="s">
        <v>190</v>
      </c>
      <c r="D4755" t="s">
        <v>191</v>
      </c>
    </row>
    <row r="4756" spans="1:4" x14ac:dyDescent="0.2">
      <c r="A4756" t="s">
        <v>10545</v>
      </c>
      <c r="B4756" t="s">
        <v>10546</v>
      </c>
      <c r="C4756" t="s">
        <v>190</v>
      </c>
      <c r="D4756" t="s">
        <v>191</v>
      </c>
    </row>
    <row r="4757" spans="1:4" x14ac:dyDescent="0.2">
      <c r="A4757" t="s">
        <v>10547</v>
      </c>
      <c r="B4757" t="s">
        <v>10548</v>
      </c>
      <c r="C4757" t="s">
        <v>190</v>
      </c>
      <c r="D4757" t="s">
        <v>191</v>
      </c>
    </row>
    <row r="4758" spans="1:4" x14ac:dyDescent="0.2">
      <c r="A4758" t="s">
        <v>10549</v>
      </c>
      <c r="B4758" t="s">
        <v>10550</v>
      </c>
      <c r="C4758" t="s">
        <v>190</v>
      </c>
      <c r="D4758" t="s">
        <v>191</v>
      </c>
    </row>
    <row r="4759" spans="1:4" x14ac:dyDescent="0.2">
      <c r="A4759" t="s">
        <v>10551</v>
      </c>
      <c r="B4759" t="s">
        <v>10552</v>
      </c>
      <c r="C4759" t="s">
        <v>10553</v>
      </c>
      <c r="D4759" t="s">
        <v>187</v>
      </c>
    </row>
    <row r="4760" spans="1:4" x14ac:dyDescent="0.2">
      <c r="A4760" t="s">
        <v>10554</v>
      </c>
      <c r="B4760" t="s">
        <v>10555</v>
      </c>
      <c r="C4760" t="s">
        <v>10556</v>
      </c>
      <c r="D4760" t="s">
        <v>187</v>
      </c>
    </row>
    <row r="4761" spans="1:4" x14ac:dyDescent="0.2">
      <c r="A4761" t="s">
        <v>10557</v>
      </c>
      <c r="B4761" t="s">
        <v>10558</v>
      </c>
      <c r="C4761" t="s">
        <v>190</v>
      </c>
      <c r="D4761" t="s">
        <v>191</v>
      </c>
    </row>
    <row r="4762" spans="1:4" x14ac:dyDescent="0.2">
      <c r="A4762" t="s">
        <v>10557</v>
      </c>
      <c r="B4762" t="s">
        <v>10555</v>
      </c>
      <c r="C4762" t="s">
        <v>10556</v>
      </c>
      <c r="D4762" t="s">
        <v>187</v>
      </c>
    </row>
    <row r="4763" spans="1:4" x14ac:dyDescent="0.2">
      <c r="A4763" t="s">
        <v>10557</v>
      </c>
      <c r="B4763" t="s">
        <v>10559</v>
      </c>
      <c r="C4763" t="s">
        <v>10560</v>
      </c>
      <c r="D4763" t="s">
        <v>195</v>
      </c>
    </row>
    <row r="4764" spans="1:4" x14ac:dyDescent="0.2">
      <c r="A4764" t="s">
        <v>10561</v>
      </c>
      <c r="B4764" t="s">
        <v>10562</v>
      </c>
      <c r="C4764" t="s">
        <v>190</v>
      </c>
      <c r="D4764" t="s">
        <v>191</v>
      </c>
    </row>
    <row r="4765" spans="1:4" x14ac:dyDescent="0.2">
      <c r="A4765" t="s">
        <v>10561</v>
      </c>
      <c r="B4765" t="s">
        <v>10563</v>
      </c>
      <c r="C4765" t="s">
        <v>190</v>
      </c>
      <c r="D4765" t="s">
        <v>10564</v>
      </c>
    </row>
    <row r="4766" spans="1:4" x14ac:dyDescent="0.2">
      <c r="A4766" t="s">
        <v>10565</v>
      </c>
      <c r="B4766" t="s">
        <v>10563</v>
      </c>
      <c r="C4766" t="s">
        <v>190</v>
      </c>
      <c r="D4766" t="s">
        <v>191</v>
      </c>
    </row>
    <row r="4767" spans="1:4" x14ac:dyDescent="0.2">
      <c r="A4767" t="s">
        <v>10565</v>
      </c>
      <c r="B4767" t="s">
        <v>10559</v>
      </c>
      <c r="C4767" t="s">
        <v>10560</v>
      </c>
      <c r="D4767" t="s">
        <v>195</v>
      </c>
    </row>
    <row r="4768" spans="1:4" x14ac:dyDescent="0.2">
      <c r="A4768" t="s">
        <v>10566</v>
      </c>
      <c r="B4768" t="s">
        <v>10567</v>
      </c>
      <c r="C4768" t="s">
        <v>190</v>
      </c>
      <c r="D4768" t="s">
        <v>191</v>
      </c>
    </row>
    <row r="4769" spans="1:4" x14ac:dyDescent="0.2">
      <c r="A4769" t="s">
        <v>10568</v>
      </c>
      <c r="B4769" t="s">
        <v>10569</v>
      </c>
      <c r="C4769" t="s">
        <v>10570</v>
      </c>
      <c r="D4769" t="s">
        <v>195</v>
      </c>
    </row>
    <row r="4770" spans="1:4" x14ac:dyDescent="0.2">
      <c r="A4770" t="s">
        <v>10571</v>
      </c>
      <c r="B4770" t="s">
        <v>10572</v>
      </c>
      <c r="C4770" t="s">
        <v>10573</v>
      </c>
      <c r="D4770" t="s">
        <v>187</v>
      </c>
    </row>
    <row r="4771" spans="1:4" x14ac:dyDescent="0.2">
      <c r="A4771" t="s">
        <v>10574</v>
      </c>
      <c r="B4771" t="s">
        <v>10575</v>
      </c>
      <c r="C4771" t="s">
        <v>190</v>
      </c>
      <c r="D4771" t="s">
        <v>10576</v>
      </c>
    </row>
    <row r="4772" spans="1:4" x14ac:dyDescent="0.2">
      <c r="A4772" t="s">
        <v>10577</v>
      </c>
      <c r="B4772" t="s">
        <v>10578</v>
      </c>
      <c r="C4772" t="s">
        <v>190</v>
      </c>
      <c r="D4772" t="s">
        <v>191</v>
      </c>
    </row>
    <row r="4773" spans="1:4" x14ac:dyDescent="0.2">
      <c r="A4773" t="s">
        <v>10579</v>
      </c>
      <c r="B4773" t="s">
        <v>10580</v>
      </c>
      <c r="C4773" t="s">
        <v>190</v>
      </c>
      <c r="D4773" t="s">
        <v>191</v>
      </c>
    </row>
    <row r="4774" spans="1:4" x14ac:dyDescent="0.2">
      <c r="A4774" t="s">
        <v>10581</v>
      </c>
      <c r="B4774" t="s">
        <v>10582</v>
      </c>
      <c r="C4774" t="s">
        <v>10583</v>
      </c>
      <c r="D4774" t="s">
        <v>195</v>
      </c>
    </row>
    <row r="4775" spans="1:4" x14ac:dyDescent="0.2">
      <c r="A4775" t="s">
        <v>10584</v>
      </c>
      <c r="B4775" t="s">
        <v>10585</v>
      </c>
      <c r="C4775" t="s">
        <v>190</v>
      </c>
      <c r="D4775" t="s">
        <v>191</v>
      </c>
    </row>
    <row r="4776" spans="1:4" x14ac:dyDescent="0.2">
      <c r="A4776" t="s">
        <v>10586</v>
      </c>
      <c r="B4776" t="s">
        <v>10587</v>
      </c>
      <c r="C4776" t="s">
        <v>190</v>
      </c>
      <c r="D4776" t="s">
        <v>191</v>
      </c>
    </row>
    <row r="4777" spans="1:4" x14ac:dyDescent="0.2">
      <c r="A4777" t="s">
        <v>10588</v>
      </c>
      <c r="B4777" t="s">
        <v>10589</v>
      </c>
      <c r="C4777" t="s">
        <v>190</v>
      </c>
      <c r="D4777" t="s">
        <v>191</v>
      </c>
    </row>
    <row r="4778" spans="1:4" x14ac:dyDescent="0.2">
      <c r="A4778" t="s">
        <v>10590</v>
      </c>
      <c r="B4778" t="s">
        <v>10591</v>
      </c>
      <c r="C4778" t="s">
        <v>10592</v>
      </c>
      <c r="D4778" t="s">
        <v>187</v>
      </c>
    </row>
    <row r="4779" spans="1:4" x14ac:dyDescent="0.2">
      <c r="A4779" t="s">
        <v>10593</v>
      </c>
      <c r="B4779" t="s">
        <v>10594</v>
      </c>
      <c r="C4779" t="s">
        <v>190</v>
      </c>
      <c r="D4779" t="s">
        <v>191</v>
      </c>
    </row>
    <row r="4780" spans="1:4" x14ac:dyDescent="0.2">
      <c r="A4780" t="s">
        <v>10595</v>
      </c>
      <c r="B4780" t="s">
        <v>10596</v>
      </c>
      <c r="C4780" t="s">
        <v>10597</v>
      </c>
      <c r="D4780" t="s">
        <v>195</v>
      </c>
    </row>
    <row r="4781" spans="1:4" x14ac:dyDescent="0.2">
      <c r="A4781" t="s">
        <v>10598</v>
      </c>
      <c r="B4781" t="s">
        <v>10599</v>
      </c>
      <c r="C4781" t="s">
        <v>10600</v>
      </c>
      <c r="D4781" t="s">
        <v>195</v>
      </c>
    </row>
    <row r="4782" spans="1:4" x14ac:dyDescent="0.2">
      <c r="A4782" t="s">
        <v>10601</v>
      </c>
      <c r="B4782" t="s">
        <v>10602</v>
      </c>
      <c r="C4782" t="s">
        <v>190</v>
      </c>
      <c r="D4782" t="s">
        <v>191</v>
      </c>
    </row>
    <row r="4783" spans="1:4" x14ac:dyDescent="0.2">
      <c r="A4783" t="s">
        <v>10603</v>
      </c>
      <c r="B4783" t="s">
        <v>10604</v>
      </c>
      <c r="C4783" t="s">
        <v>190</v>
      </c>
      <c r="D4783" t="s">
        <v>191</v>
      </c>
    </row>
    <row r="4784" spans="1:4" x14ac:dyDescent="0.2">
      <c r="A4784" t="s">
        <v>10605</v>
      </c>
      <c r="B4784" t="s">
        <v>10606</v>
      </c>
      <c r="C4784" t="s">
        <v>190</v>
      </c>
      <c r="D4784" t="s">
        <v>191</v>
      </c>
    </row>
    <row r="4785" spans="1:4" x14ac:dyDescent="0.2">
      <c r="A4785" t="s">
        <v>10607</v>
      </c>
      <c r="B4785" t="s">
        <v>10608</v>
      </c>
      <c r="C4785" t="s">
        <v>10609</v>
      </c>
      <c r="D4785" t="s">
        <v>195</v>
      </c>
    </row>
    <row r="4786" spans="1:4" x14ac:dyDescent="0.2">
      <c r="A4786" t="s">
        <v>10610</v>
      </c>
      <c r="B4786" t="s">
        <v>10611</v>
      </c>
      <c r="C4786" t="s">
        <v>190</v>
      </c>
      <c r="D4786" t="s">
        <v>191</v>
      </c>
    </row>
    <row r="4787" spans="1:4" x14ac:dyDescent="0.2">
      <c r="A4787" t="s">
        <v>10610</v>
      </c>
      <c r="B4787" t="s">
        <v>10612</v>
      </c>
      <c r="C4787" t="s">
        <v>190</v>
      </c>
      <c r="D4787" t="s">
        <v>10613</v>
      </c>
    </row>
    <row r="4788" spans="1:4" x14ac:dyDescent="0.2">
      <c r="A4788" t="s">
        <v>10610</v>
      </c>
      <c r="B4788" t="s">
        <v>10614</v>
      </c>
      <c r="C4788" t="s">
        <v>190</v>
      </c>
      <c r="D4788" t="s">
        <v>191</v>
      </c>
    </row>
    <row r="4789" spans="1:4" x14ac:dyDescent="0.2">
      <c r="A4789" t="s">
        <v>10615</v>
      </c>
      <c r="B4789" t="s">
        <v>10616</v>
      </c>
      <c r="C4789" t="s">
        <v>10617</v>
      </c>
      <c r="D4789" t="s">
        <v>195</v>
      </c>
    </row>
    <row r="4790" spans="1:4" x14ac:dyDescent="0.2">
      <c r="A4790" t="s">
        <v>10618</v>
      </c>
      <c r="B4790" t="s">
        <v>10619</v>
      </c>
      <c r="C4790" t="s">
        <v>190</v>
      </c>
      <c r="D4790" t="s">
        <v>191</v>
      </c>
    </row>
    <row r="4791" spans="1:4" x14ac:dyDescent="0.2">
      <c r="A4791" t="s">
        <v>10620</v>
      </c>
      <c r="B4791" t="s">
        <v>10621</v>
      </c>
      <c r="C4791" t="s">
        <v>190</v>
      </c>
      <c r="D4791" t="s">
        <v>191</v>
      </c>
    </row>
    <row r="4792" spans="1:4" x14ac:dyDescent="0.2">
      <c r="A4792" t="s">
        <v>10622</v>
      </c>
      <c r="B4792" t="s">
        <v>10623</v>
      </c>
      <c r="C4792" t="s">
        <v>190</v>
      </c>
      <c r="D4792" t="s">
        <v>191</v>
      </c>
    </row>
    <row r="4793" spans="1:4" x14ac:dyDescent="0.2">
      <c r="A4793" t="s">
        <v>10624</v>
      </c>
      <c r="B4793" t="s">
        <v>10625</v>
      </c>
      <c r="C4793" t="s">
        <v>190</v>
      </c>
      <c r="D4793" t="s">
        <v>191</v>
      </c>
    </row>
    <row r="4794" spans="1:4" x14ac:dyDescent="0.2">
      <c r="A4794" t="s">
        <v>10626</v>
      </c>
      <c r="B4794" t="s">
        <v>10627</v>
      </c>
      <c r="C4794" t="s">
        <v>190</v>
      </c>
      <c r="D4794" t="s">
        <v>191</v>
      </c>
    </row>
    <row r="4795" spans="1:4" x14ac:dyDescent="0.2">
      <c r="A4795" t="s">
        <v>10628</v>
      </c>
      <c r="B4795" t="s">
        <v>10629</v>
      </c>
      <c r="C4795" t="s">
        <v>10630</v>
      </c>
      <c r="D4795" t="s">
        <v>195</v>
      </c>
    </row>
    <row r="4796" spans="1:4" x14ac:dyDescent="0.2">
      <c r="A4796" t="s">
        <v>10631</v>
      </c>
      <c r="B4796" t="s">
        <v>10632</v>
      </c>
      <c r="C4796" t="s">
        <v>190</v>
      </c>
      <c r="D4796" t="s">
        <v>191</v>
      </c>
    </row>
    <row r="4797" spans="1:4" x14ac:dyDescent="0.2">
      <c r="A4797" t="s">
        <v>10633</v>
      </c>
      <c r="B4797" t="s">
        <v>10634</v>
      </c>
      <c r="C4797" t="s">
        <v>10635</v>
      </c>
      <c r="D4797" t="s">
        <v>187</v>
      </c>
    </row>
    <row r="4798" spans="1:4" x14ac:dyDescent="0.2">
      <c r="A4798" t="s">
        <v>10636</v>
      </c>
      <c r="B4798" t="s">
        <v>10637</v>
      </c>
      <c r="C4798" t="s">
        <v>10638</v>
      </c>
      <c r="D4798" t="s">
        <v>195</v>
      </c>
    </row>
    <row r="4799" spans="1:4" x14ac:dyDescent="0.2">
      <c r="A4799" t="s">
        <v>10639</v>
      </c>
      <c r="B4799" t="s">
        <v>10640</v>
      </c>
      <c r="C4799" t="s">
        <v>190</v>
      </c>
      <c r="D4799" t="s">
        <v>10641</v>
      </c>
    </row>
    <row r="4800" spans="1:4" x14ac:dyDescent="0.2">
      <c r="A4800" t="s">
        <v>10642</v>
      </c>
      <c r="B4800" t="s">
        <v>10643</v>
      </c>
      <c r="C4800" t="s">
        <v>190</v>
      </c>
      <c r="D4800" t="s">
        <v>191</v>
      </c>
    </row>
    <row r="4801" spans="1:4" x14ac:dyDescent="0.2">
      <c r="A4801" t="s">
        <v>10644</v>
      </c>
      <c r="B4801" t="s">
        <v>10645</v>
      </c>
      <c r="C4801" t="s">
        <v>190</v>
      </c>
      <c r="D4801" t="s">
        <v>191</v>
      </c>
    </row>
    <row r="4802" spans="1:4" x14ac:dyDescent="0.2">
      <c r="A4802" t="s">
        <v>10646</v>
      </c>
      <c r="B4802" t="s">
        <v>10647</v>
      </c>
      <c r="C4802" t="s">
        <v>10648</v>
      </c>
      <c r="D4802" t="s">
        <v>187</v>
      </c>
    </row>
    <row r="4803" spans="1:4" x14ac:dyDescent="0.2">
      <c r="A4803" t="s">
        <v>10649</v>
      </c>
      <c r="B4803" t="s">
        <v>10650</v>
      </c>
      <c r="C4803" t="s">
        <v>10651</v>
      </c>
      <c r="D4803" t="s">
        <v>187</v>
      </c>
    </row>
    <row r="4804" spans="1:4" x14ac:dyDescent="0.2">
      <c r="A4804" t="s">
        <v>10652</v>
      </c>
      <c r="B4804" t="s">
        <v>10653</v>
      </c>
      <c r="C4804" t="s">
        <v>190</v>
      </c>
      <c r="D4804" t="s">
        <v>191</v>
      </c>
    </row>
    <row r="4805" spans="1:4" x14ac:dyDescent="0.2">
      <c r="A4805" t="s">
        <v>10654</v>
      </c>
      <c r="B4805" t="s">
        <v>10655</v>
      </c>
      <c r="C4805" t="s">
        <v>190</v>
      </c>
      <c r="D4805" t="s">
        <v>191</v>
      </c>
    </row>
    <row r="4806" spans="1:4" x14ac:dyDescent="0.2">
      <c r="A4806" t="s">
        <v>10656</v>
      </c>
      <c r="B4806" t="s">
        <v>10657</v>
      </c>
      <c r="C4806" t="s">
        <v>10658</v>
      </c>
      <c r="D4806" t="s">
        <v>187</v>
      </c>
    </row>
    <row r="4807" spans="1:4" x14ac:dyDescent="0.2">
      <c r="A4807" t="s">
        <v>10659</v>
      </c>
      <c r="B4807" t="s">
        <v>10660</v>
      </c>
      <c r="C4807" t="s">
        <v>190</v>
      </c>
      <c r="D4807" t="s">
        <v>191</v>
      </c>
    </row>
    <row r="4808" spans="1:4" x14ac:dyDescent="0.2">
      <c r="A4808" t="s">
        <v>10659</v>
      </c>
      <c r="B4808" t="s">
        <v>10661</v>
      </c>
      <c r="C4808" t="s">
        <v>190</v>
      </c>
      <c r="D4808" t="s">
        <v>280</v>
      </c>
    </row>
    <row r="4809" spans="1:4" x14ac:dyDescent="0.2">
      <c r="A4809" t="s">
        <v>10662</v>
      </c>
      <c r="B4809" t="s">
        <v>10663</v>
      </c>
      <c r="C4809" t="s">
        <v>10664</v>
      </c>
      <c r="D4809" t="s">
        <v>195</v>
      </c>
    </row>
    <row r="4810" spans="1:4" x14ac:dyDescent="0.2">
      <c r="A4810" t="s">
        <v>10665</v>
      </c>
      <c r="B4810" t="s">
        <v>10666</v>
      </c>
      <c r="C4810" t="s">
        <v>10667</v>
      </c>
      <c r="D4810" t="s">
        <v>187</v>
      </c>
    </row>
    <row r="4811" spans="1:4" x14ac:dyDescent="0.2">
      <c r="A4811" t="s">
        <v>10668</v>
      </c>
      <c r="B4811" t="s">
        <v>10669</v>
      </c>
      <c r="C4811" t="s">
        <v>190</v>
      </c>
      <c r="D4811" t="s">
        <v>191</v>
      </c>
    </row>
    <row r="4812" spans="1:4" x14ac:dyDescent="0.2">
      <c r="A4812" t="s">
        <v>10670</v>
      </c>
      <c r="B4812" t="s">
        <v>10671</v>
      </c>
      <c r="C4812" t="s">
        <v>10672</v>
      </c>
      <c r="D4812" t="s">
        <v>187</v>
      </c>
    </row>
    <row r="4813" spans="1:4" x14ac:dyDescent="0.2">
      <c r="A4813" t="s">
        <v>10673</v>
      </c>
      <c r="B4813" t="s">
        <v>10674</v>
      </c>
      <c r="C4813" t="s">
        <v>10675</v>
      </c>
      <c r="D4813" t="s">
        <v>195</v>
      </c>
    </row>
    <row r="4814" spans="1:4" x14ac:dyDescent="0.2">
      <c r="A4814" t="s">
        <v>10676</v>
      </c>
      <c r="B4814" t="s">
        <v>10677</v>
      </c>
      <c r="C4814" t="s">
        <v>190</v>
      </c>
      <c r="D4814" t="s">
        <v>191</v>
      </c>
    </row>
    <row r="4815" spans="1:4" x14ac:dyDescent="0.2">
      <c r="A4815" t="s">
        <v>10678</v>
      </c>
      <c r="B4815" t="s">
        <v>10679</v>
      </c>
      <c r="C4815" t="s">
        <v>190</v>
      </c>
      <c r="D4815" t="s">
        <v>191</v>
      </c>
    </row>
    <row r="4816" spans="1:4" x14ac:dyDescent="0.2">
      <c r="A4816" t="s">
        <v>10680</v>
      </c>
      <c r="B4816" t="s">
        <v>10681</v>
      </c>
      <c r="C4816" t="s">
        <v>10682</v>
      </c>
      <c r="D4816" t="s">
        <v>195</v>
      </c>
    </row>
    <row r="4817" spans="1:4" x14ac:dyDescent="0.2">
      <c r="A4817" t="s">
        <v>10683</v>
      </c>
      <c r="B4817" t="s">
        <v>10684</v>
      </c>
      <c r="C4817" t="s">
        <v>10685</v>
      </c>
      <c r="D4817" t="s">
        <v>187</v>
      </c>
    </row>
    <row r="4818" spans="1:4" x14ac:dyDescent="0.2">
      <c r="A4818" t="s">
        <v>10686</v>
      </c>
      <c r="B4818" t="s">
        <v>10687</v>
      </c>
      <c r="C4818" t="s">
        <v>190</v>
      </c>
      <c r="D4818" t="s">
        <v>10688</v>
      </c>
    </row>
    <row r="4819" spans="1:4" x14ac:dyDescent="0.2">
      <c r="A4819" t="s">
        <v>10686</v>
      </c>
      <c r="B4819" t="s">
        <v>10689</v>
      </c>
      <c r="C4819" t="s">
        <v>190</v>
      </c>
      <c r="D4819" t="s">
        <v>191</v>
      </c>
    </row>
    <row r="4820" spans="1:4" x14ac:dyDescent="0.2">
      <c r="A4820" t="s">
        <v>10686</v>
      </c>
      <c r="B4820" t="s">
        <v>10690</v>
      </c>
      <c r="C4820" t="s">
        <v>190</v>
      </c>
      <c r="D4820" t="s">
        <v>191</v>
      </c>
    </row>
    <row r="4821" spans="1:4" x14ac:dyDescent="0.2">
      <c r="A4821" t="s">
        <v>10691</v>
      </c>
      <c r="B4821" t="s">
        <v>10692</v>
      </c>
      <c r="C4821" t="s">
        <v>190</v>
      </c>
      <c r="D4821" t="s">
        <v>191</v>
      </c>
    </row>
    <row r="4822" spans="1:4" x14ac:dyDescent="0.2">
      <c r="A4822" t="s">
        <v>10693</v>
      </c>
      <c r="B4822" t="s">
        <v>10694</v>
      </c>
      <c r="C4822" t="s">
        <v>190</v>
      </c>
      <c r="D4822" t="s">
        <v>191</v>
      </c>
    </row>
    <row r="4823" spans="1:4" x14ac:dyDescent="0.2">
      <c r="A4823" t="s">
        <v>10695</v>
      </c>
      <c r="B4823" t="s">
        <v>10696</v>
      </c>
      <c r="C4823" t="s">
        <v>190</v>
      </c>
      <c r="D4823" t="s">
        <v>191</v>
      </c>
    </row>
    <row r="4824" spans="1:4" x14ac:dyDescent="0.2">
      <c r="A4824" t="s">
        <v>10695</v>
      </c>
      <c r="B4824" t="s">
        <v>10697</v>
      </c>
      <c r="C4824" t="s">
        <v>190</v>
      </c>
      <c r="D4824" t="s">
        <v>191</v>
      </c>
    </row>
    <row r="4825" spans="1:4" x14ac:dyDescent="0.2">
      <c r="A4825" t="s">
        <v>10698</v>
      </c>
      <c r="B4825" t="s">
        <v>10699</v>
      </c>
      <c r="C4825" t="s">
        <v>10700</v>
      </c>
      <c r="D4825" t="s">
        <v>195</v>
      </c>
    </row>
    <row r="4826" spans="1:4" x14ac:dyDescent="0.2">
      <c r="A4826" t="s">
        <v>10701</v>
      </c>
      <c r="B4826" t="s">
        <v>10702</v>
      </c>
      <c r="C4826" t="s">
        <v>190</v>
      </c>
      <c r="D4826" t="s">
        <v>191</v>
      </c>
    </row>
    <row r="4827" spans="1:4" x14ac:dyDescent="0.2">
      <c r="A4827" t="s">
        <v>10703</v>
      </c>
      <c r="B4827" t="s">
        <v>10704</v>
      </c>
      <c r="C4827" t="s">
        <v>10705</v>
      </c>
      <c r="D4827" t="s">
        <v>195</v>
      </c>
    </row>
    <row r="4828" spans="1:4" x14ac:dyDescent="0.2">
      <c r="A4828" t="s">
        <v>10706</v>
      </c>
      <c r="B4828" t="s">
        <v>10707</v>
      </c>
      <c r="C4828" t="s">
        <v>190</v>
      </c>
      <c r="D4828" t="s">
        <v>191</v>
      </c>
    </row>
    <row r="4829" spans="1:4" x14ac:dyDescent="0.2">
      <c r="A4829" t="s">
        <v>10708</v>
      </c>
      <c r="B4829" t="s">
        <v>10709</v>
      </c>
      <c r="C4829" t="s">
        <v>10710</v>
      </c>
      <c r="D4829" t="s">
        <v>195</v>
      </c>
    </row>
    <row r="4830" spans="1:4" x14ac:dyDescent="0.2">
      <c r="A4830" t="s">
        <v>10711</v>
      </c>
      <c r="B4830" t="s">
        <v>10712</v>
      </c>
      <c r="C4830" t="s">
        <v>190</v>
      </c>
      <c r="D4830" t="s">
        <v>191</v>
      </c>
    </row>
    <row r="4831" spans="1:4" x14ac:dyDescent="0.2">
      <c r="A4831" t="s">
        <v>10713</v>
      </c>
      <c r="B4831" t="s">
        <v>10714</v>
      </c>
      <c r="C4831" t="s">
        <v>10715</v>
      </c>
      <c r="D4831" t="s">
        <v>195</v>
      </c>
    </row>
    <row r="4832" spans="1:4" x14ac:dyDescent="0.2">
      <c r="A4832" t="s">
        <v>10716</v>
      </c>
      <c r="B4832" t="s">
        <v>10717</v>
      </c>
      <c r="C4832" t="s">
        <v>10718</v>
      </c>
      <c r="D4832" t="s">
        <v>195</v>
      </c>
    </row>
    <row r="4833" spans="1:4" x14ac:dyDescent="0.2">
      <c r="A4833" t="s">
        <v>10719</v>
      </c>
      <c r="B4833" t="s">
        <v>10720</v>
      </c>
      <c r="C4833" t="s">
        <v>10721</v>
      </c>
      <c r="D4833" t="s">
        <v>187</v>
      </c>
    </row>
    <row r="4834" spans="1:4" x14ac:dyDescent="0.2">
      <c r="A4834" t="s">
        <v>10722</v>
      </c>
      <c r="B4834" t="s">
        <v>10723</v>
      </c>
      <c r="C4834" t="s">
        <v>10724</v>
      </c>
      <c r="D4834" t="s">
        <v>195</v>
      </c>
    </row>
    <row r="4835" spans="1:4" x14ac:dyDescent="0.2">
      <c r="A4835" t="s">
        <v>10725</v>
      </c>
      <c r="B4835" t="s">
        <v>10726</v>
      </c>
      <c r="C4835" t="s">
        <v>190</v>
      </c>
      <c r="D4835" t="s">
        <v>191</v>
      </c>
    </row>
    <row r="4836" spans="1:4" x14ac:dyDescent="0.2">
      <c r="A4836" t="s">
        <v>10727</v>
      </c>
      <c r="B4836" t="s">
        <v>10728</v>
      </c>
      <c r="C4836" t="s">
        <v>10729</v>
      </c>
      <c r="D4836" t="s">
        <v>187</v>
      </c>
    </row>
    <row r="4837" spans="1:4" x14ac:dyDescent="0.2">
      <c r="A4837" t="s">
        <v>10730</v>
      </c>
      <c r="B4837" t="s">
        <v>10731</v>
      </c>
      <c r="C4837" t="s">
        <v>190</v>
      </c>
      <c r="D4837" t="s">
        <v>191</v>
      </c>
    </row>
    <row r="4838" spans="1:4" x14ac:dyDescent="0.2">
      <c r="A4838" t="s">
        <v>10732</v>
      </c>
      <c r="B4838" t="s">
        <v>10733</v>
      </c>
      <c r="C4838" t="s">
        <v>190</v>
      </c>
      <c r="D4838" t="s">
        <v>191</v>
      </c>
    </row>
    <row r="4839" spans="1:4" x14ac:dyDescent="0.2">
      <c r="A4839" t="s">
        <v>10734</v>
      </c>
      <c r="B4839" t="s">
        <v>10735</v>
      </c>
      <c r="C4839" t="s">
        <v>190</v>
      </c>
      <c r="D4839" t="s">
        <v>191</v>
      </c>
    </row>
    <row r="4840" spans="1:4" x14ac:dyDescent="0.2">
      <c r="A4840" t="s">
        <v>10734</v>
      </c>
      <c r="B4840" t="s">
        <v>10736</v>
      </c>
      <c r="C4840" t="s">
        <v>190</v>
      </c>
      <c r="D4840" t="s">
        <v>191</v>
      </c>
    </row>
    <row r="4841" spans="1:4" x14ac:dyDescent="0.2">
      <c r="A4841" t="s">
        <v>10737</v>
      </c>
      <c r="B4841" t="s">
        <v>10738</v>
      </c>
      <c r="C4841" t="s">
        <v>190</v>
      </c>
      <c r="D4841" t="s">
        <v>191</v>
      </c>
    </row>
    <row r="4842" spans="1:4" x14ac:dyDescent="0.2">
      <c r="A4842" t="s">
        <v>10739</v>
      </c>
      <c r="B4842" t="s">
        <v>10740</v>
      </c>
      <c r="C4842" t="s">
        <v>190</v>
      </c>
      <c r="D4842" t="s">
        <v>191</v>
      </c>
    </row>
    <row r="4843" spans="1:4" x14ac:dyDescent="0.2">
      <c r="A4843" t="s">
        <v>10741</v>
      </c>
      <c r="B4843" t="s">
        <v>10742</v>
      </c>
      <c r="C4843" t="s">
        <v>190</v>
      </c>
      <c r="D4843" t="s">
        <v>191</v>
      </c>
    </row>
    <row r="4844" spans="1:4" x14ac:dyDescent="0.2">
      <c r="A4844" t="s">
        <v>10743</v>
      </c>
      <c r="B4844" t="s">
        <v>10744</v>
      </c>
      <c r="C4844" t="s">
        <v>10745</v>
      </c>
      <c r="D4844" t="s">
        <v>195</v>
      </c>
    </row>
    <row r="4845" spans="1:4" x14ac:dyDescent="0.2">
      <c r="A4845" t="s">
        <v>10746</v>
      </c>
      <c r="B4845" t="s">
        <v>10747</v>
      </c>
      <c r="C4845" t="s">
        <v>190</v>
      </c>
      <c r="D4845" t="s">
        <v>191</v>
      </c>
    </row>
    <row r="4846" spans="1:4" x14ac:dyDescent="0.2">
      <c r="A4846" t="s">
        <v>10746</v>
      </c>
      <c r="B4846" t="s">
        <v>10748</v>
      </c>
      <c r="C4846" t="s">
        <v>190</v>
      </c>
      <c r="D4846" t="s">
        <v>191</v>
      </c>
    </row>
    <row r="4847" spans="1:4" x14ac:dyDescent="0.2">
      <c r="A4847" t="s">
        <v>10749</v>
      </c>
      <c r="B4847" t="s">
        <v>10750</v>
      </c>
      <c r="C4847" t="s">
        <v>190</v>
      </c>
      <c r="D4847" t="s">
        <v>191</v>
      </c>
    </row>
    <row r="4848" spans="1:4" x14ac:dyDescent="0.2">
      <c r="A4848" t="s">
        <v>10749</v>
      </c>
      <c r="B4848" t="s">
        <v>10751</v>
      </c>
      <c r="C4848" t="s">
        <v>10752</v>
      </c>
      <c r="D4848" t="s">
        <v>195</v>
      </c>
    </row>
    <row r="4849" spans="1:4" x14ac:dyDescent="0.2">
      <c r="A4849" t="s">
        <v>10753</v>
      </c>
      <c r="B4849" t="s">
        <v>10754</v>
      </c>
      <c r="C4849" t="s">
        <v>190</v>
      </c>
      <c r="D4849" t="s">
        <v>191</v>
      </c>
    </row>
    <row r="4850" spans="1:4" x14ac:dyDescent="0.2">
      <c r="A4850" t="s">
        <v>10755</v>
      </c>
      <c r="B4850" t="s">
        <v>10756</v>
      </c>
      <c r="C4850" t="s">
        <v>190</v>
      </c>
      <c r="D4850" t="s">
        <v>191</v>
      </c>
    </row>
    <row r="4851" spans="1:4" x14ac:dyDescent="0.2">
      <c r="A4851" t="s">
        <v>10757</v>
      </c>
      <c r="B4851" t="s">
        <v>10758</v>
      </c>
      <c r="C4851" t="s">
        <v>190</v>
      </c>
      <c r="D4851" t="s">
        <v>191</v>
      </c>
    </row>
    <row r="4852" spans="1:4" x14ac:dyDescent="0.2">
      <c r="A4852" t="s">
        <v>10759</v>
      </c>
      <c r="B4852" t="s">
        <v>10760</v>
      </c>
      <c r="C4852" t="s">
        <v>190</v>
      </c>
      <c r="D4852" t="s">
        <v>191</v>
      </c>
    </row>
    <row r="4853" spans="1:4" x14ac:dyDescent="0.2">
      <c r="A4853" t="s">
        <v>10761</v>
      </c>
      <c r="B4853" t="s">
        <v>10762</v>
      </c>
      <c r="C4853" t="s">
        <v>10763</v>
      </c>
      <c r="D4853" t="s">
        <v>187</v>
      </c>
    </row>
    <row r="4854" spans="1:4" x14ac:dyDescent="0.2">
      <c r="A4854" t="s">
        <v>10764</v>
      </c>
      <c r="B4854" t="s">
        <v>10765</v>
      </c>
      <c r="C4854" t="s">
        <v>190</v>
      </c>
      <c r="D4854" t="s">
        <v>191</v>
      </c>
    </row>
    <row r="4855" spans="1:4" x14ac:dyDescent="0.2">
      <c r="A4855" t="s">
        <v>10764</v>
      </c>
      <c r="B4855" t="s">
        <v>10766</v>
      </c>
      <c r="C4855" t="s">
        <v>190</v>
      </c>
      <c r="D4855" t="s">
        <v>191</v>
      </c>
    </row>
    <row r="4856" spans="1:4" x14ac:dyDescent="0.2">
      <c r="A4856" t="s">
        <v>10767</v>
      </c>
      <c r="B4856" t="s">
        <v>10768</v>
      </c>
      <c r="C4856" t="s">
        <v>190</v>
      </c>
      <c r="D4856" t="s">
        <v>191</v>
      </c>
    </row>
    <row r="4857" spans="1:4" x14ac:dyDescent="0.2">
      <c r="A4857" t="s">
        <v>10769</v>
      </c>
      <c r="B4857" t="s">
        <v>10770</v>
      </c>
      <c r="C4857" t="s">
        <v>10771</v>
      </c>
      <c r="D4857" t="s">
        <v>187</v>
      </c>
    </row>
    <row r="4858" spans="1:4" x14ac:dyDescent="0.2">
      <c r="A4858" t="s">
        <v>10772</v>
      </c>
      <c r="B4858" t="s">
        <v>10773</v>
      </c>
      <c r="C4858" t="s">
        <v>190</v>
      </c>
      <c r="D4858" t="s">
        <v>191</v>
      </c>
    </row>
    <row r="4859" spans="1:4" x14ac:dyDescent="0.2">
      <c r="A4859" t="s">
        <v>10774</v>
      </c>
      <c r="B4859" t="s">
        <v>10775</v>
      </c>
      <c r="C4859" t="s">
        <v>10776</v>
      </c>
      <c r="D4859" t="s">
        <v>195</v>
      </c>
    </row>
    <row r="4860" spans="1:4" x14ac:dyDescent="0.2">
      <c r="A4860" t="s">
        <v>10777</v>
      </c>
      <c r="B4860" t="s">
        <v>10778</v>
      </c>
      <c r="C4860" t="s">
        <v>190</v>
      </c>
      <c r="D4860" t="s">
        <v>191</v>
      </c>
    </row>
    <row r="4861" spans="1:4" x14ac:dyDescent="0.2">
      <c r="A4861" t="s">
        <v>10779</v>
      </c>
      <c r="B4861" t="s">
        <v>10780</v>
      </c>
      <c r="C4861" t="s">
        <v>190</v>
      </c>
      <c r="D4861" t="s">
        <v>191</v>
      </c>
    </row>
    <row r="4862" spans="1:4" x14ac:dyDescent="0.2">
      <c r="A4862" t="s">
        <v>10781</v>
      </c>
      <c r="B4862" t="s">
        <v>10782</v>
      </c>
      <c r="C4862" t="s">
        <v>190</v>
      </c>
      <c r="D4862" t="s">
        <v>191</v>
      </c>
    </row>
    <row r="4863" spans="1:4" x14ac:dyDescent="0.2">
      <c r="A4863" t="s">
        <v>10783</v>
      </c>
      <c r="B4863" t="s">
        <v>10784</v>
      </c>
      <c r="C4863" t="s">
        <v>190</v>
      </c>
      <c r="D4863" t="s">
        <v>191</v>
      </c>
    </row>
    <row r="4864" spans="1:4" x14ac:dyDescent="0.2">
      <c r="A4864" t="s">
        <v>10785</v>
      </c>
      <c r="B4864" t="s">
        <v>10786</v>
      </c>
      <c r="C4864" t="s">
        <v>10787</v>
      </c>
      <c r="D4864" t="s">
        <v>187</v>
      </c>
    </row>
    <row r="4865" spans="1:4" x14ac:dyDescent="0.2">
      <c r="A4865" t="s">
        <v>10788</v>
      </c>
      <c r="B4865" t="s">
        <v>10789</v>
      </c>
      <c r="C4865" t="s">
        <v>190</v>
      </c>
      <c r="D4865" t="s">
        <v>191</v>
      </c>
    </row>
    <row r="4866" spans="1:4" x14ac:dyDescent="0.2">
      <c r="A4866" t="s">
        <v>10790</v>
      </c>
      <c r="B4866" t="s">
        <v>10791</v>
      </c>
      <c r="C4866" t="s">
        <v>190</v>
      </c>
      <c r="D4866" t="s">
        <v>191</v>
      </c>
    </row>
    <row r="4867" spans="1:4" x14ac:dyDescent="0.2">
      <c r="A4867" t="s">
        <v>10792</v>
      </c>
      <c r="B4867" t="s">
        <v>10793</v>
      </c>
      <c r="C4867" t="s">
        <v>190</v>
      </c>
      <c r="D4867" t="s">
        <v>191</v>
      </c>
    </row>
    <row r="4868" spans="1:4" x14ac:dyDescent="0.2">
      <c r="A4868" t="s">
        <v>10794</v>
      </c>
      <c r="B4868" t="s">
        <v>10795</v>
      </c>
      <c r="C4868" t="s">
        <v>190</v>
      </c>
      <c r="D4868" t="s">
        <v>191</v>
      </c>
    </row>
    <row r="4869" spans="1:4" x14ac:dyDescent="0.2">
      <c r="A4869" t="s">
        <v>10796</v>
      </c>
      <c r="B4869" t="s">
        <v>10797</v>
      </c>
      <c r="C4869" t="s">
        <v>190</v>
      </c>
      <c r="D4869" t="s">
        <v>10798</v>
      </c>
    </row>
    <row r="4870" spans="1:4" x14ac:dyDescent="0.2">
      <c r="A4870" t="s">
        <v>10799</v>
      </c>
      <c r="B4870" t="s">
        <v>10800</v>
      </c>
      <c r="C4870" t="s">
        <v>10801</v>
      </c>
      <c r="D4870" t="s">
        <v>187</v>
      </c>
    </row>
    <row r="4871" spans="1:4" x14ac:dyDescent="0.2">
      <c r="A4871" t="s">
        <v>10802</v>
      </c>
      <c r="B4871" t="s">
        <v>10803</v>
      </c>
      <c r="C4871" t="s">
        <v>190</v>
      </c>
      <c r="D4871" t="s">
        <v>191</v>
      </c>
    </row>
    <row r="4872" spans="1:4" x14ac:dyDescent="0.2">
      <c r="A4872" t="s">
        <v>10802</v>
      </c>
      <c r="B4872" t="s">
        <v>10804</v>
      </c>
      <c r="C4872" t="s">
        <v>190</v>
      </c>
      <c r="D4872" t="s">
        <v>191</v>
      </c>
    </row>
    <row r="4873" spans="1:4" x14ac:dyDescent="0.2">
      <c r="A4873" t="s">
        <v>10805</v>
      </c>
      <c r="B4873" t="s">
        <v>10803</v>
      </c>
      <c r="C4873" t="s">
        <v>190</v>
      </c>
      <c r="D4873" t="s">
        <v>10806</v>
      </c>
    </row>
    <row r="4874" spans="1:4" x14ac:dyDescent="0.2">
      <c r="A4874" t="s">
        <v>10805</v>
      </c>
      <c r="B4874" t="s">
        <v>10804</v>
      </c>
      <c r="C4874" t="s">
        <v>190</v>
      </c>
      <c r="D4874" t="s">
        <v>10806</v>
      </c>
    </row>
    <row r="4875" spans="1:4" x14ac:dyDescent="0.2">
      <c r="A4875" t="s">
        <v>10805</v>
      </c>
      <c r="B4875" t="s">
        <v>10807</v>
      </c>
      <c r="C4875" t="s">
        <v>190</v>
      </c>
      <c r="D4875" t="s">
        <v>280</v>
      </c>
    </row>
    <row r="4876" spans="1:4" x14ac:dyDescent="0.2">
      <c r="A4876" t="s">
        <v>10808</v>
      </c>
      <c r="B4876" t="s">
        <v>10809</v>
      </c>
      <c r="C4876" t="s">
        <v>190</v>
      </c>
      <c r="D4876" t="s">
        <v>10810</v>
      </c>
    </row>
    <row r="4877" spans="1:4" x14ac:dyDescent="0.2">
      <c r="A4877" t="s">
        <v>10811</v>
      </c>
      <c r="B4877" t="s">
        <v>10812</v>
      </c>
      <c r="C4877" t="s">
        <v>190</v>
      </c>
      <c r="D4877" t="s">
        <v>191</v>
      </c>
    </row>
    <row r="4878" spans="1:4" x14ac:dyDescent="0.2">
      <c r="A4878" t="s">
        <v>10813</v>
      </c>
      <c r="B4878" t="s">
        <v>10814</v>
      </c>
      <c r="C4878" t="s">
        <v>190</v>
      </c>
      <c r="D4878" t="s">
        <v>191</v>
      </c>
    </row>
    <row r="4879" spans="1:4" x14ac:dyDescent="0.2">
      <c r="A4879" t="s">
        <v>10815</v>
      </c>
      <c r="B4879" t="s">
        <v>10816</v>
      </c>
      <c r="C4879" t="s">
        <v>10817</v>
      </c>
      <c r="D4879" t="s">
        <v>195</v>
      </c>
    </row>
    <row r="4880" spans="1:4" x14ac:dyDescent="0.2">
      <c r="A4880" t="s">
        <v>10818</v>
      </c>
      <c r="B4880" t="s">
        <v>10819</v>
      </c>
      <c r="C4880" t="s">
        <v>190</v>
      </c>
      <c r="D4880" t="s">
        <v>191</v>
      </c>
    </row>
    <row r="4881" spans="1:4" x14ac:dyDescent="0.2">
      <c r="A4881" t="s">
        <v>10820</v>
      </c>
      <c r="B4881" t="s">
        <v>10821</v>
      </c>
      <c r="C4881" t="s">
        <v>190</v>
      </c>
      <c r="D4881" t="s">
        <v>191</v>
      </c>
    </row>
    <row r="4882" spans="1:4" x14ac:dyDescent="0.2">
      <c r="A4882" t="s">
        <v>10822</v>
      </c>
      <c r="B4882" t="s">
        <v>10823</v>
      </c>
      <c r="C4882" t="s">
        <v>190</v>
      </c>
      <c r="D4882" t="s">
        <v>10824</v>
      </c>
    </row>
    <row r="4883" spans="1:4" x14ac:dyDescent="0.2">
      <c r="A4883" t="s">
        <v>10825</v>
      </c>
      <c r="B4883" t="s">
        <v>10826</v>
      </c>
      <c r="C4883" t="s">
        <v>10827</v>
      </c>
      <c r="D4883" t="s">
        <v>195</v>
      </c>
    </row>
    <row r="4884" spans="1:4" x14ac:dyDescent="0.2">
      <c r="A4884" t="s">
        <v>10828</v>
      </c>
      <c r="B4884" t="s">
        <v>10829</v>
      </c>
      <c r="C4884" t="s">
        <v>190</v>
      </c>
      <c r="D4884" t="s">
        <v>191</v>
      </c>
    </row>
    <row r="4885" spans="1:4" x14ac:dyDescent="0.2">
      <c r="A4885" t="s">
        <v>10830</v>
      </c>
      <c r="B4885" t="s">
        <v>10831</v>
      </c>
      <c r="C4885" t="s">
        <v>190</v>
      </c>
      <c r="D4885" t="s">
        <v>10832</v>
      </c>
    </row>
    <row r="4886" spans="1:4" x14ac:dyDescent="0.2">
      <c r="A4886" t="s">
        <v>10833</v>
      </c>
      <c r="B4886" t="s">
        <v>10834</v>
      </c>
      <c r="C4886" t="s">
        <v>10835</v>
      </c>
      <c r="D4886" t="s">
        <v>195</v>
      </c>
    </row>
    <row r="4887" spans="1:4" x14ac:dyDescent="0.2">
      <c r="A4887" t="s">
        <v>10836</v>
      </c>
      <c r="B4887" t="s">
        <v>10837</v>
      </c>
      <c r="C4887" t="s">
        <v>190</v>
      </c>
      <c r="D4887" t="s">
        <v>10838</v>
      </c>
    </row>
    <row r="4888" spans="1:4" x14ac:dyDescent="0.2">
      <c r="A4888" t="s">
        <v>10839</v>
      </c>
      <c r="B4888" t="s">
        <v>10840</v>
      </c>
      <c r="C4888" t="s">
        <v>10841</v>
      </c>
      <c r="D4888" t="s">
        <v>195</v>
      </c>
    </row>
    <row r="4889" spans="1:4" x14ac:dyDescent="0.2">
      <c r="A4889" t="s">
        <v>10839</v>
      </c>
      <c r="B4889" t="s">
        <v>10842</v>
      </c>
      <c r="C4889" t="s">
        <v>10843</v>
      </c>
      <c r="D4889" t="s">
        <v>195</v>
      </c>
    </row>
    <row r="4890" spans="1:4" x14ac:dyDescent="0.2">
      <c r="A4890" t="s">
        <v>10844</v>
      </c>
      <c r="B4890" t="s">
        <v>10845</v>
      </c>
      <c r="C4890" t="s">
        <v>190</v>
      </c>
      <c r="D4890" t="s">
        <v>191</v>
      </c>
    </row>
    <row r="4891" spans="1:4" x14ac:dyDescent="0.2">
      <c r="A4891" t="s">
        <v>10846</v>
      </c>
      <c r="B4891" t="s">
        <v>10847</v>
      </c>
      <c r="C4891" t="s">
        <v>190</v>
      </c>
      <c r="D4891" t="s">
        <v>191</v>
      </c>
    </row>
    <row r="4892" spans="1:4" x14ac:dyDescent="0.2">
      <c r="A4892" t="s">
        <v>10848</v>
      </c>
      <c r="B4892" t="s">
        <v>10849</v>
      </c>
      <c r="C4892" t="s">
        <v>10850</v>
      </c>
      <c r="D4892" t="s">
        <v>187</v>
      </c>
    </row>
    <row r="4893" spans="1:4" x14ac:dyDescent="0.2">
      <c r="A4893" t="s">
        <v>10851</v>
      </c>
      <c r="B4893" t="s">
        <v>10852</v>
      </c>
      <c r="C4893" t="s">
        <v>190</v>
      </c>
      <c r="D4893" t="s">
        <v>191</v>
      </c>
    </row>
    <row r="4894" spans="1:4" x14ac:dyDescent="0.2">
      <c r="A4894" t="s">
        <v>10851</v>
      </c>
      <c r="B4894" t="s">
        <v>10853</v>
      </c>
      <c r="C4894" t="s">
        <v>190</v>
      </c>
      <c r="D4894" t="s">
        <v>10854</v>
      </c>
    </row>
    <row r="4895" spans="1:4" x14ac:dyDescent="0.2">
      <c r="A4895" t="s">
        <v>10855</v>
      </c>
      <c r="B4895" t="s">
        <v>10856</v>
      </c>
      <c r="C4895" t="s">
        <v>190</v>
      </c>
      <c r="D4895" t="s">
        <v>191</v>
      </c>
    </row>
    <row r="4896" spans="1:4" x14ac:dyDescent="0.2">
      <c r="A4896" t="s">
        <v>10857</v>
      </c>
      <c r="B4896" t="s">
        <v>10858</v>
      </c>
      <c r="C4896" t="s">
        <v>190</v>
      </c>
      <c r="D4896" t="s">
        <v>191</v>
      </c>
    </row>
    <row r="4897" spans="1:4" x14ac:dyDescent="0.2">
      <c r="A4897" t="s">
        <v>10859</v>
      </c>
      <c r="B4897" t="s">
        <v>10860</v>
      </c>
      <c r="C4897" t="s">
        <v>190</v>
      </c>
      <c r="D4897" t="s">
        <v>191</v>
      </c>
    </row>
    <row r="4898" spans="1:4" x14ac:dyDescent="0.2">
      <c r="A4898" t="s">
        <v>10861</v>
      </c>
      <c r="B4898" t="s">
        <v>10862</v>
      </c>
      <c r="C4898" t="s">
        <v>190</v>
      </c>
      <c r="D4898" t="s">
        <v>191</v>
      </c>
    </row>
    <row r="4899" spans="1:4" x14ac:dyDescent="0.2">
      <c r="A4899" t="s">
        <v>10863</v>
      </c>
      <c r="B4899" t="s">
        <v>10864</v>
      </c>
      <c r="C4899" t="s">
        <v>190</v>
      </c>
      <c r="D4899" t="s">
        <v>280</v>
      </c>
    </row>
    <row r="4900" spans="1:4" x14ac:dyDescent="0.2">
      <c r="A4900" t="s">
        <v>10865</v>
      </c>
      <c r="B4900" t="s">
        <v>10866</v>
      </c>
      <c r="C4900" t="s">
        <v>190</v>
      </c>
      <c r="D4900" t="s">
        <v>191</v>
      </c>
    </row>
    <row r="4901" spans="1:4" x14ac:dyDescent="0.2">
      <c r="A4901" t="s">
        <v>10867</v>
      </c>
      <c r="B4901" t="s">
        <v>10868</v>
      </c>
      <c r="C4901" t="s">
        <v>10869</v>
      </c>
      <c r="D4901" t="s">
        <v>187</v>
      </c>
    </row>
    <row r="4902" spans="1:4" x14ac:dyDescent="0.2">
      <c r="A4902" t="s">
        <v>10870</v>
      </c>
      <c r="B4902" t="s">
        <v>10871</v>
      </c>
      <c r="C4902" t="s">
        <v>10872</v>
      </c>
      <c r="D4902" t="s">
        <v>195</v>
      </c>
    </row>
    <row r="4903" spans="1:4" x14ac:dyDescent="0.2">
      <c r="A4903" t="s">
        <v>10873</v>
      </c>
      <c r="B4903" t="s">
        <v>10874</v>
      </c>
      <c r="C4903" t="s">
        <v>190</v>
      </c>
      <c r="D4903" t="s">
        <v>191</v>
      </c>
    </row>
    <row r="4904" spans="1:4" x14ac:dyDescent="0.2">
      <c r="A4904" t="s">
        <v>10875</v>
      </c>
      <c r="B4904" t="s">
        <v>10876</v>
      </c>
      <c r="C4904" t="s">
        <v>190</v>
      </c>
      <c r="D4904" t="s">
        <v>191</v>
      </c>
    </row>
    <row r="4905" spans="1:4" x14ac:dyDescent="0.2">
      <c r="A4905" t="s">
        <v>10877</v>
      </c>
      <c r="B4905" t="s">
        <v>10878</v>
      </c>
      <c r="C4905" t="s">
        <v>190</v>
      </c>
      <c r="D4905" t="s">
        <v>191</v>
      </c>
    </row>
    <row r="4906" spans="1:4" x14ac:dyDescent="0.2">
      <c r="A4906" t="s">
        <v>10879</v>
      </c>
      <c r="B4906" t="s">
        <v>10880</v>
      </c>
      <c r="C4906" t="s">
        <v>190</v>
      </c>
      <c r="D4906" t="s">
        <v>191</v>
      </c>
    </row>
    <row r="4907" spans="1:4" x14ac:dyDescent="0.2">
      <c r="A4907" t="s">
        <v>10881</v>
      </c>
      <c r="B4907" t="s">
        <v>10882</v>
      </c>
      <c r="C4907" t="s">
        <v>10883</v>
      </c>
      <c r="D4907" t="s">
        <v>187</v>
      </c>
    </row>
    <row r="4908" spans="1:4" x14ac:dyDescent="0.2">
      <c r="A4908" t="s">
        <v>10884</v>
      </c>
      <c r="B4908" t="s">
        <v>10885</v>
      </c>
      <c r="C4908" t="s">
        <v>10886</v>
      </c>
      <c r="D4908" t="s">
        <v>195</v>
      </c>
    </row>
    <row r="4909" spans="1:4" x14ac:dyDescent="0.2">
      <c r="A4909" t="s">
        <v>10887</v>
      </c>
      <c r="B4909" t="s">
        <v>10888</v>
      </c>
      <c r="C4909" t="s">
        <v>10889</v>
      </c>
      <c r="D4909" t="s">
        <v>195</v>
      </c>
    </row>
    <row r="4910" spans="1:4" x14ac:dyDescent="0.2">
      <c r="A4910" t="s">
        <v>10890</v>
      </c>
      <c r="B4910" t="s">
        <v>10891</v>
      </c>
      <c r="C4910" t="s">
        <v>190</v>
      </c>
      <c r="D4910" t="s">
        <v>191</v>
      </c>
    </row>
    <row r="4911" spans="1:4" x14ac:dyDescent="0.2">
      <c r="A4911" t="s">
        <v>10892</v>
      </c>
      <c r="B4911" t="s">
        <v>10893</v>
      </c>
      <c r="C4911" t="s">
        <v>190</v>
      </c>
      <c r="D4911" t="s">
        <v>191</v>
      </c>
    </row>
    <row r="4912" spans="1:4" x14ac:dyDescent="0.2">
      <c r="A4912" t="s">
        <v>10892</v>
      </c>
      <c r="B4912" t="s">
        <v>10894</v>
      </c>
      <c r="C4912" t="s">
        <v>190</v>
      </c>
      <c r="D4912" t="s">
        <v>191</v>
      </c>
    </row>
    <row r="4913" spans="1:4" x14ac:dyDescent="0.2">
      <c r="A4913" t="s">
        <v>10895</v>
      </c>
      <c r="B4913" t="s">
        <v>10896</v>
      </c>
      <c r="C4913" t="s">
        <v>190</v>
      </c>
      <c r="D4913" t="s">
        <v>191</v>
      </c>
    </row>
    <row r="4914" spans="1:4" x14ac:dyDescent="0.2">
      <c r="A4914" t="s">
        <v>10895</v>
      </c>
      <c r="B4914" t="s">
        <v>10897</v>
      </c>
      <c r="C4914" t="s">
        <v>190</v>
      </c>
      <c r="D4914" t="s">
        <v>191</v>
      </c>
    </row>
    <row r="4915" spans="1:4" x14ac:dyDescent="0.2">
      <c r="A4915" t="s">
        <v>10898</v>
      </c>
      <c r="B4915" t="s">
        <v>10899</v>
      </c>
      <c r="C4915" t="s">
        <v>10900</v>
      </c>
      <c r="D4915" t="s">
        <v>195</v>
      </c>
    </row>
    <row r="4916" spans="1:4" x14ac:dyDescent="0.2">
      <c r="A4916" t="s">
        <v>10901</v>
      </c>
      <c r="B4916" t="s">
        <v>10902</v>
      </c>
      <c r="C4916" t="s">
        <v>190</v>
      </c>
      <c r="D4916" t="s">
        <v>191</v>
      </c>
    </row>
    <row r="4917" spans="1:4" x14ac:dyDescent="0.2">
      <c r="A4917" t="s">
        <v>10903</v>
      </c>
      <c r="B4917" t="s">
        <v>10904</v>
      </c>
      <c r="C4917" t="s">
        <v>190</v>
      </c>
      <c r="D4917" t="s">
        <v>191</v>
      </c>
    </row>
    <row r="4918" spans="1:4" x14ac:dyDescent="0.2">
      <c r="A4918" t="s">
        <v>10905</v>
      </c>
      <c r="B4918" t="s">
        <v>10906</v>
      </c>
      <c r="C4918" t="s">
        <v>190</v>
      </c>
      <c r="D4918" t="s">
        <v>191</v>
      </c>
    </row>
    <row r="4919" spans="1:4" x14ac:dyDescent="0.2">
      <c r="A4919" t="s">
        <v>10907</v>
      </c>
      <c r="B4919" t="s">
        <v>10908</v>
      </c>
      <c r="C4919" t="s">
        <v>190</v>
      </c>
      <c r="D4919" t="s">
        <v>191</v>
      </c>
    </row>
    <row r="4920" spans="1:4" x14ac:dyDescent="0.2">
      <c r="A4920" t="s">
        <v>10909</v>
      </c>
      <c r="B4920" t="s">
        <v>10910</v>
      </c>
      <c r="C4920" t="s">
        <v>190</v>
      </c>
      <c r="D4920" t="s">
        <v>191</v>
      </c>
    </row>
    <row r="4921" spans="1:4" x14ac:dyDescent="0.2">
      <c r="A4921" t="s">
        <v>10911</v>
      </c>
      <c r="B4921" t="s">
        <v>10912</v>
      </c>
      <c r="C4921" t="s">
        <v>190</v>
      </c>
      <c r="D4921" t="s">
        <v>191</v>
      </c>
    </row>
    <row r="4922" spans="1:4" x14ac:dyDescent="0.2">
      <c r="A4922" t="s">
        <v>10913</v>
      </c>
      <c r="B4922" t="s">
        <v>10914</v>
      </c>
      <c r="C4922" t="s">
        <v>190</v>
      </c>
      <c r="D4922" t="s">
        <v>191</v>
      </c>
    </row>
    <row r="4923" spans="1:4" x14ac:dyDescent="0.2">
      <c r="A4923" t="s">
        <v>10915</v>
      </c>
      <c r="B4923" t="s">
        <v>10916</v>
      </c>
      <c r="C4923" t="s">
        <v>190</v>
      </c>
      <c r="D4923" t="s">
        <v>191</v>
      </c>
    </row>
    <row r="4924" spans="1:4" x14ac:dyDescent="0.2">
      <c r="A4924" t="s">
        <v>10917</v>
      </c>
      <c r="B4924" t="s">
        <v>10918</v>
      </c>
      <c r="C4924" t="s">
        <v>190</v>
      </c>
      <c r="D4924" t="s">
        <v>10919</v>
      </c>
    </row>
    <row r="4925" spans="1:4" x14ac:dyDescent="0.2">
      <c r="A4925" t="s">
        <v>10917</v>
      </c>
      <c r="B4925" t="s">
        <v>10920</v>
      </c>
      <c r="C4925" t="s">
        <v>10921</v>
      </c>
      <c r="D4925" t="s">
        <v>195</v>
      </c>
    </row>
    <row r="4926" spans="1:4" x14ac:dyDescent="0.2">
      <c r="A4926" t="s">
        <v>10922</v>
      </c>
      <c r="B4926" t="s">
        <v>10923</v>
      </c>
      <c r="C4926" t="s">
        <v>190</v>
      </c>
      <c r="D4926" t="s">
        <v>191</v>
      </c>
    </row>
    <row r="4927" spans="1:4" x14ac:dyDescent="0.2">
      <c r="A4927" t="s">
        <v>10924</v>
      </c>
      <c r="B4927" t="s">
        <v>10925</v>
      </c>
      <c r="C4927" t="s">
        <v>190</v>
      </c>
      <c r="D4927" t="s">
        <v>191</v>
      </c>
    </row>
    <row r="4928" spans="1:4" x14ac:dyDescent="0.2">
      <c r="A4928" t="s">
        <v>10926</v>
      </c>
      <c r="B4928" t="s">
        <v>10927</v>
      </c>
      <c r="C4928" t="s">
        <v>10928</v>
      </c>
      <c r="D4928" t="s">
        <v>195</v>
      </c>
    </row>
    <row r="4929" spans="1:4" x14ac:dyDescent="0.2">
      <c r="A4929" t="s">
        <v>10929</v>
      </c>
      <c r="B4929" t="s">
        <v>10930</v>
      </c>
      <c r="C4929" t="s">
        <v>190</v>
      </c>
      <c r="D4929" t="s">
        <v>191</v>
      </c>
    </row>
    <row r="4930" spans="1:4" x14ac:dyDescent="0.2">
      <c r="A4930" t="s">
        <v>10931</v>
      </c>
      <c r="B4930" t="s">
        <v>10932</v>
      </c>
      <c r="C4930" t="s">
        <v>190</v>
      </c>
      <c r="D4930" t="s">
        <v>191</v>
      </c>
    </row>
    <row r="4931" spans="1:4" x14ac:dyDescent="0.2">
      <c r="A4931" t="s">
        <v>10933</v>
      </c>
      <c r="B4931" t="s">
        <v>10934</v>
      </c>
      <c r="C4931" t="s">
        <v>190</v>
      </c>
      <c r="D4931" t="s">
        <v>280</v>
      </c>
    </row>
    <row r="4932" spans="1:4" x14ac:dyDescent="0.2">
      <c r="A4932" t="s">
        <v>10935</v>
      </c>
      <c r="B4932" t="s">
        <v>10936</v>
      </c>
      <c r="C4932" t="s">
        <v>10937</v>
      </c>
      <c r="D4932" t="s">
        <v>187</v>
      </c>
    </row>
    <row r="4933" spans="1:4" x14ac:dyDescent="0.2">
      <c r="A4933" t="s">
        <v>10938</v>
      </c>
      <c r="B4933" t="s">
        <v>10939</v>
      </c>
      <c r="C4933" t="s">
        <v>10940</v>
      </c>
      <c r="D4933" t="s">
        <v>195</v>
      </c>
    </row>
    <row r="4934" spans="1:4" x14ac:dyDescent="0.2">
      <c r="A4934" t="s">
        <v>10941</v>
      </c>
      <c r="B4934" t="s">
        <v>10942</v>
      </c>
      <c r="C4934" t="s">
        <v>10943</v>
      </c>
      <c r="D4934" t="s">
        <v>195</v>
      </c>
    </row>
    <row r="4935" spans="1:4" x14ac:dyDescent="0.2">
      <c r="A4935" t="s">
        <v>10944</v>
      </c>
      <c r="B4935" t="s">
        <v>10945</v>
      </c>
      <c r="C4935" t="s">
        <v>190</v>
      </c>
      <c r="D4935" t="s">
        <v>191</v>
      </c>
    </row>
    <row r="4936" spans="1:4" x14ac:dyDescent="0.2">
      <c r="A4936" t="s">
        <v>10946</v>
      </c>
      <c r="B4936" t="s">
        <v>10947</v>
      </c>
      <c r="C4936" t="s">
        <v>190</v>
      </c>
      <c r="D4936" t="s">
        <v>191</v>
      </c>
    </row>
    <row r="4937" spans="1:4" x14ac:dyDescent="0.2">
      <c r="A4937" t="s">
        <v>10948</v>
      </c>
      <c r="B4937" t="s">
        <v>10949</v>
      </c>
      <c r="C4937" t="s">
        <v>10950</v>
      </c>
      <c r="D4937" t="s">
        <v>195</v>
      </c>
    </row>
    <row r="4938" spans="1:4" x14ac:dyDescent="0.2">
      <c r="A4938" t="s">
        <v>10951</v>
      </c>
      <c r="B4938" t="s">
        <v>10952</v>
      </c>
      <c r="C4938" t="s">
        <v>10953</v>
      </c>
      <c r="D4938" t="s">
        <v>187</v>
      </c>
    </row>
    <row r="4939" spans="1:4" x14ac:dyDescent="0.2">
      <c r="A4939" t="s">
        <v>10954</v>
      </c>
      <c r="B4939" t="s">
        <v>10955</v>
      </c>
      <c r="C4939" t="s">
        <v>190</v>
      </c>
      <c r="D4939" t="s">
        <v>191</v>
      </c>
    </row>
    <row r="4940" spans="1:4" x14ac:dyDescent="0.2">
      <c r="A4940" t="s">
        <v>10956</v>
      </c>
      <c r="B4940" t="s">
        <v>10957</v>
      </c>
      <c r="C4940" t="s">
        <v>10958</v>
      </c>
      <c r="D4940" t="s">
        <v>187</v>
      </c>
    </row>
    <row r="4941" spans="1:4" x14ac:dyDescent="0.2">
      <c r="A4941" t="s">
        <v>10959</v>
      </c>
      <c r="B4941" t="s">
        <v>10960</v>
      </c>
      <c r="C4941" t="s">
        <v>190</v>
      </c>
      <c r="D4941" t="s">
        <v>191</v>
      </c>
    </row>
    <row r="4942" spans="1:4" x14ac:dyDescent="0.2">
      <c r="A4942" t="s">
        <v>10959</v>
      </c>
      <c r="B4942" t="s">
        <v>10961</v>
      </c>
      <c r="C4942" t="s">
        <v>190</v>
      </c>
      <c r="D4942" t="s">
        <v>191</v>
      </c>
    </row>
    <row r="4943" spans="1:4" x14ac:dyDescent="0.2">
      <c r="A4943" t="s">
        <v>10962</v>
      </c>
      <c r="B4943" t="s">
        <v>10963</v>
      </c>
      <c r="C4943" t="s">
        <v>190</v>
      </c>
      <c r="D4943" t="s">
        <v>191</v>
      </c>
    </row>
    <row r="4944" spans="1:4" x14ac:dyDescent="0.2">
      <c r="A4944" t="s">
        <v>10964</v>
      </c>
      <c r="B4944" t="s">
        <v>10965</v>
      </c>
      <c r="C4944" t="s">
        <v>190</v>
      </c>
      <c r="D4944" t="s">
        <v>191</v>
      </c>
    </row>
    <row r="4945" spans="1:4" x14ac:dyDescent="0.2">
      <c r="A4945" t="s">
        <v>10964</v>
      </c>
      <c r="B4945" t="s">
        <v>10966</v>
      </c>
      <c r="C4945" t="s">
        <v>190</v>
      </c>
      <c r="D4945" t="s">
        <v>191</v>
      </c>
    </row>
    <row r="4946" spans="1:4" x14ac:dyDescent="0.2">
      <c r="A4946" t="s">
        <v>10967</v>
      </c>
      <c r="B4946" t="s">
        <v>10968</v>
      </c>
      <c r="C4946" t="s">
        <v>190</v>
      </c>
      <c r="D4946" t="s">
        <v>10969</v>
      </c>
    </row>
    <row r="4947" spans="1:4" x14ac:dyDescent="0.2">
      <c r="A4947" t="s">
        <v>10970</v>
      </c>
      <c r="B4947" t="s">
        <v>10971</v>
      </c>
      <c r="C4947" t="s">
        <v>10972</v>
      </c>
      <c r="D4947" t="s">
        <v>195</v>
      </c>
    </row>
    <row r="4948" spans="1:4" x14ac:dyDescent="0.2">
      <c r="A4948" t="s">
        <v>10973</v>
      </c>
      <c r="B4948" t="s">
        <v>10974</v>
      </c>
      <c r="C4948" t="s">
        <v>10975</v>
      </c>
      <c r="D4948" t="s">
        <v>187</v>
      </c>
    </row>
    <row r="4949" spans="1:4" x14ac:dyDescent="0.2">
      <c r="A4949" t="s">
        <v>10976</v>
      </c>
      <c r="B4949" t="s">
        <v>10977</v>
      </c>
      <c r="C4949" t="s">
        <v>10978</v>
      </c>
      <c r="D4949" t="s">
        <v>195</v>
      </c>
    </row>
    <row r="4950" spans="1:4" x14ac:dyDescent="0.2">
      <c r="A4950" t="s">
        <v>10979</v>
      </c>
      <c r="B4950" t="s">
        <v>10980</v>
      </c>
      <c r="C4950" t="s">
        <v>10981</v>
      </c>
      <c r="D4950" t="s">
        <v>187</v>
      </c>
    </row>
    <row r="4951" spans="1:4" x14ac:dyDescent="0.2">
      <c r="A4951" t="s">
        <v>10982</v>
      </c>
      <c r="B4951" t="s">
        <v>10983</v>
      </c>
      <c r="C4951" t="s">
        <v>190</v>
      </c>
      <c r="D4951" t="s">
        <v>191</v>
      </c>
    </row>
    <row r="4952" spans="1:4" x14ac:dyDescent="0.2">
      <c r="A4952" t="s">
        <v>10984</v>
      </c>
      <c r="B4952" t="s">
        <v>10985</v>
      </c>
      <c r="C4952" t="s">
        <v>10986</v>
      </c>
      <c r="D4952" t="s">
        <v>187</v>
      </c>
    </row>
    <row r="4953" spans="1:4" x14ac:dyDescent="0.2">
      <c r="A4953" t="s">
        <v>10987</v>
      </c>
      <c r="B4953" t="s">
        <v>10988</v>
      </c>
      <c r="C4953" t="s">
        <v>190</v>
      </c>
      <c r="D4953" t="s">
        <v>191</v>
      </c>
    </row>
    <row r="4954" spans="1:4" x14ac:dyDescent="0.2">
      <c r="A4954" t="s">
        <v>10989</v>
      </c>
      <c r="B4954" t="s">
        <v>10990</v>
      </c>
      <c r="C4954" t="s">
        <v>10991</v>
      </c>
      <c r="D4954" t="s">
        <v>187</v>
      </c>
    </row>
    <row r="4955" spans="1:4" x14ac:dyDescent="0.2">
      <c r="A4955" t="s">
        <v>10992</v>
      </c>
      <c r="B4955" t="s">
        <v>10993</v>
      </c>
      <c r="C4955" t="s">
        <v>190</v>
      </c>
      <c r="D4955" t="s">
        <v>191</v>
      </c>
    </row>
    <row r="4956" spans="1:4" x14ac:dyDescent="0.2">
      <c r="A4956" t="s">
        <v>10992</v>
      </c>
      <c r="B4956" t="s">
        <v>10994</v>
      </c>
      <c r="C4956" t="s">
        <v>190</v>
      </c>
      <c r="D4956" t="s">
        <v>191</v>
      </c>
    </row>
    <row r="4957" spans="1:4" x14ac:dyDescent="0.2">
      <c r="A4957" t="s">
        <v>10992</v>
      </c>
      <c r="B4957" t="s">
        <v>10995</v>
      </c>
      <c r="C4957" t="s">
        <v>190</v>
      </c>
      <c r="D4957" t="s">
        <v>191</v>
      </c>
    </row>
    <row r="4958" spans="1:4" x14ac:dyDescent="0.2">
      <c r="A4958" t="s">
        <v>10996</v>
      </c>
      <c r="B4958" t="s">
        <v>10997</v>
      </c>
      <c r="C4958" t="s">
        <v>10998</v>
      </c>
      <c r="D4958" t="s">
        <v>187</v>
      </c>
    </row>
    <row r="4959" spans="1:4" x14ac:dyDescent="0.2">
      <c r="A4959" t="s">
        <v>10999</v>
      </c>
      <c r="B4959" t="s">
        <v>11000</v>
      </c>
      <c r="C4959" t="s">
        <v>190</v>
      </c>
      <c r="D4959" t="s">
        <v>191</v>
      </c>
    </row>
    <row r="4960" spans="1:4" x14ac:dyDescent="0.2">
      <c r="A4960" t="s">
        <v>11001</v>
      </c>
      <c r="B4960" t="s">
        <v>11002</v>
      </c>
      <c r="C4960" t="s">
        <v>190</v>
      </c>
      <c r="D4960" t="s">
        <v>191</v>
      </c>
    </row>
    <row r="4961" spans="1:4" x14ac:dyDescent="0.2">
      <c r="A4961" t="s">
        <v>11003</v>
      </c>
      <c r="B4961" t="s">
        <v>11004</v>
      </c>
      <c r="C4961" t="s">
        <v>190</v>
      </c>
      <c r="D4961" t="s">
        <v>191</v>
      </c>
    </row>
    <row r="4962" spans="1:4" x14ac:dyDescent="0.2">
      <c r="A4962" t="s">
        <v>11005</v>
      </c>
      <c r="B4962" t="s">
        <v>11006</v>
      </c>
      <c r="C4962" t="s">
        <v>11007</v>
      </c>
      <c r="D4962" t="s">
        <v>187</v>
      </c>
    </row>
    <row r="4963" spans="1:4" x14ac:dyDescent="0.2">
      <c r="A4963" t="s">
        <v>11005</v>
      </c>
      <c r="B4963" t="s">
        <v>11008</v>
      </c>
      <c r="C4963" t="s">
        <v>11009</v>
      </c>
      <c r="D4963" t="s">
        <v>187</v>
      </c>
    </row>
    <row r="4964" spans="1:4" x14ac:dyDescent="0.2">
      <c r="A4964" t="s">
        <v>11010</v>
      </c>
      <c r="B4964" t="s">
        <v>11011</v>
      </c>
      <c r="C4964" t="s">
        <v>190</v>
      </c>
      <c r="D4964" t="s">
        <v>191</v>
      </c>
    </row>
    <row r="4965" spans="1:4" x14ac:dyDescent="0.2">
      <c r="A4965" t="s">
        <v>11012</v>
      </c>
      <c r="B4965" t="s">
        <v>11013</v>
      </c>
      <c r="C4965" t="s">
        <v>190</v>
      </c>
      <c r="D4965" t="s">
        <v>191</v>
      </c>
    </row>
    <row r="4966" spans="1:4" x14ac:dyDescent="0.2">
      <c r="A4966" t="s">
        <v>11014</v>
      </c>
      <c r="B4966" t="s">
        <v>11015</v>
      </c>
      <c r="C4966" t="s">
        <v>11016</v>
      </c>
      <c r="D4966" t="s">
        <v>195</v>
      </c>
    </row>
    <row r="4967" spans="1:4" x14ac:dyDescent="0.2">
      <c r="A4967" t="s">
        <v>11017</v>
      </c>
      <c r="B4967" t="s">
        <v>11018</v>
      </c>
      <c r="C4967" t="s">
        <v>190</v>
      </c>
      <c r="D4967" t="s">
        <v>191</v>
      </c>
    </row>
    <row r="4968" spans="1:4" x14ac:dyDescent="0.2">
      <c r="A4968" t="s">
        <v>11019</v>
      </c>
      <c r="B4968" t="s">
        <v>11020</v>
      </c>
      <c r="C4968" t="s">
        <v>11021</v>
      </c>
      <c r="D4968" t="s">
        <v>195</v>
      </c>
    </row>
    <row r="4969" spans="1:4" x14ac:dyDescent="0.2">
      <c r="A4969" t="s">
        <v>11022</v>
      </c>
      <c r="B4969" t="s">
        <v>11023</v>
      </c>
      <c r="C4969" t="s">
        <v>190</v>
      </c>
      <c r="D4969" t="s">
        <v>191</v>
      </c>
    </row>
    <row r="4970" spans="1:4" x14ac:dyDescent="0.2">
      <c r="A4970" t="s">
        <v>11024</v>
      </c>
      <c r="B4970" t="s">
        <v>11025</v>
      </c>
      <c r="C4970" t="s">
        <v>11026</v>
      </c>
      <c r="D4970" t="s">
        <v>187</v>
      </c>
    </row>
    <row r="4971" spans="1:4" x14ac:dyDescent="0.2">
      <c r="A4971" t="s">
        <v>11027</v>
      </c>
      <c r="B4971" t="s">
        <v>11028</v>
      </c>
      <c r="C4971" t="s">
        <v>11029</v>
      </c>
      <c r="D4971" t="s">
        <v>187</v>
      </c>
    </row>
    <row r="4972" spans="1:4" x14ac:dyDescent="0.2">
      <c r="A4972" t="s">
        <v>11030</v>
      </c>
      <c r="B4972" t="s">
        <v>11031</v>
      </c>
      <c r="C4972" t="s">
        <v>190</v>
      </c>
      <c r="D4972" t="s">
        <v>191</v>
      </c>
    </row>
    <row r="4973" spans="1:4" x14ac:dyDescent="0.2">
      <c r="A4973" t="s">
        <v>11032</v>
      </c>
      <c r="B4973" t="s">
        <v>11033</v>
      </c>
      <c r="C4973" t="s">
        <v>190</v>
      </c>
      <c r="D4973" t="s">
        <v>191</v>
      </c>
    </row>
    <row r="4974" spans="1:4" x14ac:dyDescent="0.2">
      <c r="A4974" t="s">
        <v>11034</v>
      </c>
      <c r="B4974" t="s">
        <v>11035</v>
      </c>
      <c r="C4974" t="s">
        <v>11036</v>
      </c>
      <c r="D4974" t="s">
        <v>195</v>
      </c>
    </row>
    <row r="4975" spans="1:4" x14ac:dyDescent="0.2">
      <c r="A4975" t="s">
        <v>11037</v>
      </c>
      <c r="B4975" t="s">
        <v>11038</v>
      </c>
      <c r="C4975" t="s">
        <v>190</v>
      </c>
      <c r="D4975" t="s">
        <v>191</v>
      </c>
    </row>
    <row r="4976" spans="1:4" x14ac:dyDescent="0.2">
      <c r="A4976" t="s">
        <v>11037</v>
      </c>
      <c r="B4976" t="s">
        <v>11039</v>
      </c>
      <c r="C4976" t="s">
        <v>190</v>
      </c>
      <c r="D4976" t="s">
        <v>11040</v>
      </c>
    </row>
    <row r="4977" spans="1:4" x14ac:dyDescent="0.2">
      <c r="A4977" t="s">
        <v>11041</v>
      </c>
      <c r="B4977" t="s">
        <v>11042</v>
      </c>
      <c r="C4977" t="s">
        <v>11043</v>
      </c>
      <c r="D4977" t="s">
        <v>195</v>
      </c>
    </row>
    <row r="4978" spans="1:4" x14ac:dyDescent="0.2">
      <c r="A4978" t="s">
        <v>11044</v>
      </c>
      <c r="B4978" t="s">
        <v>11045</v>
      </c>
      <c r="C4978" t="s">
        <v>11046</v>
      </c>
      <c r="D4978" t="s">
        <v>195</v>
      </c>
    </row>
    <row r="4979" spans="1:4" x14ac:dyDescent="0.2">
      <c r="A4979" t="s">
        <v>11047</v>
      </c>
      <c r="B4979" t="s">
        <v>11048</v>
      </c>
      <c r="C4979" t="s">
        <v>11049</v>
      </c>
      <c r="D4979" t="s">
        <v>195</v>
      </c>
    </row>
    <row r="4980" spans="1:4" x14ac:dyDescent="0.2">
      <c r="A4980" t="s">
        <v>11050</v>
      </c>
      <c r="B4980" t="s">
        <v>11051</v>
      </c>
      <c r="C4980" t="s">
        <v>190</v>
      </c>
      <c r="D4980" t="s">
        <v>191</v>
      </c>
    </row>
    <row r="4981" spans="1:4" x14ac:dyDescent="0.2">
      <c r="A4981" t="s">
        <v>11052</v>
      </c>
      <c r="B4981" t="s">
        <v>11053</v>
      </c>
      <c r="C4981" t="s">
        <v>190</v>
      </c>
      <c r="D4981" t="s">
        <v>191</v>
      </c>
    </row>
    <row r="4982" spans="1:4" x14ac:dyDescent="0.2">
      <c r="A4982" t="s">
        <v>11052</v>
      </c>
      <c r="B4982" t="s">
        <v>11054</v>
      </c>
      <c r="C4982" t="s">
        <v>11055</v>
      </c>
      <c r="D4982" t="s">
        <v>195</v>
      </c>
    </row>
    <row r="4983" spans="1:4" x14ac:dyDescent="0.2">
      <c r="A4983" t="s">
        <v>11056</v>
      </c>
      <c r="B4983" t="s">
        <v>11057</v>
      </c>
      <c r="C4983" t="s">
        <v>11058</v>
      </c>
      <c r="D4983" t="s">
        <v>187</v>
      </c>
    </row>
    <row r="4984" spans="1:4" x14ac:dyDescent="0.2">
      <c r="A4984" t="s">
        <v>11059</v>
      </c>
      <c r="B4984" t="s">
        <v>11060</v>
      </c>
      <c r="C4984" t="s">
        <v>190</v>
      </c>
      <c r="D4984" t="s">
        <v>191</v>
      </c>
    </row>
    <row r="4985" spans="1:4" x14ac:dyDescent="0.2">
      <c r="A4985" t="s">
        <v>11061</v>
      </c>
      <c r="B4985" t="s">
        <v>11062</v>
      </c>
      <c r="C4985" t="s">
        <v>11063</v>
      </c>
      <c r="D4985" t="s">
        <v>195</v>
      </c>
    </row>
    <row r="4986" spans="1:4" x14ac:dyDescent="0.2">
      <c r="A4986" t="s">
        <v>11064</v>
      </c>
      <c r="B4986" t="s">
        <v>11065</v>
      </c>
      <c r="C4986" t="s">
        <v>11066</v>
      </c>
      <c r="D4986" t="s">
        <v>187</v>
      </c>
    </row>
    <row r="4987" spans="1:4" x14ac:dyDescent="0.2">
      <c r="A4987" t="s">
        <v>11067</v>
      </c>
      <c r="B4987" t="s">
        <v>11068</v>
      </c>
      <c r="C4987" t="s">
        <v>190</v>
      </c>
      <c r="D4987" t="s">
        <v>191</v>
      </c>
    </row>
    <row r="4988" spans="1:4" x14ac:dyDescent="0.2">
      <c r="A4988" t="s">
        <v>11069</v>
      </c>
      <c r="B4988" t="s">
        <v>11070</v>
      </c>
      <c r="C4988" t="s">
        <v>11071</v>
      </c>
      <c r="D4988" t="s">
        <v>187</v>
      </c>
    </row>
    <row r="4989" spans="1:4" x14ac:dyDescent="0.2">
      <c r="A4989" t="s">
        <v>11072</v>
      </c>
      <c r="B4989" t="s">
        <v>11073</v>
      </c>
      <c r="C4989" t="s">
        <v>190</v>
      </c>
      <c r="D4989" t="s">
        <v>191</v>
      </c>
    </row>
    <row r="4990" spans="1:4" x14ac:dyDescent="0.2">
      <c r="A4990" t="s">
        <v>11074</v>
      </c>
      <c r="B4990" t="s">
        <v>11075</v>
      </c>
      <c r="C4990" t="s">
        <v>11076</v>
      </c>
      <c r="D4990" t="s">
        <v>195</v>
      </c>
    </row>
    <row r="4991" spans="1:4" x14ac:dyDescent="0.2">
      <c r="A4991" t="s">
        <v>11077</v>
      </c>
      <c r="B4991" t="s">
        <v>11078</v>
      </c>
      <c r="C4991" t="s">
        <v>11079</v>
      </c>
      <c r="D4991" t="s">
        <v>195</v>
      </c>
    </row>
    <row r="4992" spans="1:4" x14ac:dyDescent="0.2">
      <c r="A4992" t="s">
        <v>11080</v>
      </c>
      <c r="B4992" t="s">
        <v>11081</v>
      </c>
      <c r="C4992" t="s">
        <v>190</v>
      </c>
      <c r="D4992" t="s">
        <v>191</v>
      </c>
    </row>
    <row r="4993" spans="1:4" x14ac:dyDescent="0.2">
      <c r="A4993" t="s">
        <v>11082</v>
      </c>
      <c r="B4993" t="s">
        <v>11083</v>
      </c>
      <c r="C4993" t="s">
        <v>190</v>
      </c>
      <c r="D4993" t="s">
        <v>191</v>
      </c>
    </row>
    <row r="4994" spans="1:4" x14ac:dyDescent="0.2">
      <c r="A4994" t="s">
        <v>11084</v>
      </c>
      <c r="B4994" t="s">
        <v>11085</v>
      </c>
      <c r="C4994" t="s">
        <v>190</v>
      </c>
      <c r="D4994" t="s">
        <v>191</v>
      </c>
    </row>
    <row r="4995" spans="1:4" x14ac:dyDescent="0.2">
      <c r="A4995" t="s">
        <v>11086</v>
      </c>
      <c r="B4995" t="s">
        <v>11087</v>
      </c>
      <c r="C4995" t="s">
        <v>190</v>
      </c>
      <c r="D4995" t="s">
        <v>191</v>
      </c>
    </row>
    <row r="4996" spans="1:4" x14ac:dyDescent="0.2">
      <c r="A4996" t="s">
        <v>11088</v>
      </c>
      <c r="B4996" t="s">
        <v>11089</v>
      </c>
      <c r="C4996" t="s">
        <v>11090</v>
      </c>
      <c r="D4996" t="s">
        <v>195</v>
      </c>
    </row>
    <row r="4997" spans="1:4" x14ac:dyDescent="0.2">
      <c r="A4997" t="s">
        <v>11091</v>
      </c>
      <c r="B4997" t="s">
        <v>11092</v>
      </c>
      <c r="C4997" t="s">
        <v>11093</v>
      </c>
      <c r="D4997" t="s">
        <v>187</v>
      </c>
    </row>
    <row r="4998" spans="1:4" x14ac:dyDescent="0.2">
      <c r="A4998" t="s">
        <v>11094</v>
      </c>
      <c r="B4998" t="s">
        <v>11095</v>
      </c>
      <c r="C4998" t="s">
        <v>190</v>
      </c>
      <c r="D4998" t="s">
        <v>191</v>
      </c>
    </row>
    <row r="4999" spans="1:4" x14ac:dyDescent="0.2">
      <c r="A4999" t="s">
        <v>11096</v>
      </c>
      <c r="B4999" t="s">
        <v>11097</v>
      </c>
      <c r="C4999" t="s">
        <v>190</v>
      </c>
      <c r="D4999" t="s">
        <v>191</v>
      </c>
    </row>
    <row r="5000" spans="1:4" x14ac:dyDescent="0.2">
      <c r="A5000" t="s">
        <v>11098</v>
      </c>
      <c r="B5000" t="s">
        <v>11099</v>
      </c>
      <c r="C5000" t="s">
        <v>190</v>
      </c>
      <c r="D5000" t="s">
        <v>191</v>
      </c>
    </row>
    <row r="5001" spans="1:4" x14ac:dyDescent="0.2">
      <c r="A5001" t="s">
        <v>11100</v>
      </c>
      <c r="B5001" t="s">
        <v>11101</v>
      </c>
      <c r="C5001" t="s">
        <v>190</v>
      </c>
      <c r="D5001" t="s">
        <v>191</v>
      </c>
    </row>
    <row r="5002" spans="1:4" x14ac:dyDescent="0.2">
      <c r="A5002" t="s">
        <v>11102</v>
      </c>
      <c r="B5002" t="s">
        <v>11103</v>
      </c>
      <c r="C5002" t="s">
        <v>11104</v>
      </c>
      <c r="D5002" t="s">
        <v>187</v>
      </c>
    </row>
    <row r="5003" spans="1:4" x14ac:dyDescent="0.2">
      <c r="A5003" t="s">
        <v>11105</v>
      </c>
      <c r="B5003" t="s">
        <v>11106</v>
      </c>
      <c r="C5003" t="s">
        <v>190</v>
      </c>
      <c r="D5003" t="s">
        <v>191</v>
      </c>
    </row>
    <row r="5004" spans="1:4" x14ac:dyDescent="0.2">
      <c r="A5004" t="s">
        <v>11105</v>
      </c>
      <c r="B5004" t="s">
        <v>11107</v>
      </c>
      <c r="C5004" t="s">
        <v>11108</v>
      </c>
      <c r="D5004" t="s">
        <v>195</v>
      </c>
    </row>
    <row r="5005" spans="1:4" x14ac:dyDescent="0.2">
      <c r="A5005" t="s">
        <v>11109</v>
      </c>
      <c r="B5005" t="s">
        <v>11110</v>
      </c>
      <c r="C5005" t="s">
        <v>11111</v>
      </c>
      <c r="D5005" t="s">
        <v>195</v>
      </c>
    </row>
    <row r="5006" spans="1:4" x14ac:dyDescent="0.2">
      <c r="A5006" t="s">
        <v>11109</v>
      </c>
      <c r="B5006" t="s">
        <v>11107</v>
      </c>
      <c r="C5006" t="s">
        <v>11108</v>
      </c>
      <c r="D5006" t="s">
        <v>195</v>
      </c>
    </row>
    <row r="5007" spans="1:4" x14ac:dyDescent="0.2">
      <c r="A5007" t="s">
        <v>11112</v>
      </c>
      <c r="B5007" t="s">
        <v>11113</v>
      </c>
      <c r="C5007" t="s">
        <v>190</v>
      </c>
      <c r="D5007" t="s">
        <v>191</v>
      </c>
    </row>
    <row r="5008" spans="1:4" x14ac:dyDescent="0.2">
      <c r="A5008" t="s">
        <v>11114</v>
      </c>
      <c r="B5008" t="s">
        <v>11115</v>
      </c>
      <c r="C5008" t="s">
        <v>11116</v>
      </c>
      <c r="D5008" t="s">
        <v>195</v>
      </c>
    </row>
    <row r="5009" spans="1:4" x14ac:dyDescent="0.2">
      <c r="A5009" t="s">
        <v>11117</v>
      </c>
      <c r="B5009" t="s">
        <v>11118</v>
      </c>
      <c r="C5009" t="s">
        <v>190</v>
      </c>
      <c r="D5009" t="s">
        <v>191</v>
      </c>
    </row>
    <row r="5010" spans="1:4" x14ac:dyDescent="0.2">
      <c r="A5010" t="s">
        <v>11119</v>
      </c>
      <c r="B5010" t="s">
        <v>11120</v>
      </c>
      <c r="C5010" t="s">
        <v>11121</v>
      </c>
      <c r="D5010" t="s">
        <v>195</v>
      </c>
    </row>
    <row r="5011" spans="1:4" x14ac:dyDescent="0.2">
      <c r="A5011" t="s">
        <v>11122</v>
      </c>
      <c r="B5011" t="s">
        <v>11123</v>
      </c>
      <c r="C5011" t="s">
        <v>190</v>
      </c>
      <c r="D5011" t="s">
        <v>191</v>
      </c>
    </row>
    <row r="5012" spans="1:4" x14ac:dyDescent="0.2">
      <c r="A5012" t="s">
        <v>11124</v>
      </c>
      <c r="B5012" t="s">
        <v>11125</v>
      </c>
      <c r="C5012" t="s">
        <v>11126</v>
      </c>
      <c r="D5012" t="s">
        <v>187</v>
      </c>
    </row>
    <row r="5013" spans="1:4" x14ac:dyDescent="0.2">
      <c r="A5013" t="s">
        <v>11127</v>
      </c>
      <c r="B5013" t="s">
        <v>11128</v>
      </c>
      <c r="C5013" t="s">
        <v>11129</v>
      </c>
      <c r="D5013" t="s">
        <v>187</v>
      </c>
    </row>
    <row r="5014" spans="1:4" x14ac:dyDescent="0.2">
      <c r="A5014" t="s">
        <v>11130</v>
      </c>
      <c r="B5014" t="s">
        <v>11131</v>
      </c>
      <c r="C5014" t="s">
        <v>190</v>
      </c>
      <c r="D5014" t="s">
        <v>191</v>
      </c>
    </row>
    <row r="5015" spans="1:4" x14ac:dyDescent="0.2">
      <c r="A5015" t="s">
        <v>11132</v>
      </c>
      <c r="B5015" t="s">
        <v>11133</v>
      </c>
      <c r="C5015" t="s">
        <v>11134</v>
      </c>
      <c r="D5015" t="s">
        <v>195</v>
      </c>
    </row>
    <row r="5016" spans="1:4" x14ac:dyDescent="0.2">
      <c r="A5016" t="s">
        <v>11135</v>
      </c>
      <c r="B5016" t="s">
        <v>11136</v>
      </c>
      <c r="C5016" t="s">
        <v>190</v>
      </c>
      <c r="D5016" t="s">
        <v>191</v>
      </c>
    </row>
    <row r="5017" spans="1:4" x14ac:dyDescent="0.2">
      <c r="A5017" t="s">
        <v>11137</v>
      </c>
      <c r="B5017" t="s">
        <v>11138</v>
      </c>
      <c r="C5017" t="s">
        <v>190</v>
      </c>
      <c r="D5017" t="s">
        <v>11139</v>
      </c>
    </row>
    <row r="5018" spans="1:4" x14ac:dyDescent="0.2">
      <c r="A5018" t="s">
        <v>11140</v>
      </c>
      <c r="B5018" t="s">
        <v>11141</v>
      </c>
      <c r="C5018" t="s">
        <v>11142</v>
      </c>
      <c r="D5018" t="s">
        <v>187</v>
      </c>
    </row>
    <row r="5019" spans="1:4" x14ac:dyDescent="0.2">
      <c r="A5019" t="s">
        <v>11143</v>
      </c>
      <c r="B5019" t="s">
        <v>11144</v>
      </c>
      <c r="C5019" t="s">
        <v>190</v>
      </c>
      <c r="D5019" t="s">
        <v>191</v>
      </c>
    </row>
    <row r="5020" spans="1:4" x14ac:dyDescent="0.2">
      <c r="A5020" t="s">
        <v>11145</v>
      </c>
      <c r="B5020" t="s">
        <v>11146</v>
      </c>
      <c r="C5020" t="s">
        <v>190</v>
      </c>
      <c r="D5020" t="s">
        <v>191</v>
      </c>
    </row>
    <row r="5021" spans="1:4" x14ac:dyDescent="0.2">
      <c r="A5021" t="s">
        <v>11147</v>
      </c>
      <c r="B5021" t="s">
        <v>11148</v>
      </c>
      <c r="C5021" t="s">
        <v>11149</v>
      </c>
      <c r="D5021" t="s">
        <v>195</v>
      </c>
    </row>
    <row r="5022" spans="1:4" x14ac:dyDescent="0.2">
      <c r="A5022" t="s">
        <v>11150</v>
      </c>
      <c r="B5022" t="s">
        <v>11151</v>
      </c>
      <c r="C5022" t="s">
        <v>11152</v>
      </c>
      <c r="D5022" t="s">
        <v>187</v>
      </c>
    </row>
    <row r="5023" spans="1:4" x14ac:dyDescent="0.2">
      <c r="A5023" t="s">
        <v>11153</v>
      </c>
      <c r="B5023" t="s">
        <v>11154</v>
      </c>
      <c r="C5023" t="s">
        <v>11155</v>
      </c>
      <c r="D5023" t="s">
        <v>195</v>
      </c>
    </row>
    <row r="5024" spans="1:4" x14ac:dyDescent="0.2">
      <c r="A5024" t="s">
        <v>11156</v>
      </c>
      <c r="B5024" t="s">
        <v>11157</v>
      </c>
      <c r="C5024" t="s">
        <v>190</v>
      </c>
      <c r="D5024" t="s">
        <v>191</v>
      </c>
    </row>
    <row r="5025" spans="1:4" x14ac:dyDescent="0.2">
      <c r="A5025" t="s">
        <v>11158</v>
      </c>
      <c r="B5025" t="s">
        <v>11159</v>
      </c>
      <c r="C5025" t="s">
        <v>190</v>
      </c>
      <c r="D5025" t="s">
        <v>191</v>
      </c>
    </row>
    <row r="5026" spans="1:4" x14ac:dyDescent="0.2">
      <c r="A5026" t="s">
        <v>11160</v>
      </c>
      <c r="B5026" t="s">
        <v>11161</v>
      </c>
      <c r="C5026" t="s">
        <v>11162</v>
      </c>
      <c r="D5026" t="s">
        <v>187</v>
      </c>
    </row>
    <row r="5027" spans="1:4" x14ac:dyDescent="0.2">
      <c r="A5027" t="s">
        <v>11163</v>
      </c>
      <c r="B5027" t="s">
        <v>11164</v>
      </c>
      <c r="C5027" t="s">
        <v>190</v>
      </c>
      <c r="D5027" t="s">
        <v>191</v>
      </c>
    </row>
    <row r="5028" spans="1:4" x14ac:dyDescent="0.2">
      <c r="A5028" t="s">
        <v>11165</v>
      </c>
      <c r="B5028" t="s">
        <v>11166</v>
      </c>
      <c r="C5028" t="s">
        <v>190</v>
      </c>
      <c r="D5028" t="s">
        <v>191</v>
      </c>
    </row>
    <row r="5029" spans="1:4" x14ac:dyDescent="0.2">
      <c r="A5029" t="s">
        <v>11167</v>
      </c>
      <c r="B5029" t="s">
        <v>11168</v>
      </c>
      <c r="C5029" t="s">
        <v>190</v>
      </c>
      <c r="D5029" t="s">
        <v>191</v>
      </c>
    </row>
    <row r="5030" spans="1:4" x14ac:dyDescent="0.2">
      <c r="A5030" t="s">
        <v>11169</v>
      </c>
      <c r="B5030" t="s">
        <v>11170</v>
      </c>
      <c r="C5030" t="s">
        <v>190</v>
      </c>
      <c r="D5030" t="s">
        <v>191</v>
      </c>
    </row>
    <row r="5031" spans="1:4" x14ac:dyDescent="0.2">
      <c r="A5031" t="s">
        <v>11171</v>
      </c>
      <c r="B5031" t="s">
        <v>11172</v>
      </c>
      <c r="C5031" t="s">
        <v>190</v>
      </c>
      <c r="D5031" t="s">
        <v>191</v>
      </c>
    </row>
    <row r="5032" spans="1:4" x14ac:dyDescent="0.2">
      <c r="A5032" t="s">
        <v>11173</v>
      </c>
      <c r="B5032" t="s">
        <v>11174</v>
      </c>
      <c r="C5032" t="s">
        <v>190</v>
      </c>
      <c r="D5032" t="s">
        <v>191</v>
      </c>
    </row>
    <row r="5033" spans="1:4" x14ac:dyDescent="0.2">
      <c r="A5033" t="s">
        <v>11175</v>
      </c>
      <c r="B5033" t="s">
        <v>11176</v>
      </c>
      <c r="C5033" t="s">
        <v>11177</v>
      </c>
      <c r="D5033" t="s">
        <v>187</v>
      </c>
    </row>
    <row r="5034" spans="1:4" x14ac:dyDescent="0.2">
      <c r="A5034" t="s">
        <v>11178</v>
      </c>
      <c r="B5034" t="s">
        <v>11179</v>
      </c>
      <c r="C5034" t="s">
        <v>11180</v>
      </c>
      <c r="D5034" t="s">
        <v>187</v>
      </c>
    </row>
    <row r="5035" spans="1:4" x14ac:dyDescent="0.2">
      <c r="A5035" t="s">
        <v>11181</v>
      </c>
      <c r="B5035" t="s">
        <v>11182</v>
      </c>
      <c r="C5035" t="s">
        <v>190</v>
      </c>
      <c r="D5035" t="s">
        <v>191</v>
      </c>
    </row>
    <row r="5036" spans="1:4" x14ac:dyDescent="0.2">
      <c r="A5036" t="s">
        <v>11183</v>
      </c>
      <c r="B5036" t="s">
        <v>11184</v>
      </c>
      <c r="C5036" t="s">
        <v>190</v>
      </c>
      <c r="D5036" t="s">
        <v>191</v>
      </c>
    </row>
    <row r="5037" spans="1:4" x14ac:dyDescent="0.2">
      <c r="A5037" t="s">
        <v>11185</v>
      </c>
      <c r="B5037" t="s">
        <v>11186</v>
      </c>
      <c r="C5037" t="s">
        <v>190</v>
      </c>
      <c r="D5037" t="s">
        <v>191</v>
      </c>
    </row>
    <row r="5038" spans="1:4" x14ac:dyDescent="0.2">
      <c r="A5038" t="s">
        <v>11187</v>
      </c>
      <c r="B5038" t="s">
        <v>11188</v>
      </c>
      <c r="C5038" t="s">
        <v>190</v>
      </c>
      <c r="D5038" t="s">
        <v>191</v>
      </c>
    </row>
    <row r="5039" spans="1:4" x14ac:dyDescent="0.2">
      <c r="A5039" t="s">
        <v>11189</v>
      </c>
      <c r="B5039" t="s">
        <v>11190</v>
      </c>
      <c r="C5039" t="s">
        <v>190</v>
      </c>
      <c r="D5039" t="s">
        <v>191</v>
      </c>
    </row>
    <row r="5040" spans="1:4" x14ac:dyDescent="0.2">
      <c r="A5040" t="s">
        <v>11191</v>
      </c>
      <c r="B5040" t="s">
        <v>11192</v>
      </c>
      <c r="C5040" t="s">
        <v>190</v>
      </c>
      <c r="D5040" t="s">
        <v>280</v>
      </c>
    </row>
    <row r="5041" spans="1:4" x14ac:dyDescent="0.2">
      <c r="A5041" t="s">
        <v>11193</v>
      </c>
      <c r="B5041" t="s">
        <v>11194</v>
      </c>
      <c r="C5041" t="s">
        <v>190</v>
      </c>
      <c r="D5041" t="s">
        <v>191</v>
      </c>
    </row>
    <row r="5042" spans="1:4" x14ac:dyDescent="0.2">
      <c r="A5042" t="s">
        <v>11195</v>
      </c>
      <c r="B5042" t="s">
        <v>11196</v>
      </c>
      <c r="C5042" t="s">
        <v>190</v>
      </c>
      <c r="D5042" t="s">
        <v>191</v>
      </c>
    </row>
    <row r="5043" spans="1:4" x14ac:dyDescent="0.2">
      <c r="A5043" t="s">
        <v>11197</v>
      </c>
      <c r="B5043" t="s">
        <v>11198</v>
      </c>
      <c r="C5043" t="s">
        <v>190</v>
      </c>
      <c r="D5043" t="s">
        <v>191</v>
      </c>
    </row>
    <row r="5044" spans="1:4" x14ac:dyDescent="0.2">
      <c r="A5044" t="s">
        <v>11199</v>
      </c>
      <c r="B5044" t="s">
        <v>11200</v>
      </c>
      <c r="C5044" t="s">
        <v>190</v>
      </c>
      <c r="D5044" t="s">
        <v>191</v>
      </c>
    </row>
    <row r="5045" spans="1:4" x14ac:dyDescent="0.2">
      <c r="A5045" t="s">
        <v>11201</v>
      </c>
      <c r="B5045" t="s">
        <v>11202</v>
      </c>
      <c r="C5045" t="s">
        <v>11203</v>
      </c>
      <c r="D5045" t="s">
        <v>187</v>
      </c>
    </row>
    <row r="5046" spans="1:4" x14ac:dyDescent="0.2">
      <c r="A5046" t="s">
        <v>11204</v>
      </c>
      <c r="B5046" t="s">
        <v>11205</v>
      </c>
      <c r="C5046" t="s">
        <v>190</v>
      </c>
      <c r="D5046" t="s">
        <v>191</v>
      </c>
    </row>
    <row r="5047" spans="1:4" x14ac:dyDescent="0.2">
      <c r="A5047" t="s">
        <v>11206</v>
      </c>
      <c r="B5047" t="s">
        <v>11207</v>
      </c>
      <c r="C5047" t="s">
        <v>190</v>
      </c>
      <c r="D5047" t="s">
        <v>191</v>
      </c>
    </row>
    <row r="5048" spans="1:4" x14ac:dyDescent="0.2">
      <c r="A5048" t="s">
        <v>11208</v>
      </c>
      <c r="B5048" t="s">
        <v>11209</v>
      </c>
      <c r="C5048" t="s">
        <v>11210</v>
      </c>
      <c r="D5048" t="s">
        <v>195</v>
      </c>
    </row>
    <row r="5049" spans="1:4" x14ac:dyDescent="0.2">
      <c r="A5049" t="s">
        <v>11211</v>
      </c>
      <c r="B5049" t="s">
        <v>11212</v>
      </c>
      <c r="C5049" t="s">
        <v>11213</v>
      </c>
      <c r="D5049" t="s">
        <v>195</v>
      </c>
    </row>
    <row r="5050" spans="1:4" x14ac:dyDescent="0.2">
      <c r="A5050" t="s">
        <v>11214</v>
      </c>
      <c r="B5050" t="s">
        <v>11215</v>
      </c>
      <c r="C5050" t="s">
        <v>190</v>
      </c>
      <c r="D5050" t="s">
        <v>191</v>
      </c>
    </row>
    <row r="5051" spans="1:4" x14ac:dyDescent="0.2">
      <c r="A5051" t="s">
        <v>11216</v>
      </c>
      <c r="B5051" t="s">
        <v>11217</v>
      </c>
      <c r="C5051" t="s">
        <v>190</v>
      </c>
      <c r="D5051" t="s">
        <v>191</v>
      </c>
    </row>
    <row r="5052" spans="1:4" x14ac:dyDescent="0.2">
      <c r="A5052" t="s">
        <v>11218</v>
      </c>
      <c r="B5052" t="s">
        <v>11219</v>
      </c>
      <c r="C5052" t="s">
        <v>190</v>
      </c>
      <c r="D5052" t="s">
        <v>191</v>
      </c>
    </row>
    <row r="5053" spans="1:4" x14ac:dyDescent="0.2">
      <c r="A5053" t="s">
        <v>11220</v>
      </c>
      <c r="B5053" t="s">
        <v>11221</v>
      </c>
      <c r="C5053" t="s">
        <v>11222</v>
      </c>
      <c r="D5053" t="s">
        <v>195</v>
      </c>
    </row>
    <row r="5054" spans="1:4" x14ac:dyDescent="0.2">
      <c r="A5054" t="s">
        <v>11223</v>
      </c>
      <c r="B5054" t="s">
        <v>11224</v>
      </c>
      <c r="C5054" t="s">
        <v>190</v>
      </c>
      <c r="D5054" t="s">
        <v>191</v>
      </c>
    </row>
    <row r="5055" spans="1:4" x14ac:dyDescent="0.2">
      <c r="A5055" t="s">
        <v>11225</v>
      </c>
      <c r="B5055" t="s">
        <v>11226</v>
      </c>
      <c r="C5055" t="s">
        <v>11227</v>
      </c>
      <c r="D5055" t="s">
        <v>195</v>
      </c>
    </row>
    <row r="5056" spans="1:4" x14ac:dyDescent="0.2">
      <c r="A5056" t="s">
        <v>11228</v>
      </c>
      <c r="B5056" t="s">
        <v>11229</v>
      </c>
      <c r="C5056" t="s">
        <v>190</v>
      </c>
      <c r="D5056" t="s">
        <v>191</v>
      </c>
    </row>
    <row r="5057" spans="1:4" x14ac:dyDescent="0.2">
      <c r="A5057" t="s">
        <v>11230</v>
      </c>
      <c r="B5057" t="s">
        <v>11231</v>
      </c>
      <c r="C5057" t="s">
        <v>11232</v>
      </c>
      <c r="D5057" t="s">
        <v>195</v>
      </c>
    </row>
    <row r="5058" spans="1:4" x14ac:dyDescent="0.2">
      <c r="A5058" t="s">
        <v>11233</v>
      </c>
      <c r="B5058" t="s">
        <v>11234</v>
      </c>
      <c r="C5058" t="s">
        <v>11235</v>
      </c>
      <c r="D5058" t="s">
        <v>195</v>
      </c>
    </row>
    <row r="5059" spans="1:4" x14ac:dyDescent="0.2">
      <c r="A5059" t="s">
        <v>11236</v>
      </c>
      <c r="B5059" t="s">
        <v>11237</v>
      </c>
      <c r="C5059" t="s">
        <v>11238</v>
      </c>
      <c r="D5059" t="s">
        <v>187</v>
      </c>
    </row>
    <row r="5060" spans="1:4" x14ac:dyDescent="0.2">
      <c r="A5060" t="s">
        <v>11239</v>
      </c>
      <c r="B5060" t="s">
        <v>11240</v>
      </c>
      <c r="C5060" t="s">
        <v>190</v>
      </c>
      <c r="D5060" t="s">
        <v>191</v>
      </c>
    </row>
    <row r="5061" spans="1:4" x14ac:dyDescent="0.2">
      <c r="A5061" t="s">
        <v>11241</v>
      </c>
      <c r="B5061" t="s">
        <v>11242</v>
      </c>
      <c r="C5061" t="s">
        <v>190</v>
      </c>
      <c r="D5061" t="s">
        <v>191</v>
      </c>
    </row>
    <row r="5062" spans="1:4" x14ac:dyDescent="0.2">
      <c r="A5062" t="s">
        <v>11243</v>
      </c>
      <c r="B5062" t="s">
        <v>11244</v>
      </c>
      <c r="C5062" t="s">
        <v>190</v>
      </c>
      <c r="D5062" t="s">
        <v>191</v>
      </c>
    </row>
    <row r="5063" spans="1:4" x14ac:dyDescent="0.2">
      <c r="A5063" t="s">
        <v>11245</v>
      </c>
      <c r="B5063" t="s">
        <v>11246</v>
      </c>
      <c r="C5063" t="s">
        <v>11247</v>
      </c>
      <c r="D5063" t="s">
        <v>195</v>
      </c>
    </row>
    <row r="5064" spans="1:4" x14ac:dyDescent="0.2">
      <c r="A5064" t="s">
        <v>11248</v>
      </c>
      <c r="B5064" t="s">
        <v>11249</v>
      </c>
      <c r="C5064" t="s">
        <v>190</v>
      </c>
      <c r="D5064" t="s">
        <v>191</v>
      </c>
    </row>
    <row r="5065" spans="1:4" x14ac:dyDescent="0.2">
      <c r="A5065" t="s">
        <v>11250</v>
      </c>
      <c r="B5065" t="s">
        <v>11251</v>
      </c>
      <c r="C5065" t="s">
        <v>190</v>
      </c>
      <c r="D5065" t="s">
        <v>280</v>
      </c>
    </row>
    <row r="5066" spans="1:4" x14ac:dyDescent="0.2">
      <c r="A5066" t="s">
        <v>11252</v>
      </c>
      <c r="B5066" t="s">
        <v>11253</v>
      </c>
      <c r="C5066" t="s">
        <v>190</v>
      </c>
      <c r="D5066" t="s">
        <v>191</v>
      </c>
    </row>
    <row r="5067" spans="1:4" x14ac:dyDescent="0.2">
      <c r="A5067" t="s">
        <v>11254</v>
      </c>
      <c r="B5067" t="s">
        <v>11255</v>
      </c>
      <c r="C5067" t="s">
        <v>11256</v>
      </c>
      <c r="D5067" t="s">
        <v>195</v>
      </c>
    </row>
    <row r="5068" spans="1:4" x14ac:dyDescent="0.2">
      <c r="A5068" t="s">
        <v>11257</v>
      </c>
      <c r="B5068" t="s">
        <v>11258</v>
      </c>
      <c r="C5068" t="s">
        <v>190</v>
      </c>
      <c r="D5068" t="s">
        <v>191</v>
      </c>
    </row>
    <row r="5069" spans="1:4" x14ac:dyDescent="0.2">
      <c r="A5069" t="s">
        <v>11259</v>
      </c>
      <c r="B5069" t="s">
        <v>11260</v>
      </c>
      <c r="C5069" t="s">
        <v>190</v>
      </c>
      <c r="D5069" t="s">
        <v>11261</v>
      </c>
    </row>
    <row r="5070" spans="1:4" x14ac:dyDescent="0.2">
      <c r="A5070" t="s">
        <v>11262</v>
      </c>
      <c r="B5070" t="s">
        <v>11263</v>
      </c>
      <c r="C5070" t="s">
        <v>11264</v>
      </c>
      <c r="D5070" t="s">
        <v>195</v>
      </c>
    </row>
    <row r="5071" spans="1:4" x14ac:dyDescent="0.2">
      <c r="A5071" t="s">
        <v>11265</v>
      </c>
      <c r="B5071" t="s">
        <v>11266</v>
      </c>
      <c r="C5071" t="s">
        <v>190</v>
      </c>
      <c r="D5071" t="s">
        <v>191</v>
      </c>
    </row>
    <row r="5072" spans="1:4" x14ac:dyDescent="0.2">
      <c r="A5072" t="s">
        <v>11267</v>
      </c>
      <c r="B5072" t="s">
        <v>11268</v>
      </c>
      <c r="C5072" t="s">
        <v>190</v>
      </c>
      <c r="D5072" t="s">
        <v>191</v>
      </c>
    </row>
    <row r="5073" spans="1:4" x14ac:dyDescent="0.2">
      <c r="A5073" t="s">
        <v>11269</v>
      </c>
      <c r="B5073" t="s">
        <v>11270</v>
      </c>
      <c r="C5073" t="s">
        <v>11271</v>
      </c>
      <c r="D5073" t="s">
        <v>195</v>
      </c>
    </row>
    <row r="5074" spans="1:4" x14ac:dyDescent="0.2">
      <c r="A5074" t="s">
        <v>11272</v>
      </c>
      <c r="B5074" t="s">
        <v>11273</v>
      </c>
      <c r="C5074" t="s">
        <v>190</v>
      </c>
      <c r="D5074" t="s">
        <v>191</v>
      </c>
    </row>
    <row r="5075" spans="1:4" x14ac:dyDescent="0.2">
      <c r="A5075" t="s">
        <v>11274</v>
      </c>
      <c r="B5075" t="s">
        <v>11275</v>
      </c>
      <c r="C5075" t="s">
        <v>190</v>
      </c>
      <c r="D5075" t="s">
        <v>191</v>
      </c>
    </row>
    <row r="5076" spans="1:4" x14ac:dyDescent="0.2">
      <c r="A5076" t="s">
        <v>11276</v>
      </c>
      <c r="B5076" t="s">
        <v>11277</v>
      </c>
      <c r="C5076" t="s">
        <v>11278</v>
      </c>
      <c r="D5076" t="s">
        <v>195</v>
      </c>
    </row>
    <row r="5077" spans="1:4" x14ac:dyDescent="0.2">
      <c r="A5077" t="s">
        <v>11279</v>
      </c>
      <c r="B5077" t="s">
        <v>11280</v>
      </c>
      <c r="C5077" t="s">
        <v>11281</v>
      </c>
      <c r="D5077" t="s">
        <v>195</v>
      </c>
    </row>
    <row r="5078" spans="1:4" x14ac:dyDescent="0.2">
      <c r="A5078" t="s">
        <v>11282</v>
      </c>
      <c r="B5078" t="s">
        <v>11283</v>
      </c>
      <c r="C5078" t="s">
        <v>190</v>
      </c>
      <c r="D5078" t="s">
        <v>191</v>
      </c>
    </row>
    <row r="5079" spans="1:4" x14ac:dyDescent="0.2">
      <c r="A5079" t="s">
        <v>11284</v>
      </c>
      <c r="B5079" t="s">
        <v>11285</v>
      </c>
      <c r="C5079" t="s">
        <v>190</v>
      </c>
      <c r="D5079" t="s">
        <v>191</v>
      </c>
    </row>
    <row r="5080" spans="1:4" x14ac:dyDescent="0.2">
      <c r="A5080" t="s">
        <v>11286</v>
      </c>
      <c r="B5080" t="s">
        <v>11287</v>
      </c>
      <c r="C5080" t="s">
        <v>190</v>
      </c>
      <c r="D5080" t="s">
        <v>191</v>
      </c>
    </row>
    <row r="5081" spans="1:4" x14ac:dyDescent="0.2">
      <c r="A5081" t="s">
        <v>11288</v>
      </c>
      <c r="B5081" t="s">
        <v>11289</v>
      </c>
      <c r="C5081" t="s">
        <v>11290</v>
      </c>
      <c r="D5081" t="s">
        <v>195</v>
      </c>
    </row>
    <row r="5082" spans="1:4" x14ac:dyDescent="0.2">
      <c r="A5082" t="s">
        <v>11291</v>
      </c>
      <c r="B5082" t="s">
        <v>11292</v>
      </c>
      <c r="C5082" t="s">
        <v>190</v>
      </c>
      <c r="D5082" t="s">
        <v>191</v>
      </c>
    </row>
    <row r="5083" spans="1:4" x14ac:dyDescent="0.2">
      <c r="A5083" t="s">
        <v>11293</v>
      </c>
      <c r="B5083" t="s">
        <v>11294</v>
      </c>
      <c r="C5083" t="s">
        <v>190</v>
      </c>
      <c r="D5083" t="s">
        <v>191</v>
      </c>
    </row>
    <row r="5084" spans="1:4" x14ac:dyDescent="0.2">
      <c r="A5084" t="s">
        <v>11295</v>
      </c>
      <c r="B5084" t="s">
        <v>11296</v>
      </c>
      <c r="C5084" t="s">
        <v>190</v>
      </c>
      <c r="D5084" t="s">
        <v>191</v>
      </c>
    </row>
    <row r="5085" spans="1:4" x14ac:dyDescent="0.2">
      <c r="A5085" t="s">
        <v>11297</v>
      </c>
      <c r="B5085" t="s">
        <v>11298</v>
      </c>
      <c r="C5085" t="s">
        <v>11299</v>
      </c>
      <c r="D5085" t="s">
        <v>195</v>
      </c>
    </row>
    <row r="5086" spans="1:4" x14ac:dyDescent="0.2">
      <c r="A5086" t="s">
        <v>11300</v>
      </c>
      <c r="B5086" t="s">
        <v>11301</v>
      </c>
      <c r="C5086" t="s">
        <v>190</v>
      </c>
      <c r="D5086" t="s">
        <v>191</v>
      </c>
    </row>
    <row r="5087" spans="1:4" x14ac:dyDescent="0.2">
      <c r="A5087" t="s">
        <v>11302</v>
      </c>
      <c r="B5087" t="s">
        <v>11303</v>
      </c>
      <c r="C5087" t="s">
        <v>190</v>
      </c>
      <c r="D5087" t="s">
        <v>191</v>
      </c>
    </row>
    <row r="5088" spans="1:4" x14ac:dyDescent="0.2">
      <c r="A5088" t="s">
        <v>11304</v>
      </c>
      <c r="B5088" t="s">
        <v>11305</v>
      </c>
      <c r="C5088" t="s">
        <v>190</v>
      </c>
      <c r="D5088" t="s">
        <v>191</v>
      </c>
    </row>
    <row r="5089" spans="1:4" x14ac:dyDescent="0.2">
      <c r="A5089" t="s">
        <v>11306</v>
      </c>
      <c r="B5089" t="s">
        <v>11307</v>
      </c>
      <c r="C5089" t="s">
        <v>190</v>
      </c>
      <c r="D5089" t="s">
        <v>191</v>
      </c>
    </row>
    <row r="5090" spans="1:4" x14ac:dyDescent="0.2">
      <c r="A5090" t="s">
        <v>11308</v>
      </c>
      <c r="B5090" t="s">
        <v>11309</v>
      </c>
      <c r="C5090" t="s">
        <v>190</v>
      </c>
      <c r="D5090" t="s">
        <v>191</v>
      </c>
    </row>
    <row r="5091" spans="1:4" x14ac:dyDescent="0.2">
      <c r="A5091" t="s">
        <v>11310</v>
      </c>
      <c r="B5091" t="s">
        <v>11311</v>
      </c>
      <c r="C5091" t="s">
        <v>190</v>
      </c>
      <c r="D5091" t="s">
        <v>191</v>
      </c>
    </row>
    <row r="5092" spans="1:4" x14ac:dyDescent="0.2">
      <c r="A5092" t="s">
        <v>11312</v>
      </c>
      <c r="B5092" t="s">
        <v>11313</v>
      </c>
      <c r="C5092" t="s">
        <v>190</v>
      </c>
      <c r="D5092" t="s">
        <v>191</v>
      </c>
    </row>
    <row r="5093" spans="1:4" x14ac:dyDescent="0.2">
      <c r="A5093" t="s">
        <v>11314</v>
      </c>
      <c r="B5093" t="s">
        <v>11315</v>
      </c>
      <c r="C5093" t="s">
        <v>190</v>
      </c>
      <c r="D5093" t="s">
        <v>191</v>
      </c>
    </row>
    <row r="5094" spans="1:4" x14ac:dyDescent="0.2">
      <c r="A5094" t="s">
        <v>11316</v>
      </c>
      <c r="B5094" t="s">
        <v>11317</v>
      </c>
      <c r="C5094" t="s">
        <v>11318</v>
      </c>
      <c r="D5094" t="s">
        <v>187</v>
      </c>
    </row>
    <row r="5095" spans="1:4" x14ac:dyDescent="0.2">
      <c r="A5095" t="s">
        <v>11319</v>
      </c>
      <c r="B5095" t="s">
        <v>11320</v>
      </c>
      <c r="C5095" t="s">
        <v>190</v>
      </c>
      <c r="D5095" t="s">
        <v>191</v>
      </c>
    </row>
    <row r="5096" spans="1:4" x14ac:dyDescent="0.2">
      <c r="A5096" t="s">
        <v>11321</v>
      </c>
      <c r="B5096" t="s">
        <v>11322</v>
      </c>
      <c r="C5096" t="s">
        <v>190</v>
      </c>
      <c r="D5096" t="s">
        <v>191</v>
      </c>
    </row>
    <row r="5097" spans="1:4" x14ac:dyDescent="0.2">
      <c r="A5097" t="s">
        <v>11321</v>
      </c>
      <c r="B5097" t="s">
        <v>11323</v>
      </c>
      <c r="C5097" t="s">
        <v>190</v>
      </c>
      <c r="D5097" t="s">
        <v>191</v>
      </c>
    </row>
    <row r="5098" spans="1:4" x14ac:dyDescent="0.2">
      <c r="A5098" t="s">
        <v>11324</v>
      </c>
      <c r="B5098" t="s">
        <v>11325</v>
      </c>
      <c r="C5098" t="s">
        <v>190</v>
      </c>
      <c r="D5098" t="s">
        <v>191</v>
      </c>
    </row>
    <row r="5099" spans="1:4" x14ac:dyDescent="0.2">
      <c r="A5099" t="s">
        <v>11326</v>
      </c>
      <c r="B5099" t="s">
        <v>11327</v>
      </c>
      <c r="C5099" t="s">
        <v>190</v>
      </c>
      <c r="D5099" t="s">
        <v>191</v>
      </c>
    </row>
    <row r="5100" spans="1:4" x14ac:dyDescent="0.2">
      <c r="A5100" t="s">
        <v>11328</v>
      </c>
      <c r="B5100" t="s">
        <v>11329</v>
      </c>
      <c r="C5100" t="s">
        <v>11330</v>
      </c>
      <c r="D5100" t="s">
        <v>195</v>
      </c>
    </row>
    <row r="5101" spans="1:4" x14ac:dyDescent="0.2">
      <c r="A5101" t="s">
        <v>11331</v>
      </c>
      <c r="B5101" t="s">
        <v>11332</v>
      </c>
      <c r="C5101" t="s">
        <v>190</v>
      </c>
      <c r="D5101" t="s">
        <v>11333</v>
      </c>
    </row>
    <row r="5102" spans="1:4" x14ac:dyDescent="0.2">
      <c r="A5102" t="s">
        <v>11334</v>
      </c>
      <c r="B5102" t="s">
        <v>11335</v>
      </c>
      <c r="C5102" t="s">
        <v>11336</v>
      </c>
      <c r="D5102" t="s">
        <v>187</v>
      </c>
    </row>
    <row r="5103" spans="1:4" x14ac:dyDescent="0.2">
      <c r="A5103" t="s">
        <v>11337</v>
      </c>
      <c r="B5103" t="s">
        <v>11338</v>
      </c>
      <c r="C5103" t="s">
        <v>190</v>
      </c>
      <c r="D5103" t="s">
        <v>191</v>
      </c>
    </row>
    <row r="5104" spans="1:4" x14ac:dyDescent="0.2">
      <c r="A5104" t="s">
        <v>11339</v>
      </c>
      <c r="B5104" t="s">
        <v>11340</v>
      </c>
      <c r="C5104" t="s">
        <v>190</v>
      </c>
      <c r="D5104" t="s">
        <v>191</v>
      </c>
    </row>
    <row r="5105" spans="1:4" x14ac:dyDescent="0.2">
      <c r="A5105" t="s">
        <v>11341</v>
      </c>
      <c r="B5105" t="s">
        <v>11342</v>
      </c>
      <c r="C5105" t="s">
        <v>190</v>
      </c>
      <c r="D5105" t="s">
        <v>191</v>
      </c>
    </row>
    <row r="5106" spans="1:4" x14ac:dyDescent="0.2">
      <c r="A5106" t="s">
        <v>11343</v>
      </c>
      <c r="B5106" t="s">
        <v>11344</v>
      </c>
      <c r="C5106" t="s">
        <v>190</v>
      </c>
      <c r="D5106" t="s">
        <v>191</v>
      </c>
    </row>
    <row r="5107" spans="1:4" x14ac:dyDescent="0.2">
      <c r="A5107" t="s">
        <v>11345</v>
      </c>
      <c r="B5107" t="s">
        <v>11346</v>
      </c>
      <c r="C5107" t="s">
        <v>190</v>
      </c>
      <c r="D5107" t="s">
        <v>191</v>
      </c>
    </row>
    <row r="5108" spans="1:4" x14ac:dyDescent="0.2">
      <c r="A5108" t="s">
        <v>11347</v>
      </c>
      <c r="B5108" t="s">
        <v>11348</v>
      </c>
      <c r="C5108" t="s">
        <v>190</v>
      </c>
      <c r="D5108" t="s">
        <v>191</v>
      </c>
    </row>
    <row r="5109" spans="1:4" x14ac:dyDescent="0.2">
      <c r="A5109" t="s">
        <v>11349</v>
      </c>
      <c r="B5109" t="s">
        <v>11350</v>
      </c>
      <c r="C5109" t="s">
        <v>190</v>
      </c>
      <c r="D5109" t="s">
        <v>191</v>
      </c>
    </row>
    <row r="5110" spans="1:4" x14ac:dyDescent="0.2">
      <c r="A5110" t="s">
        <v>11351</v>
      </c>
      <c r="B5110" t="s">
        <v>11352</v>
      </c>
      <c r="C5110" t="s">
        <v>190</v>
      </c>
      <c r="D5110" t="s">
        <v>191</v>
      </c>
    </row>
    <row r="5111" spans="1:4" x14ac:dyDescent="0.2">
      <c r="A5111" t="s">
        <v>11353</v>
      </c>
      <c r="B5111" t="s">
        <v>11354</v>
      </c>
      <c r="C5111" t="s">
        <v>190</v>
      </c>
      <c r="D5111" t="s">
        <v>191</v>
      </c>
    </row>
    <row r="5112" spans="1:4" x14ac:dyDescent="0.2">
      <c r="A5112" t="s">
        <v>11355</v>
      </c>
      <c r="B5112" t="s">
        <v>11356</v>
      </c>
      <c r="C5112" t="s">
        <v>190</v>
      </c>
      <c r="D5112" t="s">
        <v>191</v>
      </c>
    </row>
    <row r="5113" spans="1:4" x14ac:dyDescent="0.2">
      <c r="A5113" t="s">
        <v>11357</v>
      </c>
      <c r="B5113" t="s">
        <v>11358</v>
      </c>
      <c r="C5113" t="s">
        <v>190</v>
      </c>
      <c r="D5113" t="s">
        <v>191</v>
      </c>
    </row>
    <row r="5114" spans="1:4" x14ac:dyDescent="0.2">
      <c r="A5114" t="s">
        <v>11359</v>
      </c>
      <c r="B5114" t="s">
        <v>11360</v>
      </c>
      <c r="C5114" t="s">
        <v>11361</v>
      </c>
      <c r="D5114" t="s">
        <v>187</v>
      </c>
    </row>
    <row r="5115" spans="1:4" x14ac:dyDescent="0.2">
      <c r="A5115" t="s">
        <v>11362</v>
      </c>
      <c r="B5115" t="s">
        <v>11363</v>
      </c>
      <c r="C5115" t="s">
        <v>190</v>
      </c>
      <c r="D5115" t="s">
        <v>191</v>
      </c>
    </row>
    <row r="5116" spans="1:4" x14ac:dyDescent="0.2">
      <c r="A5116" t="s">
        <v>11364</v>
      </c>
      <c r="B5116" t="s">
        <v>11365</v>
      </c>
      <c r="C5116" t="s">
        <v>11366</v>
      </c>
      <c r="D5116" t="s">
        <v>187</v>
      </c>
    </row>
    <row r="5117" spans="1:4" x14ac:dyDescent="0.2">
      <c r="A5117" t="s">
        <v>11364</v>
      </c>
      <c r="B5117" t="s">
        <v>11367</v>
      </c>
      <c r="C5117" t="s">
        <v>11368</v>
      </c>
      <c r="D5117" t="s">
        <v>187</v>
      </c>
    </row>
    <row r="5118" spans="1:4" x14ac:dyDescent="0.2">
      <c r="A5118" t="s">
        <v>11369</v>
      </c>
      <c r="B5118" t="s">
        <v>11370</v>
      </c>
      <c r="C5118" t="s">
        <v>190</v>
      </c>
      <c r="D5118" t="s">
        <v>191</v>
      </c>
    </row>
    <row r="5119" spans="1:4" x14ac:dyDescent="0.2">
      <c r="A5119" t="s">
        <v>11371</v>
      </c>
      <c r="B5119" t="s">
        <v>11372</v>
      </c>
      <c r="C5119" t="s">
        <v>190</v>
      </c>
      <c r="D5119" t="s">
        <v>191</v>
      </c>
    </row>
    <row r="5120" spans="1:4" x14ac:dyDescent="0.2">
      <c r="A5120" t="s">
        <v>11373</v>
      </c>
      <c r="B5120" t="s">
        <v>11374</v>
      </c>
      <c r="C5120" t="s">
        <v>11375</v>
      </c>
      <c r="D5120" t="s">
        <v>187</v>
      </c>
    </row>
    <row r="5121" spans="1:4" x14ac:dyDescent="0.2">
      <c r="A5121" t="s">
        <v>11376</v>
      </c>
      <c r="B5121" t="s">
        <v>11377</v>
      </c>
      <c r="C5121" t="s">
        <v>190</v>
      </c>
      <c r="D5121" t="s">
        <v>191</v>
      </c>
    </row>
    <row r="5122" spans="1:4" x14ac:dyDescent="0.2">
      <c r="A5122" t="s">
        <v>11378</v>
      </c>
      <c r="B5122" t="s">
        <v>11379</v>
      </c>
      <c r="C5122" t="s">
        <v>190</v>
      </c>
      <c r="D5122" t="s">
        <v>191</v>
      </c>
    </row>
    <row r="5123" spans="1:4" x14ac:dyDescent="0.2">
      <c r="A5123" t="s">
        <v>11380</v>
      </c>
      <c r="B5123" t="s">
        <v>11381</v>
      </c>
      <c r="C5123" t="s">
        <v>190</v>
      </c>
      <c r="D5123" t="s">
        <v>191</v>
      </c>
    </row>
    <row r="5124" spans="1:4" x14ac:dyDescent="0.2">
      <c r="A5124" t="s">
        <v>11382</v>
      </c>
      <c r="B5124" t="s">
        <v>11383</v>
      </c>
      <c r="C5124" t="s">
        <v>11384</v>
      </c>
      <c r="D5124" t="s">
        <v>187</v>
      </c>
    </row>
    <row r="5125" spans="1:4" x14ac:dyDescent="0.2">
      <c r="A5125" t="s">
        <v>11385</v>
      </c>
      <c r="B5125" t="s">
        <v>11386</v>
      </c>
      <c r="C5125" t="s">
        <v>190</v>
      </c>
      <c r="D5125" t="s">
        <v>191</v>
      </c>
    </row>
    <row r="5126" spans="1:4" x14ac:dyDescent="0.2">
      <c r="A5126" t="s">
        <v>11387</v>
      </c>
      <c r="B5126" t="s">
        <v>11388</v>
      </c>
      <c r="C5126" t="s">
        <v>11389</v>
      </c>
      <c r="D5126" t="s">
        <v>195</v>
      </c>
    </row>
    <row r="5127" spans="1:4" x14ac:dyDescent="0.2">
      <c r="A5127" t="s">
        <v>11390</v>
      </c>
      <c r="B5127" t="s">
        <v>11391</v>
      </c>
      <c r="C5127" t="s">
        <v>190</v>
      </c>
      <c r="D5127" t="s">
        <v>191</v>
      </c>
    </row>
    <row r="5128" spans="1:4" x14ac:dyDescent="0.2">
      <c r="A5128" t="s">
        <v>11392</v>
      </c>
      <c r="B5128" t="s">
        <v>11393</v>
      </c>
      <c r="C5128" t="s">
        <v>11394</v>
      </c>
      <c r="D5128" t="s">
        <v>195</v>
      </c>
    </row>
    <row r="5129" spans="1:4" x14ac:dyDescent="0.2">
      <c r="A5129" t="s">
        <v>11395</v>
      </c>
      <c r="B5129" t="s">
        <v>11396</v>
      </c>
      <c r="C5129" t="s">
        <v>190</v>
      </c>
      <c r="D5129" t="s">
        <v>191</v>
      </c>
    </row>
    <row r="5130" spans="1:4" x14ac:dyDescent="0.2">
      <c r="A5130" t="s">
        <v>11397</v>
      </c>
      <c r="B5130" t="s">
        <v>11398</v>
      </c>
      <c r="C5130" t="s">
        <v>11399</v>
      </c>
      <c r="D5130" t="s">
        <v>187</v>
      </c>
    </row>
    <row r="5131" spans="1:4" x14ac:dyDescent="0.2">
      <c r="A5131" t="s">
        <v>11400</v>
      </c>
      <c r="B5131" t="s">
        <v>11401</v>
      </c>
      <c r="C5131" t="s">
        <v>11402</v>
      </c>
      <c r="D5131" t="s">
        <v>187</v>
      </c>
    </row>
    <row r="5132" spans="1:4" x14ac:dyDescent="0.2">
      <c r="A5132" t="s">
        <v>11403</v>
      </c>
      <c r="B5132" t="s">
        <v>11404</v>
      </c>
      <c r="C5132" t="s">
        <v>11405</v>
      </c>
      <c r="D5132" t="s">
        <v>187</v>
      </c>
    </row>
    <row r="5133" spans="1:4" x14ac:dyDescent="0.2">
      <c r="A5133" t="s">
        <v>11406</v>
      </c>
      <c r="B5133" t="s">
        <v>11407</v>
      </c>
      <c r="C5133" t="s">
        <v>190</v>
      </c>
      <c r="D5133" t="s">
        <v>191</v>
      </c>
    </row>
    <row r="5134" spans="1:4" x14ac:dyDescent="0.2">
      <c r="A5134" t="s">
        <v>11408</v>
      </c>
      <c r="B5134" t="s">
        <v>11409</v>
      </c>
      <c r="C5134" t="s">
        <v>11410</v>
      </c>
      <c r="D5134" t="s">
        <v>195</v>
      </c>
    </row>
    <row r="5135" spans="1:4" x14ac:dyDescent="0.2">
      <c r="A5135" t="s">
        <v>11411</v>
      </c>
      <c r="B5135" t="s">
        <v>11412</v>
      </c>
      <c r="C5135" t="s">
        <v>190</v>
      </c>
      <c r="D5135" t="s">
        <v>191</v>
      </c>
    </row>
    <row r="5136" spans="1:4" x14ac:dyDescent="0.2">
      <c r="A5136" t="s">
        <v>11413</v>
      </c>
      <c r="B5136" t="s">
        <v>11414</v>
      </c>
      <c r="C5136" t="s">
        <v>11415</v>
      </c>
      <c r="D5136" t="s">
        <v>187</v>
      </c>
    </row>
    <row r="5137" spans="1:4" x14ac:dyDescent="0.2">
      <c r="A5137" t="s">
        <v>11416</v>
      </c>
      <c r="B5137" t="s">
        <v>11417</v>
      </c>
      <c r="C5137" t="s">
        <v>190</v>
      </c>
      <c r="D5137" t="s">
        <v>191</v>
      </c>
    </row>
    <row r="5138" spans="1:4" x14ac:dyDescent="0.2">
      <c r="A5138" t="s">
        <v>11418</v>
      </c>
      <c r="B5138" t="s">
        <v>11419</v>
      </c>
      <c r="C5138" t="s">
        <v>11420</v>
      </c>
      <c r="D5138" t="s">
        <v>195</v>
      </c>
    </row>
    <row r="5139" spans="1:4" x14ac:dyDescent="0.2">
      <c r="A5139" t="s">
        <v>11421</v>
      </c>
      <c r="B5139" t="s">
        <v>11422</v>
      </c>
      <c r="C5139" t="s">
        <v>190</v>
      </c>
      <c r="D5139" t="s">
        <v>191</v>
      </c>
    </row>
    <row r="5140" spans="1:4" x14ac:dyDescent="0.2">
      <c r="A5140" t="s">
        <v>11423</v>
      </c>
      <c r="B5140" t="s">
        <v>11424</v>
      </c>
      <c r="C5140" t="s">
        <v>190</v>
      </c>
      <c r="D5140" t="s">
        <v>191</v>
      </c>
    </row>
    <row r="5141" spans="1:4" x14ac:dyDescent="0.2">
      <c r="A5141" t="s">
        <v>11425</v>
      </c>
      <c r="B5141" t="s">
        <v>11426</v>
      </c>
      <c r="C5141" t="s">
        <v>190</v>
      </c>
      <c r="D5141" t="s">
        <v>191</v>
      </c>
    </row>
    <row r="5142" spans="1:4" x14ac:dyDescent="0.2">
      <c r="A5142" t="s">
        <v>11427</v>
      </c>
      <c r="B5142" t="s">
        <v>11428</v>
      </c>
      <c r="C5142" t="s">
        <v>11429</v>
      </c>
      <c r="D5142" t="s">
        <v>187</v>
      </c>
    </row>
    <row r="5143" spans="1:4" x14ac:dyDescent="0.2">
      <c r="A5143" t="s">
        <v>11430</v>
      </c>
      <c r="B5143" t="s">
        <v>11431</v>
      </c>
      <c r="C5143" t="s">
        <v>190</v>
      </c>
      <c r="D5143" t="s">
        <v>191</v>
      </c>
    </row>
    <row r="5144" spans="1:4" x14ac:dyDescent="0.2">
      <c r="A5144" t="s">
        <v>11432</v>
      </c>
      <c r="B5144" t="s">
        <v>11433</v>
      </c>
      <c r="C5144" t="s">
        <v>190</v>
      </c>
      <c r="D5144" t="s">
        <v>191</v>
      </c>
    </row>
    <row r="5145" spans="1:4" x14ac:dyDescent="0.2">
      <c r="A5145" t="s">
        <v>11434</v>
      </c>
      <c r="B5145" t="s">
        <v>11435</v>
      </c>
      <c r="C5145" t="s">
        <v>190</v>
      </c>
      <c r="D5145" t="s">
        <v>191</v>
      </c>
    </row>
    <row r="5146" spans="1:4" x14ac:dyDescent="0.2">
      <c r="A5146" t="s">
        <v>11436</v>
      </c>
      <c r="B5146" t="s">
        <v>11437</v>
      </c>
      <c r="C5146" t="s">
        <v>190</v>
      </c>
      <c r="D5146" t="s">
        <v>191</v>
      </c>
    </row>
    <row r="5147" spans="1:4" x14ac:dyDescent="0.2">
      <c r="A5147" t="s">
        <v>11438</v>
      </c>
      <c r="B5147" t="s">
        <v>11439</v>
      </c>
      <c r="C5147" t="s">
        <v>190</v>
      </c>
      <c r="D5147" t="s">
        <v>191</v>
      </c>
    </row>
    <row r="5148" spans="1:4" x14ac:dyDescent="0.2">
      <c r="A5148" t="s">
        <v>11440</v>
      </c>
      <c r="B5148" t="s">
        <v>11441</v>
      </c>
      <c r="C5148" t="s">
        <v>190</v>
      </c>
      <c r="D5148" t="s">
        <v>191</v>
      </c>
    </row>
    <row r="5149" spans="1:4" x14ac:dyDescent="0.2">
      <c r="A5149" t="s">
        <v>11442</v>
      </c>
      <c r="B5149" t="s">
        <v>11443</v>
      </c>
      <c r="C5149" t="s">
        <v>190</v>
      </c>
      <c r="D5149" t="s">
        <v>191</v>
      </c>
    </row>
    <row r="5150" spans="1:4" x14ac:dyDescent="0.2">
      <c r="A5150" t="s">
        <v>11444</v>
      </c>
      <c r="B5150" t="s">
        <v>11445</v>
      </c>
      <c r="C5150" t="s">
        <v>190</v>
      </c>
      <c r="D5150" t="s">
        <v>191</v>
      </c>
    </row>
    <row r="5151" spans="1:4" x14ac:dyDescent="0.2">
      <c r="A5151" t="s">
        <v>11446</v>
      </c>
      <c r="B5151" t="s">
        <v>11447</v>
      </c>
      <c r="C5151" t="s">
        <v>11448</v>
      </c>
      <c r="D5151" t="s">
        <v>195</v>
      </c>
    </row>
    <row r="5152" spans="1:4" x14ac:dyDescent="0.2">
      <c r="A5152" t="s">
        <v>11449</v>
      </c>
      <c r="B5152" t="s">
        <v>11450</v>
      </c>
      <c r="C5152" t="s">
        <v>11451</v>
      </c>
      <c r="D5152" t="s">
        <v>195</v>
      </c>
    </row>
    <row r="5153" spans="1:4" x14ac:dyDescent="0.2">
      <c r="A5153" t="s">
        <v>11452</v>
      </c>
      <c r="B5153" t="s">
        <v>11453</v>
      </c>
      <c r="C5153" t="s">
        <v>190</v>
      </c>
      <c r="D5153" t="s">
        <v>191</v>
      </c>
    </row>
    <row r="5154" spans="1:4" x14ac:dyDescent="0.2">
      <c r="A5154" t="s">
        <v>11454</v>
      </c>
      <c r="B5154" t="s">
        <v>11455</v>
      </c>
      <c r="C5154" t="s">
        <v>190</v>
      </c>
      <c r="D5154" t="s">
        <v>191</v>
      </c>
    </row>
    <row r="5155" spans="1:4" x14ac:dyDescent="0.2">
      <c r="A5155" t="s">
        <v>11456</v>
      </c>
      <c r="B5155" t="s">
        <v>11457</v>
      </c>
      <c r="C5155" t="s">
        <v>190</v>
      </c>
      <c r="D5155" t="s">
        <v>191</v>
      </c>
    </row>
    <row r="5156" spans="1:4" x14ac:dyDescent="0.2">
      <c r="A5156" t="s">
        <v>11458</v>
      </c>
      <c r="B5156" t="s">
        <v>11459</v>
      </c>
      <c r="C5156" t="s">
        <v>190</v>
      </c>
      <c r="D5156" t="s">
        <v>191</v>
      </c>
    </row>
    <row r="5157" spans="1:4" x14ac:dyDescent="0.2">
      <c r="A5157" t="s">
        <v>11460</v>
      </c>
      <c r="B5157" t="s">
        <v>11461</v>
      </c>
      <c r="C5157" t="s">
        <v>11462</v>
      </c>
      <c r="D5157" t="s">
        <v>187</v>
      </c>
    </row>
    <row r="5158" spans="1:4" x14ac:dyDescent="0.2">
      <c r="A5158" t="s">
        <v>11463</v>
      </c>
      <c r="B5158" t="s">
        <v>11464</v>
      </c>
      <c r="C5158" t="s">
        <v>190</v>
      </c>
      <c r="D5158" t="s">
        <v>191</v>
      </c>
    </row>
    <row r="5159" spans="1:4" x14ac:dyDescent="0.2">
      <c r="A5159" t="s">
        <v>11465</v>
      </c>
      <c r="B5159" t="s">
        <v>11466</v>
      </c>
      <c r="C5159" t="s">
        <v>11467</v>
      </c>
      <c r="D5159" t="s">
        <v>195</v>
      </c>
    </row>
    <row r="5160" spans="1:4" x14ac:dyDescent="0.2">
      <c r="A5160" t="s">
        <v>11468</v>
      </c>
      <c r="B5160" t="s">
        <v>11469</v>
      </c>
      <c r="C5160" t="s">
        <v>190</v>
      </c>
      <c r="D5160" t="s">
        <v>191</v>
      </c>
    </row>
    <row r="5161" spans="1:4" x14ac:dyDescent="0.2">
      <c r="A5161" t="s">
        <v>11470</v>
      </c>
      <c r="B5161" t="s">
        <v>11471</v>
      </c>
      <c r="C5161" t="s">
        <v>190</v>
      </c>
      <c r="D5161" t="s">
        <v>191</v>
      </c>
    </row>
    <row r="5162" spans="1:4" x14ac:dyDescent="0.2">
      <c r="A5162" t="s">
        <v>11472</v>
      </c>
      <c r="B5162" t="s">
        <v>11473</v>
      </c>
      <c r="C5162" t="s">
        <v>11474</v>
      </c>
      <c r="D5162" t="s">
        <v>195</v>
      </c>
    </row>
    <row r="5163" spans="1:4" x14ac:dyDescent="0.2">
      <c r="A5163" t="s">
        <v>11472</v>
      </c>
      <c r="B5163" t="s">
        <v>11475</v>
      </c>
      <c r="C5163" t="s">
        <v>190</v>
      </c>
      <c r="D5163" t="s">
        <v>191</v>
      </c>
    </row>
    <row r="5164" spans="1:4" x14ac:dyDescent="0.2">
      <c r="A5164" t="s">
        <v>11476</v>
      </c>
      <c r="B5164" t="s">
        <v>11477</v>
      </c>
      <c r="C5164" t="s">
        <v>11478</v>
      </c>
      <c r="D5164" t="s">
        <v>187</v>
      </c>
    </row>
    <row r="5165" spans="1:4" x14ac:dyDescent="0.2">
      <c r="A5165" t="s">
        <v>11479</v>
      </c>
      <c r="B5165" t="s">
        <v>11480</v>
      </c>
      <c r="C5165" t="s">
        <v>190</v>
      </c>
      <c r="D5165" t="s">
        <v>191</v>
      </c>
    </row>
    <row r="5166" spans="1:4" x14ac:dyDescent="0.2">
      <c r="A5166" t="s">
        <v>11481</v>
      </c>
      <c r="B5166" t="s">
        <v>11482</v>
      </c>
      <c r="C5166" t="s">
        <v>190</v>
      </c>
      <c r="D5166" t="s">
        <v>191</v>
      </c>
    </row>
    <row r="5167" spans="1:4" x14ac:dyDescent="0.2">
      <c r="A5167" t="s">
        <v>11483</v>
      </c>
      <c r="B5167" t="s">
        <v>11484</v>
      </c>
      <c r="C5167" t="s">
        <v>11485</v>
      </c>
      <c r="D5167" t="s">
        <v>187</v>
      </c>
    </row>
    <row r="5168" spans="1:4" x14ac:dyDescent="0.2">
      <c r="A5168" t="s">
        <v>11486</v>
      </c>
      <c r="B5168" t="s">
        <v>11487</v>
      </c>
      <c r="C5168" t="s">
        <v>190</v>
      </c>
      <c r="D5168" t="s">
        <v>191</v>
      </c>
    </row>
    <row r="5169" spans="1:4" x14ac:dyDescent="0.2">
      <c r="A5169" t="s">
        <v>11488</v>
      </c>
      <c r="B5169" t="s">
        <v>11489</v>
      </c>
      <c r="C5169" t="s">
        <v>190</v>
      </c>
      <c r="D5169" t="s">
        <v>191</v>
      </c>
    </row>
    <row r="5170" spans="1:4" x14ac:dyDescent="0.2">
      <c r="A5170" t="s">
        <v>11490</v>
      </c>
      <c r="B5170" t="s">
        <v>11491</v>
      </c>
      <c r="C5170" t="s">
        <v>11492</v>
      </c>
      <c r="D5170" t="s">
        <v>187</v>
      </c>
    </row>
    <row r="5171" spans="1:4" x14ac:dyDescent="0.2">
      <c r="A5171" t="s">
        <v>11493</v>
      </c>
      <c r="B5171" t="s">
        <v>11494</v>
      </c>
      <c r="C5171" t="s">
        <v>190</v>
      </c>
      <c r="D5171" t="s">
        <v>191</v>
      </c>
    </row>
    <row r="5172" spans="1:4" x14ac:dyDescent="0.2">
      <c r="A5172" t="s">
        <v>11495</v>
      </c>
      <c r="B5172" t="s">
        <v>11496</v>
      </c>
      <c r="C5172" t="s">
        <v>190</v>
      </c>
      <c r="D5172" t="s">
        <v>191</v>
      </c>
    </row>
    <row r="5173" spans="1:4" x14ac:dyDescent="0.2">
      <c r="A5173" t="s">
        <v>11497</v>
      </c>
      <c r="B5173" t="s">
        <v>11498</v>
      </c>
      <c r="C5173" t="s">
        <v>11499</v>
      </c>
      <c r="D5173" t="s">
        <v>195</v>
      </c>
    </row>
    <row r="5174" spans="1:4" x14ac:dyDescent="0.2">
      <c r="A5174" t="s">
        <v>11500</v>
      </c>
      <c r="B5174" t="s">
        <v>11501</v>
      </c>
      <c r="C5174" t="s">
        <v>11502</v>
      </c>
      <c r="D5174" t="s">
        <v>187</v>
      </c>
    </row>
    <row r="5175" spans="1:4" x14ac:dyDescent="0.2">
      <c r="A5175" t="s">
        <v>11503</v>
      </c>
      <c r="B5175" t="s">
        <v>11504</v>
      </c>
      <c r="C5175" t="s">
        <v>190</v>
      </c>
      <c r="D5175" t="s">
        <v>280</v>
      </c>
    </row>
    <row r="5176" spans="1:4" x14ac:dyDescent="0.2">
      <c r="A5176" t="s">
        <v>11505</v>
      </c>
      <c r="B5176" t="s">
        <v>11506</v>
      </c>
      <c r="C5176" t="s">
        <v>11507</v>
      </c>
      <c r="D5176" t="s">
        <v>187</v>
      </c>
    </row>
    <row r="5177" spans="1:4" x14ac:dyDescent="0.2">
      <c r="A5177" t="s">
        <v>11508</v>
      </c>
      <c r="B5177" t="s">
        <v>11509</v>
      </c>
      <c r="C5177" t="s">
        <v>11510</v>
      </c>
      <c r="D5177" t="s">
        <v>195</v>
      </c>
    </row>
    <row r="5178" spans="1:4" x14ac:dyDescent="0.2">
      <c r="A5178" t="s">
        <v>11511</v>
      </c>
      <c r="B5178" t="s">
        <v>11512</v>
      </c>
      <c r="C5178" t="s">
        <v>11513</v>
      </c>
      <c r="D5178" t="s">
        <v>195</v>
      </c>
    </row>
    <row r="5179" spans="1:4" x14ac:dyDescent="0.2">
      <c r="A5179" t="s">
        <v>11514</v>
      </c>
      <c r="B5179" t="s">
        <v>11515</v>
      </c>
      <c r="C5179" t="s">
        <v>190</v>
      </c>
      <c r="D5179" t="s">
        <v>191</v>
      </c>
    </row>
    <row r="5180" spans="1:4" x14ac:dyDescent="0.2">
      <c r="A5180" t="s">
        <v>11516</v>
      </c>
      <c r="B5180" t="s">
        <v>11517</v>
      </c>
      <c r="C5180" t="s">
        <v>190</v>
      </c>
      <c r="D5180" t="s">
        <v>191</v>
      </c>
    </row>
    <row r="5181" spans="1:4" x14ac:dyDescent="0.2">
      <c r="A5181" t="s">
        <v>11518</v>
      </c>
      <c r="B5181" t="s">
        <v>11519</v>
      </c>
      <c r="C5181" t="s">
        <v>190</v>
      </c>
      <c r="D5181" t="s">
        <v>280</v>
      </c>
    </row>
    <row r="5182" spans="1:4" x14ac:dyDescent="0.2">
      <c r="A5182" t="s">
        <v>11520</v>
      </c>
      <c r="B5182" t="s">
        <v>11521</v>
      </c>
      <c r="C5182" t="s">
        <v>190</v>
      </c>
      <c r="D5182" t="s">
        <v>191</v>
      </c>
    </row>
    <row r="5183" spans="1:4" x14ac:dyDescent="0.2">
      <c r="A5183" t="s">
        <v>11520</v>
      </c>
      <c r="B5183" t="s">
        <v>11522</v>
      </c>
      <c r="C5183" t="s">
        <v>190</v>
      </c>
      <c r="D5183" t="s">
        <v>191</v>
      </c>
    </row>
    <row r="5184" spans="1:4" x14ac:dyDescent="0.2">
      <c r="A5184" t="s">
        <v>11523</v>
      </c>
      <c r="B5184" t="s">
        <v>11524</v>
      </c>
      <c r="C5184" t="s">
        <v>190</v>
      </c>
      <c r="D5184" t="s">
        <v>191</v>
      </c>
    </row>
    <row r="5185" spans="1:4" x14ac:dyDescent="0.2">
      <c r="A5185" t="s">
        <v>11525</v>
      </c>
      <c r="B5185" t="s">
        <v>11526</v>
      </c>
      <c r="C5185" t="s">
        <v>190</v>
      </c>
      <c r="D5185" t="s">
        <v>191</v>
      </c>
    </row>
    <row r="5186" spans="1:4" x14ac:dyDescent="0.2">
      <c r="A5186" t="s">
        <v>11527</v>
      </c>
      <c r="B5186" t="s">
        <v>11528</v>
      </c>
      <c r="C5186" t="s">
        <v>190</v>
      </c>
      <c r="D5186" t="s">
        <v>191</v>
      </c>
    </row>
    <row r="5187" spans="1:4" x14ac:dyDescent="0.2">
      <c r="A5187" t="s">
        <v>11529</v>
      </c>
      <c r="B5187" t="s">
        <v>11530</v>
      </c>
      <c r="C5187" t="s">
        <v>190</v>
      </c>
      <c r="D5187" t="s">
        <v>191</v>
      </c>
    </row>
    <row r="5188" spans="1:4" x14ac:dyDescent="0.2">
      <c r="A5188" t="s">
        <v>11531</v>
      </c>
      <c r="B5188" t="s">
        <v>11532</v>
      </c>
      <c r="C5188" t="s">
        <v>11533</v>
      </c>
      <c r="D5188" t="s">
        <v>195</v>
      </c>
    </row>
    <row r="5189" spans="1:4" x14ac:dyDescent="0.2">
      <c r="A5189" t="s">
        <v>11534</v>
      </c>
      <c r="B5189" t="s">
        <v>11535</v>
      </c>
      <c r="C5189" t="s">
        <v>190</v>
      </c>
      <c r="D5189" t="s">
        <v>191</v>
      </c>
    </row>
    <row r="5190" spans="1:4" x14ac:dyDescent="0.2">
      <c r="A5190" t="s">
        <v>11534</v>
      </c>
      <c r="B5190" t="s">
        <v>11536</v>
      </c>
      <c r="C5190" t="s">
        <v>11537</v>
      </c>
      <c r="D5190" t="s">
        <v>195</v>
      </c>
    </row>
    <row r="5191" spans="1:4" x14ac:dyDescent="0.2">
      <c r="A5191" t="s">
        <v>11538</v>
      </c>
      <c r="B5191" t="s">
        <v>11539</v>
      </c>
      <c r="C5191" t="s">
        <v>190</v>
      </c>
      <c r="D5191" t="s">
        <v>191</v>
      </c>
    </row>
    <row r="5192" spans="1:4" x14ac:dyDescent="0.2">
      <c r="A5192" t="s">
        <v>11540</v>
      </c>
      <c r="B5192" t="s">
        <v>11541</v>
      </c>
      <c r="C5192" t="s">
        <v>190</v>
      </c>
      <c r="D5192" t="s">
        <v>191</v>
      </c>
    </row>
    <row r="5193" spans="1:4" x14ac:dyDescent="0.2">
      <c r="A5193" t="s">
        <v>11542</v>
      </c>
      <c r="B5193" t="s">
        <v>11543</v>
      </c>
      <c r="C5193" t="s">
        <v>190</v>
      </c>
      <c r="D5193" t="s">
        <v>191</v>
      </c>
    </row>
    <row r="5194" spans="1:4" x14ac:dyDescent="0.2">
      <c r="A5194" t="s">
        <v>11544</v>
      </c>
      <c r="B5194" t="s">
        <v>11545</v>
      </c>
      <c r="C5194" t="s">
        <v>190</v>
      </c>
      <c r="D5194" t="s">
        <v>191</v>
      </c>
    </row>
    <row r="5195" spans="1:4" x14ac:dyDescent="0.2">
      <c r="A5195" t="s">
        <v>11546</v>
      </c>
      <c r="B5195" t="s">
        <v>11547</v>
      </c>
      <c r="C5195" t="s">
        <v>190</v>
      </c>
      <c r="D5195" t="s">
        <v>191</v>
      </c>
    </row>
    <row r="5196" spans="1:4" x14ac:dyDescent="0.2">
      <c r="A5196" t="s">
        <v>11548</v>
      </c>
      <c r="B5196" t="s">
        <v>11549</v>
      </c>
      <c r="C5196" t="s">
        <v>190</v>
      </c>
      <c r="D5196" t="s">
        <v>191</v>
      </c>
    </row>
    <row r="5197" spans="1:4" x14ac:dyDescent="0.2">
      <c r="A5197" t="s">
        <v>11550</v>
      </c>
      <c r="B5197" t="s">
        <v>11551</v>
      </c>
      <c r="C5197" t="s">
        <v>11552</v>
      </c>
      <c r="D5197" t="s">
        <v>195</v>
      </c>
    </row>
    <row r="5198" spans="1:4" x14ac:dyDescent="0.2">
      <c r="A5198" t="s">
        <v>11553</v>
      </c>
      <c r="B5198" t="s">
        <v>11554</v>
      </c>
      <c r="C5198" t="s">
        <v>11555</v>
      </c>
      <c r="D5198" t="s">
        <v>195</v>
      </c>
    </row>
    <row r="5199" spans="1:4" x14ac:dyDescent="0.2">
      <c r="A5199" t="s">
        <v>11556</v>
      </c>
      <c r="B5199" t="s">
        <v>11557</v>
      </c>
      <c r="C5199" t="s">
        <v>11558</v>
      </c>
      <c r="D5199" t="s">
        <v>187</v>
      </c>
    </row>
    <row r="5200" spans="1:4" x14ac:dyDescent="0.2">
      <c r="A5200" t="s">
        <v>11559</v>
      </c>
      <c r="B5200" t="s">
        <v>11560</v>
      </c>
      <c r="C5200" t="s">
        <v>190</v>
      </c>
      <c r="D5200" t="s">
        <v>191</v>
      </c>
    </row>
    <row r="5201" spans="1:4" x14ac:dyDescent="0.2">
      <c r="A5201" t="s">
        <v>11561</v>
      </c>
      <c r="B5201" t="s">
        <v>11562</v>
      </c>
      <c r="C5201" t="s">
        <v>11563</v>
      </c>
      <c r="D5201" t="s">
        <v>195</v>
      </c>
    </row>
    <row r="5202" spans="1:4" x14ac:dyDescent="0.2">
      <c r="A5202" t="s">
        <v>11564</v>
      </c>
      <c r="B5202" t="s">
        <v>11565</v>
      </c>
      <c r="C5202" t="s">
        <v>190</v>
      </c>
      <c r="D5202" t="s">
        <v>191</v>
      </c>
    </row>
    <row r="5203" spans="1:4" x14ac:dyDescent="0.2">
      <c r="A5203" t="s">
        <v>11566</v>
      </c>
      <c r="B5203" t="s">
        <v>11567</v>
      </c>
      <c r="C5203" t="s">
        <v>190</v>
      </c>
      <c r="D5203" t="s">
        <v>191</v>
      </c>
    </row>
    <row r="5204" spans="1:4" x14ac:dyDescent="0.2">
      <c r="A5204" t="s">
        <v>11568</v>
      </c>
      <c r="B5204" t="s">
        <v>11569</v>
      </c>
      <c r="C5204" t="s">
        <v>190</v>
      </c>
      <c r="D5204" t="s">
        <v>191</v>
      </c>
    </row>
    <row r="5205" spans="1:4" x14ac:dyDescent="0.2">
      <c r="A5205" t="s">
        <v>11570</v>
      </c>
      <c r="B5205" t="s">
        <v>11571</v>
      </c>
      <c r="C5205" t="s">
        <v>190</v>
      </c>
      <c r="D5205" t="s">
        <v>191</v>
      </c>
    </row>
    <row r="5206" spans="1:4" x14ac:dyDescent="0.2">
      <c r="A5206" t="s">
        <v>11570</v>
      </c>
      <c r="B5206" t="s">
        <v>11572</v>
      </c>
      <c r="C5206" t="s">
        <v>11573</v>
      </c>
      <c r="D5206" t="s">
        <v>187</v>
      </c>
    </row>
    <row r="5207" spans="1:4" x14ac:dyDescent="0.2">
      <c r="A5207" t="s">
        <v>11574</v>
      </c>
      <c r="B5207" t="s">
        <v>11575</v>
      </c>
      <c r="C5207" t="s">
        <v>11576</v>
      </c>
      <c r="D5207" t="s">
        <v>187</v>
      </c>
    </row>
    <row r="5208" spans="1:4" x14ac:dyDescent="0.2">
      <c r="A5208" t="s">
        <v>11577</v>
      </c>
      <c r="B5208" t="s">
        <v>11578</v>
      </c>
      <c r="C5208" t="s">
        <v>190</v>
      </c>
      <c r="D5208" t="s">
        <v>191</v>
      </c>
    </row>
    <row r="5209" spans="1:4" x14ac:dyDescent="0.2">
      <c r="A5209" t="s">
        <v>11579</v>
      </c>
      <c r="B5209" t="s">
        <v>11580</v>
      </c>
      <c r="C5209" t="s">
        <v>11581</v>
      </c>
      <c r="D5209" t="s">
        <v>195</v>
      </c>
    </row>
    <row r="5210" spans="1:4" x14ac:dyDescent="0.2">
      <c r="A5210" t="s">
        <v>11582</v>
      </c>
      <c r="B5210" t="s">
        <v>11583</v>
      </c>
      <c r="C5210" t="s">
        <v>190</v>
      </c>
      <c r="D5210" t="s">
        <v>191</v>
      </c>
    </row>
    <row r="5211" spans="1:4" x14ac:dyDescent="0.2">
      <c r="A5211" t="s">
        <v>11584</v>
      </c>
      <c r="B5211" t="s">
        <v>11585</v>
      </c>
      <c r="C5211" t="s">
        <v>190</v>
      </c>
      <c r="D5211" t="s">
        <v>191</v>
      </c>
    </row>
    <row r="5212" spans="1:4" x14ac:dyDescent="0.2">
      <c r="A5212" t="s">
        <v>11586</v>
      </c>
      <c r="B5212" t="s">
        <v>11587</v>
      </c>
      <c r="C5212" t="s">
        <v>190</v>
      </c>
      <c r="D5212" t="s">
        <v>191</v>
      </c>
    </row>
    <row r="5213" spans="1:4" x14ac:dyDescent="0.2">
      <c r="A5213" t="s">
        <v>11588</v>
      </c>
      <c r="B5213" t="s">
        <v>11589</v>
      </c>
      <c r="C5213" t="s">
        <v>11590</v>
      </c>
      <c r="D5213" t="s">
        <v>187</v>
      </c>
    </row>
    <row r="5214" spans="1:4" x14ac:dyDescent="0.2">
      <c r="A5214" t="s">
        <v>11591</v>
      </c>
      <c r="B5214" t="s">
        <v>11589</v>
      </c>
      <c r="C5214" t="s">
        <v>11590</v>
      </c>
      <c r="D5214" t="s">
        <v>187</v>
      </c>
    </row>
    <row r="5215" spans="1:4" x14ac:dyDescent="0.2">
      <c r="A5215" t="s">
        <v>11591</v>
      </c>
      <c r="B5215" t="s">
        <v>11592</v>
      </c>
      <c r="C5215" t="s">
        <v>11593</v>
      </c>
      <c r="D5215" t="s">
        <v>187</v>
      </c>
    </row>
    <row r="5216" spans="1:4" x14ac:dyDescent="0.2">
      <c r="A5216" t="s">
        <v>11594</v>
      </c>
      <c r="B5216" t="s">
        <v>11595</v>
      </c>
      <c r="C5216" t="s">
        <v>11596</v>
      </c>
      <c r="D5216" t="s">
        <v>195</v>
      </c>
    </row>
    <row r="5217" spans="1:4" x14ac:dyDescent="0.2">
      <c r="A5217" t="s">
        <v>11597</v>
      </c>
      <c r="B5217" t="s">
        <v>11598</v>
      </c>
      <c r="C5217" t="s">
        <v>190</v>
      </c>
      <c r="D5217" t="s">
        <v>191</v>
      </c>
    </row>
    <row r="5218" spans="1:4" x14ac:dyDescent="0.2">
      <c r="A5218" t="s">
        <v>11599</v>
      </c>
      <c r="B5218" t="s">
        <v>11600</v>
      </c>
      <c r="C5218" t="s">
        <v>11601</v>
      </c>
      <c r="D5218" t="s">
        <v>195</v>
      </c>
    </row>
    <row r="5219" spans="1:4" x14ac:dyDescent="0.2">
      <c r="A5219" t="s">
        <v>11602</v>
      </c>
      <c r="B5219" t="s">
        <v>11603</v>
      </c>
      <c r="C5219" t="s">
        <v>11604</v>
      </c>
      <c r="D5219" t="s">
        <v>187</v>
      </c>
    </row>
    <row r="5220" spans="1:4" x14ac:dyDescent="0.2">
      <c r="A5220" t="s">
        <v>11605</v>
      </c>
      <c r="B5220" t="s">
        <v>11606</v>
      </c>
      <c r="C5220" t="s">
        <v>190</v>
      </c>
      <c r="D5220" t="s">
        <v>191</v>
      </c>
    </row>
    <row r="5221" spans="1:4" x14ac:dyDescent="0.2">
      <c r="A5221" t="s">
        <v>11607</v>
      </c>
      <c r="B5221" t="s">
        <v>11608</v>
      </c>
      <c r="C5221" t="s">
        <v>190</v>
      </c>
      <c r="D5221" t="s">
        <v>191</v>
      </c>
    </row>
    <row r="5222" spans="1:4" x14ac:dyDescent="0.2">
      <c r="A5222" t="s">
        <v>11609</v>
      </c>
      <c r="B5222" t="s">
        <v>11610</v>
      </c>
      <c r="C5222" t="s">
        <v>190</v>
      </c>
      <c r="D5222" t="s">
        <v>191</v>
      </c>
    </row>
    <row r="5223" spans="1:4" x14ac:dyDescent="0.2">
      <c r="A5223" t="s">
        <v>11611</v>
      </c>
      <c r="B5223" t="s">
        <v>11612</v>
      </c>
      <c r="C5223" t="s">
        <v>190</v>
      </c>
      <c r="D5223" t="s">
        <v>191</v>
      </c>
    </row>
    <row r="5224" spans="1:4" x14ac:dyDescent="0.2">
      <c r="A5224" t="s">
        <v>11613</v>
      </c>
      <c r="B5224" t="s">
        <v>11614</v>
      </c>
      <c r="C5224" t="s">
        <v>11615</v>
      </c>
      <c r="D5224" t="s">
        <v>187</v>
      </c>
    </row>
    <row r="5225" spans="1:4" x14ac:dyDescent="0.2">
      <c r="A5225" t="s">
        <v>11616</v>
      </c>
      <c r="B5225" t="s">
        <v>11617</v>
      </c>
      <c r="C5225" t="s">
        <v>190</v>
      </c>
      <c r="D5225" t="s">
        <v>191</v>
      </c>
    </row>
    <row r="5226" spans="1:4" x14ac:dyDescent="0.2">
      <c r="A5226" t="s">
        <v>11618</v>
      </c>
      <c r="B5226" t="s">
        <v>11619</v>
      </c>
      <c r="C5226" t="s">
        <v>190</v>
      </c>
      <c r="D5226" t="s">
        <v>191</v>
      </c>
    </row>
    <row r="5227" spans="1:4" x14ac:dyDescent="0.2">
      <c r="A5227" t="s">
        <v>11620</v>
      </c>
      <c r="B5227" t="s">
        <v>11621</v>
      </c>
      <c r="C5227" t="s">
        <v>190</v>
      </c>
      <c r="D5227" t="s">
        <v>191</v>
      </c>
    </row>
    <row r="5228" spans="1:4" x14ac:dyDescent="0.2">
      <c r="A5228" t="s">
        <v>11622</v>
      </c>
      <c r="B5228" t="s">
        <v>11623</v>
      </c>
      <c r="C5228" t="s">
        <v>190</v>
      </c>
      <c r="D5228" t="s">
        <v>191</v>
      </c>
    </row>
    <row r="5229" spans="1:4" x14ac:dyDescent="0.2">
      <c r="A5229" t="s">
        <v>11624</v>
      </c>
      <c r="B5229" t="s">
        <v>11625</v>
      </c>
      <c r="C5229" t="s">
        <v>190</v>
      </c>
      <c r="D5229" t="s">
        <v>191</v>
      </c>
    </row>
    <row r="5230" spans="1:4" x14ac:dyDescent="0.2">
      <c r="A5230" t="s">
        <v>11626</v>
      </c>
      <c r="B5230" t="s">
        <v>11627</v>
      </c>
      <c r="C5230" t="s">
        <v>190</v>
      </c>
      <c r="D5230" t="s">
        <v>191</v>
      </c>
    </row>
    <row r="5231" spans="1:4" x14ac:dyDescent="0.2">
      <c r="A5231" t="s">
        <v>11628</v>
      </c>
      <c r="B5231" t="s">
        <v>11629</v>
      </c>
      <c r="C5231" t="s">
        <v>190</v>
      </c>
      <c r="D5231" t="s">
        <v>191</v>
      </c>
    </row>
    <row r="5232" spans="1:4" x14ac:dyDescent="0.2">
      <c r="A5232" t="s">
        <v>11630</v>
      </c>
      <c r="B5232" t="s">
        <v>11631</v>
      </c>
      <c r="C5232" t="s">
        <v>190</v>
      </c>
      <c r="D5232" t="s">
        <v>191</v>
      </c>
    </row>
    <row r="5233" spans="1:4" x14ac:dyDescent="0.2">
      <c r="A5233" t="s">
        <v>11632</v>
      </c>
      <c r="B5233" t="s">
        <v>11633</v>
      </c>
      <c r="C5233" t="s">
        <v>190</v>
      </c>
      <c r="D5233" t="s">
        <v>191</v>
      </c>
    </row>
    <row r="5234" spans="1:4" x14ac:dyDescent="0.2">
      <c r="A5234" t="s">
        <v>11634</v>
      </c>
      <c r="B5234" t="s">
        <v>11635</v>
      </c>
      <c r="C5234" t="s">
        <v>190</v>
      </c>
      <c r="D5234" t="s">
        <v>191</v>
      </c>
    </row>
    <row r="5235" spans="1:4" x14ac:dyDescent="0.2">
      <c r="A5235" t="s">
        <v>11636</v>
      </c>
      <c r="B5235" t="s">
        <v>11637</v>
      </c>
      <c r="C5235" t="s">
        <v>190</v>
      </c>
      <c r="D5235" t="s">
        <v>191</v>
      </c>
    </row>
    <row r="5236" spans="1:4" x14ac:dyDescent="0.2">
      <c r="A5236" t="s">
        <v>11638</v>
      </c>
      <c r="B5236" t="s">
        <v>11639</v>
      </c>
      <c r="C5236" t="s">
        <v>190</v>
      </c>
      <c r="D5236" t="s">
        <v>191</v>
      </c>
    </row>
    <row r="5237" spans="1:4" x14ac:dyDescent="0.2">
      <c r="A5237" t="s">
        <v>11640</v>
      </c>
      <c r="B5237" t="s">
        <v>11641</v>
      </c>
      <c r="C5237" t="s">
        <v>11642</v>
      </c>
      <c r="D5237" t="s">
        <v>195</v>
      </c>
    </row>
    <row r="5238" spans="1:4" x14ac:dyDescent="0.2">
      <c r="A5238" t="s">
        <v>11643</v>
      </c>
      <c r="B5238" t="s">
        <v>11644</v>
      </c>
      <c r="C5238" t="s">
        <v>11645</v>
      </c>
      <c r="D5238" t="s">
        <v>195</v>
      </c>
    </row>
    <row r="5239" spans="1:4" x14ac:dyDescent="0.2">
      <c r="A5239" t="s">
        <v>11646</v>
      </c>
      <c r="B5239" t="s">
        <v>11647</v>
      </c>
      <c r="C5239" t="s">
        <v>190</v>
      </c>
      <c r="D5239" t="s">
        <v>11648</v>
      </c>
    </row>
    <row r="5240" spans="1:4" x14ac:dyDescent="0.2">
      <c r="A5240" t="s">
        <v>11649</v>
      </c>
      <c r="B5240" t="s">
        <v>11650</v>
      </c>
      <c r="C5240" t="s">
        <v>11651</v>
      </c>
      <c r="D5240" t="s">
        <v>187</v>
      </c>
    </row>
    <row r="5241" spans="1:4" x14ac:dyDescent="0.2">
      <c r="A5241" t="s">
        <v>11652</v>
      </c>
      <c r="B5241" t="s">
        <v>11653</v>
      </c>
      <c r="C5241" t="s">
        <v>190</v>
      </c>
      <c r="D5241" t="s">
        <v>191</v>
      </c>
    </row>
    <row r="5242" spans="1:4" x14ac:dyDescent="0.2">
      <c r="A5242" t="s">
        <v>11654</v>
      </c>
      <c r="B5242" t="s">
        <v>11655</v>
      </c>
      <c r="C5242" t="s">
        <v>11656</v>
      </c>
      <c r="D5242" t="s">
        <v>195</v>
      </c>
    </row>
    <row r="5243" spans="1:4" x14ac:dyDescent="0.2">
      <c r="A5243" t="s">
        <v>11657</v>
      </c>
      <c r="B5243" t="s">
        <v>11658</v>
      </c>
      <c r="C5243" t="s">
        <v>190</v>
      </c>
      <c r="D5243" t="s">
        <v>191</v>
      </c>
    </row>
    <row r="5244" spans="1:4" x14ac:dyDescent="0.2">
      <c r="A5244" t="s">
        <v>11659</v>
      </c>
      <c r="B5244" t="s">
        <v>11660</v>
      </c>
      <c r="C5244" t="s">
        <v>190</v>
      </c>
      <c r="D5244" t="s">
        <v>191</v>
      </c>
    </row>
    <row r="5245" spans="1:4" x14ac:dyDescent="0.2">
      <c r="A5245" t="s">
        <v>11661</v>
      </c>
      <c r="B5245" t="s">
        <v>11662</v>
      </c>
      <c r="C5245" t="s">
        <v>11663</v>
      </c>
      <c r="D5245" t="s">
        <v>195</v>
      </c>
    </row>
    <row r="5246" spans="1:4" x14ac:dyDescent="0.2">
      <c r="A5246" t="s">
        <v>11664</v>
      </c>
      <c r="B5246" t="s">
        <v>11665</v>
      </c>
      <c r="C5246" t="s">
        <v>11666</v>
      </c>
      <c r="D5246" t="s">
        <v>195</v>
      </c>
    </row>
    <row r="5247" spans="1:4" x14ac:dyDescent="0.2">
      <c r="A5247" t="s">
        <v>11667</v>
      </c>
      <c r="B5247" t="s">
        <v>11668</v>
      </c>
      <c r="C5247" t="s">
        <v>190</v>
      </c>
      <c r="D5247" t="s">
        <v>280</v>
      </c>
    </row>
    <row r="5248" spans="1:4" x14ac:dyDescent="0.2">
      <c r="A5248" t="s">
        <v>11669</v>
      </c>
      <c r="B5248" t="s">
        <v>11670</v>
      </c>
      <c r="C5248" t="s">
        <v>11671</v>
      </c>
      <c r="D5248" t="s">
        <v>195</v>
      </c>
    </row>
    <row r="5249" spans="1:4" x14ac:dyDescent="0.2">
      <c r="A5249" t="s">
        <v>11672</v>
      </c>
      <c r="B5249" t="s">
        <v>11673</v>
      </c>
      <c r="C5249" t="s">
        <v>11674</v>
      </c>
      <c r="D5249" t="s">
        <v>187</v>
      </c>
    </row>
    <row r="5250" spans="1:4" x14ac:dyDescent="0.2">
      <c r="A5250" t="s">
        <v>11675</v>
      </c>
      <c r="B5250" t="s">
        <v>11676</v>
      </c>
      <c r="C5250" t="s">
        <v>11677</v>
      </c>
      <c r="D5250" t="s">
        <v>195</v>
      </c>
    </row>
    <row r="5251" spans="1:4" x14ac:dyDescent="0.2">
      <c r="A5251" t="s">
        <v>11678</v>
      </c>
      <c r="B5251" t="s">
        <v>11679</v>
      </c>
      <c r="C5251" t="s">
        <v>190</v>
      </c>
      <c r="D5251" t="s">
        <v>191</v>
      </c>
    </row>
    <row r="5252" spans="1:4" x14ac:dyDescent="0.2">
      <c r="A5252" t="s">
        <v>11680</v>
      </c>
      <c r="B5252" t="s">
        <v>11681</v>
      </c>
      <c r="C5252" t="s">
        <v>190</v>
      </c>
      <c r="D5252" t="s">
        <v>191</v>
      </c>
    </row>
    <row r="5253" spans="1:4" x14ac:dyDescent="0.2">
      <c r="A5253" t="s">
        <v>11682</v>
      </c>
      <c r="B5253" t="s">
        <v>11683</v>
      </c>
      <c r="C5253" t="s">
        <v>11684</v>
      </c>
      <c r="D5253" t="s">
        <v>187</v>
      </c>
    </row>
    <row r="5254" spans="1:4" x14ac:dyDescent="0.2">
      <c r="A5254" t="s">
        <v>11685</v>
      </c>
      <c r="B5254" t="s">
        <v>11686</v>
      </c>
      <c r="C5254" t="s">
        <v>190</v>
      </c>
      <c r="D5254" t="s">
        <v>191</v>
      </c>
    </row>
    <row r="5255" spans="1:4" x14ac:dyDescent="0.2">
      <c r="A5255" t="s">
        <v>11687</v>
      </c>
      <c r="B5255" t="s">
        <v>11688</v>
      </c>
      <c r="C5255" t="s">
        <v>11689</v>
      </c>
      <c r="D5255" t="s">
        <v>187</v>
      </c>
    </row>
    <row r="5256" spans="1:4" x14ac:dyDescent="0.2">
      <c r="A5256" t="s">
        <v>11690</v>
      </c>
      <c r="B5256" t="s">
        <v>11691</v>
      </c>
      <c r="C5256" t="s">
        <v>190</v>
      </c>
      <c r="D5256" t="s">
        <v>191</v>
      </c>
    </row>
    <row r="5257" spans="1:4" x14ac:dyDescent="0.2">
      <c r="A5257" t="s">
        <v>11692</v>
      </c>
      <c r="B5257" t="s">
        <v>11693</v>
      </c>
      <c r="C5257" t="s">
        <v>190</v>
      </c>
      <c r="D5257" t="s">
        <v>191</v>
      </c>
    </row>
    <row r="5258" spans="1:4" x14ac:dyDescent="0.2">
      <c r="A5258" t="s">
        <v>11694</v>
      </c>
      <c r="B5258" t="s">
        <v>11695</v>
      </c>
      <c r="C5258" t="s">
        <v>190</v>
      </c>
      <c r="D5258" t="s">
        <v>191</v>
      </c>
    </row>
    <row r="5259" spans="1:4" x14ac:dyDescent="0.2">
      <c r="A5259" t="s">
        <v>11696</v>
      </c>
      <c r="B5259" t="s">
        <v>11697</v>
      </c>
      <c r="C5259" t="s">
        <v>11698</v>
      </c>
      <c r="D5259" t="s">
        <v>195</v>
      </c>
    </row>
    <row r="5260" spans="1:4" x14ac:dyDescent="0.2">
      <c r="A5260" t="s">
        <v>11699</v>
      </c>
      <c r="B5260" t="s">
        <v>11700</v>
      </c>
      <c r="C5260" t="s">
        <v>190</v>
      </c>
      <c r="D5260" t="s">
        <v>191</v>
      </c>
    </row>
    <row r="5261" spans="1:4" x14ac:dyDescent="0.2">
      <c r="A5261" t="s">
        <v>11701</v>
      </c>
      <c r="B5261" t="s">
        <v>11702</v>
      </c>
      <c r="C5261" t="s">
        <v>190</v>
      </c>
      <c r="D5261" t="s">
        <v>191</v>
      </c>
    </row>
    <row r="5262" spans="1:4" x14ac:dyDescent="0.2">
      <c r="A5262" t="s">
        <v>11701</v>
      </c>
      <c r="B5262" t="s">
        <v>11703</v>
      </c>
      <c r="C5262" t="s">
        <v>190</v>
      </c>
      <c r="D5262" t="s">
        <v>191</v>
      </c>
    </row>
    <row r="5263" spans="1:4" x14ac:dyDescent="0.2">
      <c r="A5263" t="s">
        <v>11704</v>
      </c>
      <c r="B5263" t="s">
        <v>11705</v>
      </c>
      <c r="C5263" t="s">
        <v>190</v>
      </c>
      <c r="D5263" t="s">
        <v>191</v>
      </c>
    </row>
    <row r="5264" spans="1:4" x14ac:dyDescent="0.2">
      <c r="A5264" t="s">
        <v>11706</v>
      </c>
      <c r="B5264" t="s">
        <v>11707</v>
      </c>
      <c r="C5264" t="s">
        <v>11708</v>
      </c>
      <c r="D5264" t="s">
        <v>195</v>
      </c>
    </row>
    <row r="5265" spans="1:4" x14ac:dyDescent="0.2">
      <c r="A5265" t="s">
        <v>11709</v>
      </c>
      <c r="B5265" t="s">
        <v>11710</v>
      </c>
      <c r="C5265" t="s">
        <v>11711</v>
      </c>
      <c r="D5265" t="s">
        <v>187</v>
      </c>
    </row>
    <row r="5266" spans="1:4" x14ac:dyDescent="0.2">
      <c r="A5266" t="s">
        <v>11712</v>
      </c>
      <c r="B5266" t="s">
        <v>11713</v>
      </c>
      <c r="C5266" t="s">
        <v>11714</v>
      </c>
      <c r="D5266" t="s">
        <v>187</v>
      </c>
    </row>
    <row r="5267" spans="1:4" x14ac:dyDescent="0.2">
      <c r="A5267" t="s">
        <v>11715</v>
      </c>
      <c r="B5267" t="s">
        <v>11716</v>
      </c>
      <c r="C5267" t="s">
        <v>11717</v>
      </c>
      <c r="D5267" t="s">
        <v>187</v>
      </c>
    </row>
    <row r="5268" spans="1:4" x14ac:dyDescent="0.2">
      <c r="A5268" t="s">
        <v>11718</v>
      </c>
      <c r="B5268" t="s">
        <v>11719</v>
      </c>
      <c r="C5268" t="s">
        <v>190</v>
      </c>
      <c r="D5268" t="s">
        <v>191</v>
      </c>
    </row>
    <row r="5269" spans="1:4" x14ac:dyDescent="0.2">
      <c r="A5269" t="s">
        <v>11720</v>
      </c>
      <c r="B5269" t="s">
        <v>11721</v>
      </c>
      <c r="C5269" t="s">
        <v>11722</v>
      </c>
      <c r="D5269" t="s">
        <v>187</v>
      </c>
    </row>
    <row r="5270" spans="1:4" x14ac:dyDescent="0.2">
      <c r="A5270" t="s">
        <v>11723</v>
      </c>
      <c r="B5270" t="s">
        <v>11724</v>
      </c>
      <c r="C5270" t="s">
        <v>190</v>
      </c>
      <c r="D5270" t="s">
        <v>191</v>
      </c>
    </row>
    <row r="5271" spans="1:4" x14ac:dyDescent="0.2">
      <c r="A5271" t="s">
        <v>11725</v>
      </c>
      <c r="B5271" t="s">
        <v>11726</v>
      </c>
      <c r="C5271" t="s">
        <v>11727</v>
      </c>
      <c r="D5271" t="s">
        <v>187</v>
      </c>
    </row>
    <row r="5272" spans="1:4" x14ac:dyDescent="0.2">
      <c r="A5272" t="s">
        <v>11728</v>
      </c>
      <c r="B5272" t="s">
        <v>11729</v>
      </c>
      <c r="C5272" t="s">
        <v>190</v>
      </c>
      <c r="D5272" t="s">
        <v>191</v>
      </c>
    </row>
    <row r="5273" spans="1:4" x14ac:dyDescent="0.2">
      <c r="A5273" t="s">
        <v>11730</v>
      </c>
      <c r="B5273" t="s">
        <v>11731</v>
      </c>
      <c r="C5273" t="s">
        <v>190</v>
      </c>
      <c r="D5273" t="s">
        <v>191</v>
      </c>
    </row>
    <row r="5274" spans="1:4" x14ac:dyDescent="0.2">
      <c r="A5274" t="s">
        <v>11732</v>
      </c>
      <c r="B5274" t="s">
        <v>11733</v>
      </c>
      <c r="C5274" t="s">
        <v>190</v>
      </c>
      <c r="D5274" t="s">
        <v>191</v>
      </c>
    </row>
    <row r="5275" spans="1:4" x14ac:dyDescent="0.2">
      <c r="A5275" t="s">
        <v>11734</v>
      </c>
      <c r="B5275" t="s">
        <v>11735</v>
      </c>
      <c r="C5275" t="s">
        <v>11736</v>
      </c>
      <c r="D5275" t="s">
        <v>187</v>
      </c>
    </row>
    <row r="5276" spans="1:4" x14ac:dyDescent="0.2">
      <c r="A5276" t="s">
        <v>11737</v>
      </c>
      <c r="B5276" t="s">
        <v>11738</v>
      </c>
      <c r="C5276" t="s">
        <v>11739</v>
      </c>
      <c r="D5276" t="s">
        <v>187</v>
      </c>
    </row>
    <row r="5277" spans="1:4" x14ac:dyDescent="0.2">
      <c r="A5277" t="s">
        <v>11740</v>
      </c>
      <c r="B5277" t="s">
        <v>11741</v>
      </c>
      <c r="C5277" t="s">
        <v>11742</v>
      </c>
      <c r="D5277" t="s">
        <v>195</v>
      </c>
    </row>
    <row r="5278" spans="1:4" x14ac:dyDescent="0.2">
      <c r="A5278" t="s">
        <v>11743</v>
      </c>
      <c r="B5278" t="s">
        <v>11744</v>
      </c>
      <c r="C5278" t="s">
        <v>11745</v>
      </c>
      <c r="D5278" t="s">
        <v>195</v>
      </c>
    </row>
    <row r="5279" spans="1:4" x14ac:dyDescent="0.2">
      <c r="A5279" t="s">
        <v>11746</v>
      </c>
      <c r="B5279" t="s">
        <v>11747</v>
      </c>
      <c r="C5279" t="s">
        <v>190</v>
      </c>
      <c r="D5279" t="s">
        <v>191</v>
      </c>
    </row>
    <row r="5280" spans="1:4" x14ac:dyDescent="0.2">
      <c r="A5280" t="s">
        <v>11748</v>
      </c>
      <c r="B5280" t="s">
        <v>11749</v>
      </c>
      <c r="C5280" t="s">
        <v>190</v>
      </c>
      <c r="D5280" t="s">
        <v>191</v>
      </c>
    </row>
    <row r="5281" spans="1:4" x14ac:dyDescent="0.2">
      <c r="A5281" t="s">
        <v>11750</v>
      </c>
      <c r="B5281" t="s">
        <v>11751</v>
      </c>
      <c r="C5281" t="s">
        <v>11752</v>
      </c>
      <c r="D5281" t="s">
        <v>195</v>
      </c>
    </row>
    <row r="5282" spans="1:4" x14ac:dyDescent="0.2">
      <c r="A5282" t="s">
        <v>11753</v>
      </c>
      <c r="B5282" t="s">
        <v>11754</v>
      </c>
      <c r="C5282" t="s">
        <v>190</v>
      </c>
      <c r="D5282" t="s">
        <v>191</v>
      </c>
    </row>
    <row r="5283" spans="1:4" x14ac:dyDescent="0.2">
      <c r="A5283" t="s">
        <v>11755</v>
      </c>
      <c r="B5283" t="s">
        <v>11756</v>
      </c>
      <c r="C5283" t="s">
        <v>190</v>
      </c>
      <c r="D5283" t="s">
        <v>280</v>
      </c>
    </row>
    <row r="5284" spans="1:4" x14ac:dyDescent="0.2">
      <c r="A5284" t="s">
        <v>11757</v>
      </c>
      <c r="B5284" t="s">
        <v>11758</v>
      </c>
      <c r="C5284" t="s">
        <v>11759</v>
      </c>
      <c r="D5284" t="s">
        <v>187</v>
      </c>
    </row>
    <row r="5285" spans="1:4" x14ac:dyDescent="0.2">
      <c r="A5285" t="s">
        <v>11760</v>
      </c>
      <c r="B5285" t="s">
        <v>11761</v>
      </c>
      <c r="C5285" t="s">
        <v>190</v>
      </c>
      <c r="D5285" t="s">
        <v>191</v>
      </c>
    </row>
    <row r="5286" spans="1:4" x14ac:dyDescent="0.2">
      <c r="A5286" t="s">
        <v>11762</v>
      </c>
      <c r="B5286" t="s">
        <v>11763</v>
      </c>
      <c r="C5286" t="s">
        <v>190</v>
      </c>
      <c r="D5286" t="s">
        <v>191</v>
      </c>
    </row>
    <row r="5287" spans="1:4" x14ac:dyDescent="0.2">
      <c r="A5287" t="s">
        <v>11764</v>
      </c>
      <c r="B5287" t="s">
        <v>11765</v>
      </c>
      <c r="C5287" t="s">
        <v>11766</v>
      </c>
      <c r="D5287" t="s">
        <v>195</v>
      </c>
    </row>
    <row r="5288" spans="1:4" x14ac:dyDescent="0.2">
      <c r="A5288" t="s">
        <v>11767</v>
      </c>
      <c r="B5288" t="s">
        <v>11768</v>
      </c>
      <c r="C5288" t="s">
        <v>190</v>
      </c>
      <c r="D5288" t="s">
        <v>191</v>
      </c>
    </row>
    <row r="5289" spans="1:4" x14ac:dyDescent="0.2">
      <c r="A5289" t="s">
        <v>11767</v>
      </c>
      <c r="B5289" t="s">
        <v>11769</v>
      </c>
      <c r="C5289" t="s">
        <v>190</v>
      </c>
      <c r="D5289" t="s">
        <v>191</v>
      </c>
    </row>
    <row r="5290" spans="1:4" x14ac:dyDescent="0.2">
      <c r="A5290" t="s">
        <v>11770</v>
      </c>
      <c r="B5290" t="s">
        <v>11771</v>
      </c>
      <c r="C5290" t="s">
        <v>11772</v>
      </c>
      <c r="D5290" t="s">
        <v>195</v>
      </c>
    </row>
    <row r="5291" spans="1:4" x14ac:dyDescent="0.2">
      <c r="A5291" t="s">
        <v>11773</v>
      </c>
      <c r="B5291" t="s">
        <v>11774</v>
      </c>
      <c r="C5291" t="s">
        <v>11775</v>
      </c>
      <c r="D5291" t="s">
        <v>187</v>
      </c>
    </row>
    <row r="5292" spans="1:4" x14ac:dyDescent="0.2">
      <c r="A5292" t="s">
        <v>11776</v>
      </c>
      <c r="B5292" t="s">
        <v>11777</v>
      </c>
      <c r="C5292" t="s">
        <v>11778</v>
      </c>
      <c r="D5292" t="s">
        <v>195</v>
      </c>
    </row>
    <row r="5293" spans="1:4" x14ac:dyDescent="0.2">
      <c r="A5293" t="s">
        <v>11779</v>
      </c>
      <c r="B5293" t="s">
        <v>11780</v>
      </c>
      <c r="C5293" t="s">
        <v>190</v>
      </c>
      <c r="D5293" t="s">
        <v>191</v>
      </c>
    </row>
    <row r="5294" spans="1:4" x14ac:dyDescent="0.2">
      <c r="A5294" t="s">
        <v>11779</v>
      </c>
      <c r="B5294" t="s">
        <v>11781</v>
      </c>
      <c r="C5294" t="s">
        <v>190</v>
      </c>
      <c r="D5294" t="s">
        <v>11782</v>
      </c>
    </row>
    <row r="5295" spans="1:4" x14ac:dyDescent="0.2">
      <c r="A5295" t="s">
        <v>11783</v>
      </c>
      <c r="B5295" t="s">
        <v>11784</v>
      </c>
      <c r="C5295" t="s">
        <v>190</v>
      </c>
      <c r="D5295" t="s">
        <v>191</v>
      </c>
    </row>
    <row r="5296" spans="1:4" x14ac:dyDescent="0.2">
      <c r="A5296" t="s">
        <v>11785</v>
      </c>
      <c r="B5296" t="s">
        <v>11786</v>
      </c>
      <c r="C5296" t="s">
        <v>11787</v>
      </c>
      <c r="D5296" t="s">
        <v>195</v>
      </c>
    </row>
    <row r="5297" spans="1:4" x14ac:dyDescent="0.2">
      <c r="A5297" t="s">
        <v>11788</v>
      </c>
      <c r="B5297" t="s">
        <v>11789</v>
      </c>
      <c r="C5297" t="s">
        <v>190</v>
      </c>
      <c r="D5297" t="s">
        <v>191</v>
      </c>
    </row>
    <row r="5298" spans="1:4" x14ac:dyDescent="0.2">
      <c r="A5298" t="s">
        <v>11790</v>
      </c>
      <c r="B5298" t="s">
        <v>11791</v>
      </c>
      <c r="C5298" t="s">
        <v>190</v>
      </c>
      <c r="D5298" t="s">
        <v>191</v>
      </c>
    </row>
    <row r="5299" spans="1:4" x14ac:dyDescent="0.2">
      <c r="A5299" t="s">
        <v>11792</v>
      </c>
      <c r="B5299" t="s">
        <v>11793</v>
      </c>
      <c r="C5299" t="s">
        <v>190</v>
      </c>
      <c r="D5299" t="s">
        <v>191</v>
      </c>
    </row>
    <row r="5300" spans="1:4" x14ac:dyDescent="0.2">
      <c r="A5300" t="s">
        <v>11794</v>
      </c>
      <c r="B5300" t="s">
        <v>11795</v>
      </c>
      <c r="C5300" t="s">
        <v>190</v>
      </c>
      <c r="D5300" t="s">
        <v>191</v>
      </c>
    </row>
    <row r="5301" spans="1:4" x14ac:dyDescent="0.2">
      <c r="A5301" t="s">
        <v>11796</v>
      </c>
      <c r="B5301" t="s">
        <v>11797</v>
      </c>
      <c r="C5301" t="s">
        <v>11798</v>
      </c>
      <c r="D5301" t="s">
        <v>195</v>
      </c>
    </row>
    <row r="5302" spans="1:4" x14ac:dyDescent="0.2">
      <c r="A5302" t="s">
        <v>11799</v>
      </c>
      <c r="B5302" t="s">
        <v>11800</v>
      </c>
      <c r="C5302" t="s">
        <v>190</v>
      </c>
      <c r="D5302" t="s">
        <v>191</v>
      </c>
    </row>
    <row r="5303" spans="1:4" x14ac:dyDescent="0.2">
      <c r="A5303" t="s">
        <v>11801</v>
      </c>
      <c r="B5303" t="s">
        <v>11802</v>
      </c>
      <c r="C5303" t="s">
        <v>190</v>
      </c>
      <c r="D5303" t="s">
        <v>191</v>
      </c>
    </row>
    <row r="5304" spans="1:4" x14ac:dyDescent="0.2">
      <c r="A5304" t="s">
        <v>11803</v>
      </c>
      <c r="B5304" t="s">
        <v>11804</v>
      </c>
      <c r="C5304" t="s">
        <v>11805</v>
      </c>
      <c r="D5304" t="s">
        <v>195</v>
      </c>
    </row>
    <row r="5305" spans="1:4" x14ac:dyDescent="0.2">
      <c r="A5305" t="s">
        <v>11806</v>
      </c>
      <c r="B5305" t="s">
        <v>11807</v>
      </c>
      <c r="C5305" t="s">
        <v>190</v>
      </c>
      <c r="D5305" t="s">
        <v>191</v>
      </c>
    </row>
    <row r="5306" spans="1:4" x14ac:dyDescent="0.2">
      <c r="A5306" t="s">
        <v>11808</v>
      </c>
      <c r="B5306" t="s">
        <v>11809</v>
      </c>
      <c r="C5306" t="s">
        <v>190</v>
      </c>
      <c r="D5306" t="s">
        <v>191</v>
      </c>
    </row>
    <row r="5307" spans="1:4" x14ac:dyDescent="0.2">
      <c r="A5307" t="s">
        <v>11810</v>
      </c>
      <c r="B5307" t="s">
        <v>11811</v>
      </c>
      <c r="C5307" t="s">
        <v>190</v>
      </c>
      <c r="D5307" t="s">
        <v>191</v>
      </c>
    </row>
    <row r="5308" spans="1:4" x14ac:dyDescent="0.2">
      <c r="A5308" t="s">
        <v>11812</v>
      </c>
      <c r="B5308" t="s">
        <v>11813</v>
      </c>
      <c r="C5308" t="s">
        <v>190</v>
      </c>
      <c r="D5308" t="s">
        <v>191</v>
      </c>
    </row>
    <row r="5309" spans="1:4" x14ac:dyDescent="0.2">
      <c r="A5309" t="s">
        <v>11812</v>
      </c>
      <c r="B5309" t="s">
        <v>11814</v>
      </c>
      <c r="C5309" t="s">
        <v>190</v>
      </c>
      <c r="D5309" t="s">
        <v>191</v>
      </c>
    </row>
    <row r="5310" spans="1:4" x14ac:dyDescent="0.2">
      <c r="A5310" t="s">
        <v>11812</v>
      </c>
      <c r="B5310" t="s">
        <v>11815</v>
      </c>
      <c r="C5310" t="s">
        <v>190</v>
      </c>
      <c r="D5310" t="s">
        <v>191</v>
      </c>
    </row>
    <row r="5311" spans="1:4" x14ac:dyDescent="0.2">
      <c r="A5311" t="s">
        <v>11812</v>
      </c>
      <c r="B5311" t="s">
        <v>11816</v>
      </c>
      <c r="C5311" t="s">
        <v>190</v>
      </c>
      <c r="D5311" t="s">
        <v>191</v>
      </c>
    </row>
    <row r="5312" spans="1:4" x14ac:dyDescent="0.2">
      <c r="A5312" t="s">
        <v>11817</v>
      </c>
      <c r="B5312" t="s">
        <v>11818</v>
      </c>
      <c r="C5312" t="s">
        <v>190</v>
      </c>
      <c r="D5312" t="s">
        <v>191</v>
      </c>
    </row>
    <row r="5313" spans="1:4" x14ac:dyDescent="0.2">
      <c r="A5313" t="s">
        <v>11819</v>
      </c>
      <c r="B5313" t="s">
        <v>11820</v>
      </c>
      <c r="C5313" t="s">
        <v>11821</v>
      </c>
      <c r="D5313" t="s">
        <v>195</v>
      </c>
    </row>
    <row r="5314" spans="1:4" x14ac:dyDescent="0.2">
      <c r="A5314" t="s">
        <v>11822</v>
      </c>
      <c r="B5314" t="s">
        <v>11823</v>
      </c>
      <c r="C5314" t="s">
        <v>190</v>
      </c>
      <c r="D5314" t="s">
        <v>191</v>
      </c>
    </row>
    <row r="5315" spans="1:4" x14ac:dyDescent="0.2">
      <c r="A5315" t="s">
        <v>11824</v>
      </c>
      <c r="B5315" t="s">
        <v>11825</v>
      </c>
      <c r="C5315" t="s">
        <v>11826</v>
      </c>
      <c r="D5315" t="s">
        <v>187</v>
      </c>
    </row>
    <row r="5316" spans="1:4" x14ac:dyDescent="0.2">
      <c r="A5316" t="s">
        <v>11827</v>
      </c>
      <c r="B5316" t="s">
        <v>11828</v>
      </c>
      <c r="C5316" t="s">
        <v>11829</v>
      </c>
      <c r="D5316" t="s">
        <v>187</v>
      </c>
    </row>
    <row r="5317" spans="1:4" x14ac:dyDescent="0.2">
      <c r="A5317" t="s">
        <v>11830</v>
      </c>
      <c r="B5317" t="s">
        <v>11831</v>
      </c>
      <c r="C5317" t="s">
        <v>11832</v>
      </c>
      <c r="D5317" t="s">
        <v>195</v>
      </c>
    </row>
    <row r="5318" spans="1:4" x14ac:dyDescent="0.2">
      <c r="A5318" t="s">
        <v>11833</v>
      </c>
      <c r="B5318" t="s">
        <v>11834</v>
      </c>
      <c r="C5318" t="s">
        <v>190</v>
      </c>
      <c r="D5318" t="s">
        <v>191</v>
      </c>
    </row>
    <row r="5319" spans="1:4" x14ac:dyDescent="0.2">
      <c r="A5319" t="s">
        <v>11835</v>
      </c>
      <c r="B5319" t="s">
        <v>11836</v>
      </c>
      <c r="C5319" t="s">
        <v>190</v>
      </c>
      <c r="D5319" t="s">
        <v>191</v>
      </c>
    </row>
    <row r="5320" spans="1:4" x14ac:dyDescent="0.2">
      <c r="A5320" t="s">
        <v>11837</v>
      </c>
      <c r="B5320" t="s">
        <v>11838</v>
      </c>
      <c r="C5320" t="s">
        <v>190</v>
      </c>
      <c r="D5320" t="s">
        <v>191</v>
      </c>
    </row>
    <row r="5321" spans="1:4" x14ac:dyDescent="0.2">
      <c r="A5321" t="s">
        <v>11837</v>
      </c>
      <c r="B5321" t="s">
        <v>11839</v>
      </c>
      <c r="C5321" t="s">
        <v>190</v>
      </c>
      <c r="D5321" t="s">
        <v>191</v>
      </c>
    </row>
    <row r="5322" spans="1:4" x14ac:dyDescent="0.2">
      <c r="A5322" t="s">
        <v>11837</v>
      </c>
      <c r="B5322" t="s">
        <v>11840</v>
      </c>
      <c r="C5322" t="s">
        <v>190</v>
      </c>
      <c r="D5322" t="s">
        <v>191</v>
      </c>
    </row>
    <row r="5323" spans="1:4" x14ac:dyDescent="0.2">
      <c r="A5323" t="s">
        <v>11841</v>
      </c>
      <c r="B5323" t="s">
        <v>11839</v>
      </c>
      <c r="C5323" t="s">
        <v>190</v>
      </c>
      <c r="D5323" t="s">
        <v>11842</v>
      </c>
    </row>
    <row r="5324" spans="1:4" x14ac:dyDescent="0.2">
      <c r="A5324" t="s">
        <v>11841</v>
      </c>
      <c r="B5324" t="s">
        <v>11840</v>
      </c>
      <c r="C5324" t="s">
        <v>190</v>
      </c>
      <c r="D5324" t="s">
        <v>11842</v>
      </c>
    </row>
    <row r="5325" spans="1:4" x14ac:dyDescent="0.2">
      <c r="A5325" t="s">
        <v>11843</v>
      </c>
      <c r="B5325" t="s">
        <v>11844</v>
      </c>
      <c r="C5325" t="s">
        <v>190</v>
      </c>
      <c r="D5325" t="s">
        <v>191</v>
      </c>
    </row>
    <row r="5326" spans="1:4" x14ac:dyDescent="0.2">
      <c r="A5326" t="s">
        <v>11845</v>
      </c>
      <c r="B5326" t="s">
        <v>11846</v>
      </c>
      <c r="C5326" t="s">
        <v>11847</v>
      </c>
      <c r="D5326" t="s">
        <v>195</v>
      </c>
    </row>
    <row r="5327" spans="1:4" x14ac:dyDescent="0.2">
      <c r="A5327" t="s">
        <v>11848</v>
      </c>
      <c r="B5327" t="s">
        <v>11849</v>
      </c>
      <c r="C5327" t="s">
        <v>190</v>
      </c>
      <c r="D5327" t="s">
        <v>191</v>
      </c>
    </row>
    <row r="5328" spans="1:4" x14ac:dyDescent="0.2">
      <c r="A5328" t="s">
        <v>11850</v>
      </c>
      <c r="B5328" t="s">
        <v>11851</v>
      </c>
      <c r="C5328" t="s">
        <v>11852</v>
      </c>
      <c r="D5328" t="s">
        <v>195</v>
      </c>
    </row>
    <row r="5329" spans="1:4" x14ac:dyDescent="0.2">
      <c r="A5329" t="s">
        <v>11853</v>
      </c>
      <c r="B5329" t="s">
        <v>11854</v>
      </c>
      <c r="C5329" t="s">
        <v>11855</v>
      </c>
      <c r="D5329" t="s">
        <v>195</v>
      </c>
    </row>
    <row r="5330" spans="1:4" x14ac:dyDescent="0.2">
      <c r="A5330" t="s">
        <v>11856</v>
      </c>
      <c r="B5330" t="s">
        <v>11857</v>
      </c>
      <c r="C5330" t="s">
        <v>11858</v>
      </c>
      <c r="D5330" t="s">
        <v>195</v>
      </c>
    </row>
    <row r="5331" spans="1:4" x14ac:dyDescent="0.2">
      <c r="A5331" t="s">
        <v>11859</v>
      </c>
      <c r="B5331" t="s">
        <v>11860</v>
      </c>
      <c r="C5331" t="s">
        <v>190</v>
      </c>
      <c r="D5331" t="s">
        <v>191</v>
      </c>
    </row>
    <row r="5332" spans="1:4" x14ac:dyDescent="0.2">
      <c r="A5332" t="s">
        <v>11861</v>
      </c>
      <c r="B5332" t="s">
        <v>11862</v>
      </c>
      <c r="C5332" t="s">
        <v>190</v>
      </c>
      <c r="D5332" t="s">
        <v>191</v>
      </c>
    </row>
    <row r="5333" spans="1:4" x14ac:dyDescent="0.2">
      <c r="A5333" t="s">
        <v>11863</v>
      </c>
      <c r="B5333" t="s">
        <v>11864</v>
      </c>
      <c r="C5333" t="s">
        <v>190</v>
      </c>
      <c r="D5333" t="s">
        <v>191</v>
      </c>
    </row>
    <row r="5334" spans="1:4" x14ac:dyDescent="0.2">
      <c r="A5334" t="s">
        <v>11865</v>
      </c>
      <c r="B5334" t="s">
        <v>11866</v>
      </c>
      <c r="C5334" t="s">
        <v>190</v>
      </c>
      <c r="D5334" t="s">
        <v>191</v>
      </c>
    </row>
    <row r="5335" spans="1:4" x14ac:dyDescent="0.2">
      <c r="A5335" t="s">
        <v>11865</v>
      </c>
      <c r="B5335" t="s">
        <v>11867</v>
      </c>
      <c r="C5335" t="s">
        <v>190</v>
      </c>
      <c r="D5335" t="s">
        <v>191</v>
      </c>
    </row>
    <row r="5336" spans="1:4" x14ac:dyDescent="0.2">
      <c r="A5336" t="s">
        <v>11868</v>
      </c>
      <c r="B5336" t="s">
        <v>11869</v>
      </c>
      <c r="C5336" t="s">
        <v>190</v>
      </c>
      <c r="D5336" t="s">
        <v>191</v>
      </c>
    </row>
    <row r="5337" spans="1:4" x14ac:dyDescent="0.2">
      <c r="A5337" t="s">
        <v>11870</v>
      </c>
      <c r="B5337" t="s">
        <v>11871</v>
      </c>
      <c r="C5337" t="s">
        <v>11872</v>
      </c>
      <c r="D5337" t="s">
        <v>195</v>
      </c>
    </row>
    <row r="5338" spans="1:4" x14ac:dyDescent="0.2">
      <c r="A5338" t="s">
        <v>11873</v>
      </c>
      <c r="B5338" t="s">
        <v>11874</v>
      </c>
      <c r="C5338" t="s">
        <v>190</v>
      </c>
      <c r="D5338" t="s">
        <v>280</v>
      </c>
    </row>
    <row r="5339" spans="1:4" x14ac:dyDescent="0.2">
      <c r="A5339" t="s">
        <v>11875</v>
      </c>
      <c r="B5339" t="s">
        <v>11876</v>
      </c>
      <c r="C5339" t="s">
        <v>190</v>
      </c>
      <c r="D5339" t="s">
        <v>191</v>
      </c>
    </row>
    <row r="5340" spans="1:4" x14ac:dyDescent="0.2">
      <c r="A5340" t="s">
        <v>11877</v>
      </c>
      <c r="B5340" t="s">
        <v>11878</v>
      </c>
      <c r="C5340" t="s">
        <v>11879</v>
      </c>
      <c r="D5340" t="s">
        <v>195</v>
      </c>
    </row>
    <row r="5341" spans="1:4" x14ac:dyDescent="0.2">
      <c r="A5341" t="s">
        <v>11880</v>
      </c>
      <c r="B5341" t="s">
        <v>11881</v>
      </c>
      <c r="C5341" t="s">
        <v>190</v>
      </c>
      <c r="D5341" t="s">
        <v>191</v>
      </c>
    </row>
    <row r="5342" spans="1:4" x14ac:dyDescent="0.2">
      <c r="A5342" t="s">
        <v>11880</v>
      </c>
      <c r="B5342" t="s">
        <v>11882</v>
      </c>
      <c r="C5342" t="s">
        <v>190</v>
      </c>
      <c r="D5342" t="s">
        <v>191</v>
      </c>
    </row>
    <row r="5343" spans="1:4" x14ac:dyDescent="0.2">
      <c r="A5343" t="s">
        <v>11883</v>
      </c>
      <c r="B5343" t="s">
        <v>11884</v>
      </c>
      <c r="C5343" t="s">
        <v>190</v>
      </c>
      <c r="D5343" t="s">
        <v>191</v>
      </c>
    </row>
    <row r="5344" spans="1:4" x14ac:dyDescent="0.2">
      <c r="A5344" t="s">
        <v>11885</v>
      </c>
      <c r="B5344" t="s">
        <v>11886</v>
      </c>
      <c r="C5344" t="s">
        <v>11887</v>
      </c>
      <c r="D5344" t="s">
        <v>187</v>
      </c>
    </row>
    <row r="5345" spans="1:4" x14ac:dyDescent="0.2">
      <c r="A5345" t="s">
        <v>11888</v>
      </c>
      <c r="B5345" t="s">
        <v>11889</v>
      </c>
      <c r="C5345" t="s">
        <v>11890</v>
      </c>
      <c r="D5345" t="s">
        <v>195</v>
      </c>
    </row>
    <row r="5346" spans="1:4" x14ac:dyDescent="0.2">
      <c r="A5346" t="s">
        <v>11891</v>
      </c>
      <c r="B5346" t="s">
        <v>11892</v>
      </c>
      <c r="C5346" t="s">
        <v>11893</v>
      </c>
      <c r="D5346" t="s">
        <v>195</v>
      </c>
    </row>
    <row r="5347" spans="1:4" x14ac:dyDescent="0.2">
      <c r="A5347" t="s">
        <v>11894</v>
      </c>
      <c r="B5347" t="s">
        <v>11895</v>
      </c>
      <c r="C5347" t="s">
        <v>190</v>
      </c>
      <c r="D5347" t="s">
        <v>280</v>
      </c>
    </row>
    <row r="5348" spans="1:4" x14ac:dyDescent="0.2">
      <c r="A5348" t="s">
        <v>11896</v>
      </c>
      <c r="B5348" t="s">
        <v>11897</v>
      </c>
      <c r="C5348" t="s">
        <v>11898</v>
      </c>
      <c r="D5348" t="s">
        <v>195</v>
      </c>
    </row>
    <row r="5349" spans="1:4" x14ac:dyDescent="0.2">
      <c r="A5349" t="s">
        <v>11899</v>
      </c>
      <c r="B5349" t="s">
        <v>11900</v>
      </c>
      <c r="C5349" t="s">
        <v>190</v>
      </c>
      <c r="D5349" t="s">
        <v>191</v>
      </c>
    </row>
    <row r="5350" spans="1:4" x14ac:dyDescent="0.2">
      <c r="A5350" t="s">
        <v>11901</v>
      </c>
      <c r="B5350" t="s">
        <v>11902</v>
      </c>
      <c r="C5350" t="s">
        <v>190</v>
      </c>
      <c r="D5350" t="s">
        <v>191</v>
      </c>
    </row>
    <row r="5351" spans="1:4" x14ac:dyDescent="0.2">
      <c r="A5351" t="s">
        <v>11903</v>
      </c>
      <c r="B5351" t="s">
        <v>11904</v>
      </c>
      <c r="C5351" t="s">
        <v>11905</v>
      </c>
      <c r="D5351" t="s">
        <v>187</v>
      </c>
    </row>
    <row r="5352" spans="1:4" x14ac:dyDescent="0.2">
      <c r="A5352" t="s">
        <v>11906</v>
      </c>
      <c r="B5352" t="s">
        <v>11907</v>
      </c>
      <c r="C5352" t="s">
        <v>190</v>
      </c>
      <c r="D5352" t="s">
        <v>191</v>
      </c>
    </row>
    <row r="5353" spans="1:4" x14ac:dyDescent="0.2">
      <c r="A5353" t="s">
        <v>11908</v>
      </c>
      <c r="B5353" t="s">
        <v>11909</v>
      </c>
      <c r="C5353" t="s">
        <v>11910</v>
      </c>
      <c r="D5353" t="s">
        <v>187</v>
      </c>
    </row>
    <row r="5354" spans="1:4" x14ac:dyDescent="0.2">
      <c r="A5354" t="s">
        <v>11911</v>
      </c>
      <c r="B5354" t="s">
        <v>11912</v>
      </c>
      <c r="C5354" t="s">
        <v>11913</v>
      </c>
      <c r="D5354" t="s">
        <v>187</v>
      </c>
    </row>
    <row r="5355" spans="1:4" x14ac:dyDescent="0.2">
      <c r="A5355" t="s">
        <v>11914</v>
      </c>
      <c r="B5355" t="s">
        <v>11915</v>
      </c>
      <c r="C5355" t="s">
        <v>190</v>
      </c>
      <c r="D5355" t="s">
        <v>191</v>
      </c>
    </row>
    <row r="5356" spans="1:4" x14ac:dyDescent="0.2">
      <c r="A5356" t="s">
        <v>11916</v>
      </c>
      <c r="B5356" t="s">
        <v>11917</v>
      </c>
      <c r="C5356" t="s">
        <v>190</v>
      </c>
      <c r="D5356" t="s">
        <v>191</v>
      </c>
    </row>
    <row r="5357" spans="1:4" x14ac:dyDescent="0.2">
      <c r="A5357" t="s">
        <v>11918</v>
      </c>
      <c r="B5357" t="s">
        <v>11919</v>
      </c>
      <c r="C5357" t="s">
        <v>190</v>
      </c>
      <c r="D5357" t="s">
        <v>191</v>
      </c>
    </row>
    <row r="5358" spans="1:4" x14ac:dyDescent="0.2">
      <c r="A5358" t="s">
        <v>11920</v>
      </c>
      <c r="B5358" t="s">
        <v>11921</v>
      </c>
      <c r="C5358" t="s">
        <v>11922</v>
      </c>
      <c r="D5358" t="s">
        <v>195</v>
      </c>
    </row>
    <row r="5359" spans="1:4" x14ac:dyDescent="0.2">
      <c r="A5359" t="s">
        <v>11923</v>
      </c>
      <c r="B5359" t="s">
        <v>11924</v>
      </c>
      <c r="C5359" t="s">
        <v>11925</v>
      </c>
      <c r="D5359" t="s">
        <v>187</v>
      </c>
    </row>
    <row r="5360" spans="1:4" x14ac:dyDescent="0.2">
      <c r="A5360" t="s">
        <v>11926</v>
      </c>
      <c r="B5360" t="s">
        <v>11927</v>
      </c>
      <c r="C5360" t="s">
        <v>190</v>
      </c>
      <c r="D5360" t="s">
        <v>11928</v>
      </c>
    </row>
    <row r="5361" spans="1:4" x14ac:dyDescent="0.2">
      <c r="A5361" t="s">
        <v>11929</v>
      </c>
      <c r="B5361" t="s">
        <v>11930</v>
      </c>
      <c r="C5361" t="s">
        <v>11931</v>
      </c>
      <c r="D5361" t="s">
        <v>195</v>
      </c>
    </row>
    <row r="5362" spans="1:4" x14ac:dyDescent="0.2">
      <c r="A5362" t="s">
        <v>11932</v>
      </c>
      <c r="B5362" t="s">
        <v>11933</v>
      </c>
      <c r="C5362" t="s">
        <v>190</v>
      </c>
      <c r="D5362" t="s">
        <v>191</v>
      </c>
    </row>
    <row r="5363" spans="1:4" x14ac:dyDescent="0.2">
      <c r="A5363" t="s">
        <v>11934</v>
      </c>
      <c r="B5363" t="s">
        <v>11935</v>
      </c>
      <c r="C5363" t="s">
        <v>11936</v>
      </c>
      <c r="D5363" t="s">
        <v>187</v>
      </c>
    </row>
    <row r="5364" spans="1:4" x14ac:dyDescent="0.2">
      <c r="A5364" t="s">
        <v>11937</v>
      </c>
      <c r="B5364" t="s">
        <v>11938</v>
      </c>
      <c r="C5364" t="s">
        <v>190</v>
      </c>
      <c r="D5364" t="s">
        <v>191</v>
      </c>
    </row>
    <row r="5365" spans="1:4" x14ac:dyDescent="0.2">
      <c r="A5365" t="s">
        <v>11939</v>
      </c>
      <c r="B5365" t="s">
        <v>11940</v>
      </c>
      <c r="C5365" t="s">
        <v>190</v>
      </c>
      <c r="D5365" t="s">
        <v>191</v>
      </c>
    </row>
    <row r="5366" spans="1:4" x14ac:dyDescent="0.2">
      <c r="A5366" t="s">
        <v>11941</v>
      </c>
      <c r="B5366" t="s">
        <v>11942</v>
      </c>
      <c r="C5366" t="s">
        <v>11943</v>
      </c>
      <c r="D5366" t="s">
        <v>195</v>
      </c>
    </row>
    <row r="5367" spans="1:4" x14ac:dyDescent="0.2">
      <c r="A5367" t="s">
        <v>11944</v>
      </c>
      <c r="B5367" t="s">
        <v>11945</v>
      </c>
      <c r="C5367" t="s">
        <v>11946</v>
      </c>
      <c r="D5367" t="s">
        <v>187</v>
      </c>
    </row>
    <row r="5368" spans="1:4" x14ac:dyDescent="0.2">
      <c r="A5368" t="s">
        <v>11947</v>
      </c>
      <c r="B5368" t="s">
        <v>11948</v>
      </c>
      <c r="C5368" t="s">
        <v>190</v>
      </c>
      <c r="D5368" t="s">
        <v>191</v>
      </c>
    </row>
    <row r="5369" spans="1:4" x14ac:dyDescent="0.2">
      <c r="A5369" t="s">
        <v>11949</v>
      </c>
      <c r="B5369" t="s">
        <v>11950</v>
      </c>
      <c r="C5369" t="s">
        <v>190</v>
      </c>
      <c r="D5369" t="s">
        <v>191</v>
      </c>
    </row>
    <row r="5370" spans="1:4" x14ac:dyDescent="0.2">
      <c r="A5370" t="s">
        <v>11951</v>
      </c>
      <c r="B5370" t="s">
        <v>11952</v>
      </c>
      <c r="C5370" t="s">
        <v>11953</v>
      </c>
      <c r="D5370" t="s">
        <v>195</v>
      </c>
    </row>
    <row r="5371" spans="1:4" x14ac:dyDescent="0.2">
      <c r="A5371" t="s">
        <v>11954</v>
      </c>
      <c r="B5371" t="s">
        <v>11955</v>
      </c>
      <c r="C5371" t="s">
        <v>190</v>
      </c>
      <c r="D5371" t="s">
        <v>191</v>
      </c>
    </row>
    <row r="5372" spans="1:4" x14ac:dyDescent="0.2">
      <c r="A5372" t="s">
        <v>11956</v>
      </c>
      <c r="B5372" t="s">
        <v>11957</v>
      </c>
      <c r="C5372" t="s">
        <v>190</v>
      </c>
      <c r="D5372" t="s">
        <v>191</v>
      </c>
    </row>
    <row r="5373" spans="1:4" x14ac:dyDescent="0.2">
      <c r="A5373" t="s">
        <v>11958</v>
      </c>
      <c r="B5373" t="s">
        <v>11959</v>
      </c>
      <c r="C5373" t="s">
        <v>11960</v>
      </c>
      <c r="D5373" t="s">
        <v>187</v>
      </c>
    </row>
    <row r="5374" spans="1:4" x14ac:dyDescent="0.2">
      <c r="A5374" t="s">
        <v>11961</v>
      </c>
      <c r="B5374" t="s">
        <v>11962</v>
      </c>
      <c r="C5374" t="s">
        <v>11963</v>
      </c>
      <c r="D5374" t="s">
        <v>195</v>
      </c>
    </row>
    <row r="5375" spans="1:4" x14ac:dyDescent="0.2">
      <c r="A5375" t="s">
        <v>11964</v>
      </c>
      <c r="B5375" t="s">
        <v>11965</v>
      </c>
      <c r="C5375" t="s">
        <v>190</v>
      </c>
      <c r="D5375" t="s">
        <v>191</v>
      </c>
    </row>
    <row r="5376" spans="1:4" x14ac:dyDescent="0.2">
      <c r="A5376" t="s">
        <v>11966</v>
      </c>
      <c r="B5376" t="s">
        <v>11967</v>
      </c>
      <c r="C5376" t="s">
        <v>190</v>
      </c>
      <c r="D5376" t="s">
        <v>11968</v>
      </c>
    </row>
    <row r="5377" spans="1:4" x14ac:dyDescent="0.2">
      <c r="A5377" t="s">
        <v>11966</v>
      </c>
      <c r="B5377" t="s">
        <v>11969</v>
      </c>
      <c r="C5377" t="s">
        <v>190</v>
      </c>
      <c r="D5377" t="s">
        <v>191</v>
      </c>
    </row>
    <row r="5378" spans="1:4" x14ac:dyDescent="0.2">
      <c r="A5378" t="s">
        <v>11970</v>
      </c>
      <c r="B5378" t="s">
        <v>11971</v>
      </c>
      <c r="C5378" t="s">
        <v>11972</v>
      </c>
      <c r="D5378" t="s">
        <v>187</v>
      </c>
    </row>
    <row r="5379" spans="1:4" x14ac:dyDescent="0.2">
      <c r="A5379" t="s">
        <v>11973</v>
      </c>
      <c r="B5379" t="s">
        <v>11974</v>
      </c>
      <c r="C5379" t="s">
        <v>190</v>
      </c>
      <c r="D5379" t="s">
        <v>191</v>
      </c>
    </row>
    <row r="5380" spans="1:4" x14ac:dyDescent="0.2">
      <c r="A5380" t="s">
        <v>11975</v>
      </c>
      <c r="B5380" t="s">
        <v>11976</v>
      </c>
      <c r="C5380" t="s">
        <v>190</v>
      </c>
      <c r="D5380" t="s">
        <v>11977</v>
      </c>
    </row>
    <row r="5381" spans="1:4" x14ac:dyDescent="0.2">
      <c r="A5381" t="s">
        <v>11978</v>
      </c>
      <c r="B5381" t="s">
        <v>11979</v>
      </c>
      <c r="C5381" t="s">
        <v>11980</v>
      </c>
      <c r="D5381" t="s">
        <v>195</v>
      </c>
    </row>
    <row r="5382" spans="1:4" x14ac:dyDescent="0.2">
      <c r="A5382" t="s">
        <v>11981</v>
      </c>
      <c r="B5382" t="s">
        <v>11982</v>
      </c>
      <c r="C5382" t="s">
        <v>190</v>
      </c>
      <c r="D5382" t="s">
        <v>191</v>
      </c>
    </row>
    <row r="5383" spans="1:4" x14ac:dyDescent="0.2">
      <c r="A5383" t="s">
        <v>11983</v>
      </c>
      <c r="B5383" t="s">
        <v>11984</v>
      </c>
      <c r="C5383" t="s">
        <v>190</v>
      </c>
      <c r="D5383" t="s">
        <v>11977</v>
      </c>
    </row>
    <row r="5384" spans="1:4" x14ac:dyDescent="0.2">
      <c r="A5384" t="s">
        <v>11985</v>
      </c>
      <c r="B5384" t="s">
        <v>11986</v>
      </c>
      <c r="C5384" t="s">
        <v>11987</v>
      </c>
      <c r="D5384" t="s">
        <v>187</v>
      </c>
    </row>
    <row r="5385" spans="1:4" x14ac:dyDescent="0.2">
      <c r="A5385" t="s">
        <v>11985</v>
      </c>
      <c r="B5385" t="s">
        <v>11988</v>
      </c>
      <c r="C5385" t="s">
        <v>190</v>
      </c>
      <c r="D5385" t="s">
        <v>11989</v>
      </c>
    </row>
    <row r="5386" spans="1:4" x14ac:dyDescent="0.2">
      <c r="A5386" t="s">
        <v>11990</v>
      </c>
      <c r="B5386" t="s">
        <v>11991</v>
      </c>
      <c r="C5386" t="s">
        <v>190</v>
      </c>
      <c r="D5386" t="s">
        <v>191</v>
      </c>
    </row>
    <row r="5387" spans="1:4" x14ac:dyDescent="0.2">
      <c r="A5387" t="s">
        <v>11992</v>
      </c>
      <c r="B5387" t="s">
        <v>11993</v>
      </c>
      <c r="C5387" t="s">
        <v>190</v>
      </c>
      <c r="D5387" t="s">
        <v>191</v>
      </c>
    </row>
    <row r="5388" spans="1:4" x14ac:dyDescent="0.2">
      <c r="A5388" t="s">
        <v>11994</v>
      </c>
      <c r="B5388" t="s">
        <v>11995</v>
      </c>
      <c r="C5388" t="s">
        <v>190</v>
      </c>
      <c r="D5388" t="s">
        <v>191</v>
      </c>
    </row>
    <row r="5389" spans="1:4" x14ac:dyDescent="0.2">
      <c r="A5389" t="s">
        <v>11996</v>
      </c>
      <c r="B5389" t="s">
        <v>11997</v>
      </c>
      <c r="C5389" t="s">
        <v>190</v>
      </c>
      <c r="D5389" t="s">
        <v>11998</v>
      </c>
    </row>
    <row r="5390" spans="1:4" x14ac:dyDescent="0.2">
      <c r="A5390" t="s">
        <v>11999</v>
      </c>
      <c r="B5390" t="s">
        <v>12000</v>
      </c>
      <c r="C5390" t="s">
        <v>190</v>
      </c>
      <c r="D5390" t="s">
        <v>191</v>
      </c>
    </row>
    <row r="5391" spans="1:4" x14ac:dyDescent="0.2">
      <c r="A5391" t="s">
        <v>12001</v>
      </c>
      <c r="B5391" t="s">
        <v>12002</v>
      </c>
      <c r="C5391" t="s">
        <v>190</v>
      </c>
      <c r="D5391" t="s">
        <v>191</v>
      </c>
    </row>
    <row r="5392" spans="1:4" x14ac:dyDescent="0.2">
      <c r="A5392" t="s">
        <v>12003</v>
      </c>
      <c r="B5392" t="s">
        <v>12004</v>
      </c>
      <c r="C5392" t="s">
        <v>12005</v>
      </c>
      <c r="D5392" t="s">
        <v>187</v>
      </c>
    </row>
    <row r="5393" spans="1:4" x14ac:dyDescent="0.2">
      <c r="A5393" t="s">
        <v>12006</v>
      </c>
      <c r="B5393" t="s">
        <v>12007</v>
      </c>
      <c r="C5393" t="s">
        <v>12008</v>
      </c>
      <c r="D5393" t="s">
        <v>195</v>
      </c>
    </row>
    <row r="5394" spans="1:4" x14ac:dyDescent="0.2">
      <c r="A5394" t="s">
        <v>12006</v>
      </c>
      <c r="B5394" t="s">
        <v>12009</v>
      </c>
      <c r="C5394" t="s">
        <v>12010</v>
      </c>
      <c r="D5394" t="s">
        <v>187</v>
      </c>
    </row>
    <row r="5395" spans="1:4" x14ac:dyDescent="0.2">
      <c r="A5395" t="s">
        <v>12011</v>
      </c>
      <c r="B5395" t="s">
        <v>12012</v>
      </c>
      <c r="C5395" t="s">
        <v>12013</v>
      </c>
      <c r="D5395" t="s">
        <v>195</v>
      </c>
    </row>
    <row r="5396" spans="1:4" x14ac:dyDescent="0.2">
      <c r="A5396" t="s">
        <v>12014</v>
      </c>
      <c r="B5396" t="s">
        <v>12015</v>
      </c>
      <c r="C5396" t="s">
        <v>190</v>
      </c>
      <c r="D5396" t="s">
        <v>12016</v>
      </c>
    </row>
    <row r="5397" spans="1:4" x14ac:dyDescent="0.2">
      <c r="A5397" t="s">
        <v>12017</v>
      </c>
      <c r="B5397" t="s">
        <v>12018</v>
      </c>
      <c r="C5397" t="s">
        <v>12019</v>
      </c>
      <c r="D5397" t="s">
        <v>195</v>
      </c>
    </row>
    <row r="5398" spans="1:4" x14ac:dyDescent="0.2">
      <c r="A5398" t="s">
        <v>12020</v>
      </c>
      <c r="B5398" t="s">
        <v>12021</v>
      </c>
      <c r="C5398" t="s">
        <v>12022</v>
      </c>
      <c r="D5398" t="s">
        <v>187</v>
      </c>
    </row>
    <row r="5399" spans="1:4" x14ac:dyDescent="0.2">
      <c r="A5399" t="s">
        <v>12023</v>
      </c>
      <c r="B5399" t="s">
        <v>12024</v>
      </c>
      <c r="C5399" t="s">
        <v>190</v>
      </c>
      <c r="D5399" t="s">
        <v>191</v>
      </c>
    </row>
    <row r="5400" spans="1:4" x14ac:dyDescent="0.2">
      <c r="A5400" t="s">
        <v>12025</v>
      </c>
      <c r="B5400" t="s">
        <v>12026</v>
      </c>
      <c r="C5400" t="s">
        <v>190</v>
      </c>
      <c r="D5400" t="s">
        <v>191</v>
      </c>
    </row>
    <row r="5401" spans="1:4" x14ac:dyDescent="0.2">
      <c r="A5401" t="s">
        <v>12027</v>
      </c>
      <c r="B5401" t="s">
        <v>12028</v>
      </c>
      <c r="C5401" t="s">
        <v>190</v>
      </c>
      <c r="D5401" t="s">
        <v>191</v>
      </c>
    </row>
    <row r="5402" spans="1:4" x14ac:dyDescent="0.2">
      <c r="A5402" t="s">
        <v>12029</v>
      </c>
      <c r="B5402" t="s">
        <v>12030</v>
      </c>
      <c r="C5402" t="s">
        <v>12031</v>
      </c>
      <c r="D5402" t="s">
        <v>195</v>
      </c>
    </row>
    <row r="5403" spans="1:4" x14ac:dyDescent="0.2">
      <c r="A5403" t="s">
        <v>12032</v>
      </c>
      <c r="B5403" t="s">
        <v>12033</v>
      </c>
      <c r="C5403" t="s">
        <v>190</v>
      </c>
      <c r="D5403" t="s">
        <v>191</v>
      </c>
    </row>
    <row r="5404" spans="1:4" x14ac:dyDescent="0.2">
      <c r="A5404" t="s">
        <v>12034</v>
      </c>
      <c r="B5404" t="s">
        <v>12035</v>
      </c>
      <c r="C5404" t="s">
        <v>190</v>
      </c>
      <c r="D5404" t="s">
        <v>191</v>
      </c>
    </row>
    <row r="5405" spans="1:4" x14ac:dyDescent="0.2">
      <c r="A5405" t="s">
        <v>12034</v>
      </c>
      <c r="B5405" t="s">
        <v>12036</v>
      </c>
      <c r="C5405" t="s">
        <v>190</v>
      </c>
      <c r="D5405" t="s">
        <v>191</v>
      </c>
    </row>
    <row r="5406" spans="1:4" x14ac:dyDescent="0.2">
      <c r="A5406" t="s">
        <v>12037</v>
      </c>
      <c r="B5406" t="s">
        <v>12038</v>
      </c>
      <c r="C5406" t="s">
        <v>12039</v>
      </c>
      <c r="D5406" t="s">
        <v>195</v>
      </c>
    </row>
    <row r="5407" spans="1:4" x14ac:dyDescent="0.2">
      <c r="A5407" t="s">
        <v>12037</v>
      </c>
      <c r="B5407" t="s">
        <v>12040</v>
      </c>
      <c r="C5407" t="s">
        <v>190</v>
      </c>
      <c r="D5407" t="s">
        <v>191</v>
      </c>
    </row>
    <row r="5408" spans="1:4" x14ac:dyDescent="0.2">
      <c r="A5408" t="s">
        <v>12041</v>
      </c>
      <c r="B5408" t="s">
        <v>12042</v>
      </c>
      <c r="C5408" t="s">
        <v>190</v>
      </c>
      <c r="D5408" t="s">
        <v>191</v>
      </c>
    </row>
    <row r="5409" spans="1:4" x14ac:dyDescent="0.2">
      <c r="A5409" t="s">
        <v>12043</v>
      </c>
      <c r="B5409" t="s">
        <v>12044</v>
      </c>
      <c r="C5409" t="s">
        <v>190</v>
      </c>
      <c r="D5409" t="s">
        <v>191</v>
      </c>
    </row>
    <row r="5410" spans="1:4" x14ac:dyDescent="0.2">
      <c r="A5410" t="s">
        <v>12043</v>
      </c>
      <c r="B5410" t="s">
        <v>12045</v>
      </c>
      <c r="C5410" t="s">
        <v>190</v>
      </c>
      <c r="D5410" t="s">
        <v>191</v>
      </c>
    </row>
    <row r="5411" spans="1:4" x14ac:dyDescent="0.2">
      <c r="A5411" t="s">
        <v>12046</v>
      </c>
      <c r="B5411" t="s">
        <v>12047</v>
      </c>
      <c r="C5411" t="s">
        <v>190</v>
      </c>
      <c r="D5411" t="s">
        <v>191</v>
      </c>
    </row>
    <row r="5412" spans="1:4" x14ac:dyDescent="0.2">
      <c r="A5412" t="s">
        <v>12048</v>
      </c>
      <c r="B5412" t="s">
        <v>12049</v>
      </c>
      <c r="C5412" t="s">
        <v>12050</v>
      </c>
      <c r="D5412" t="s">
        <v>187</v>
      </c>
    </row>
    <row r="5413" spans="1:4" x14ac:dyDescent="0.2">
      <c r="A5413" t="s">
        <v>12051</v>
      </c>
      <c r="B5413" t="s">
        <v>12052</v>
      </c>
      <c r="C5413" t="s">
        <v>190</v>
      </c>
      <c r="D5413" t="s">
        <v>191</v>
      </c>
    </row>
    <row r="5414" spans="1:4" x14ac:dyDescent="0.2">
      <c r="A5414" t="s">
        <v>12053</v>
      </c>
      <c r="B5414" t="s">
        <v>12054</v>
      </c>
      <c r="C5414" t="s">
        <v>12055</v>
      </c>
      <c r="D5414" t="s">
        <v>195</v>
      </c>
    </row>
    <row r="5415" spans="1:4" x14ac:dyDescent="0.2">
      <c r="A5415" t="s">
        <v>12056</v>
      </c>
      <c r="B5415" t="s">
        <v>12057</v>
      </c>
      <c r="C5415" t="s">
        <v>12058</v>
      </c>
      <c r="D5415" t="s">
        <v>195</v>
      </c>
    </row>
    <row r="5416" spans="1:4" x14ac:dyDescent="0.2">
      <c r="A5416" t="s">
        <v>12059</v>
      </c>
      <c r="B5416" t="s">
        <v>12060</v>
      </c>
      <c r="C5416" t="s">
        <v>190</v>
      </c>
      <c r="D5416" t="s">
        <v>191</v>
      </c>
    </row>
    <row r="5417" spans="1:4" x14ac:dyDescent="0.2">
      <c r="A5417" t="s">
        <v>12059</v>
      </c>
      <c r="B5417" t="s">
        <v>12061</v>
      </c>
      <c r="C5417" t="s">
        <v>190</v>
      </c>
      <c r="D5417" t="s">
        <v>191</v>
      </c>
    </row>
    <row r="5418" spans="1:4" x14ac:dyDescent="0.2">
      <c r="A5418" t="s">
        <v>12062</v>
      </c>
      <c r="B5418" t="s">
        <v>12063</v>
      </c>
      <c r="C5418" t="s">
        <v>12064</v>
      </c>
      <c r="D5418" t="s">
        <v>195</v>
      </c>
    </row>
    <row r="5419" spans="1:4" x14ac:dyDescent="0.2">
      <c r="A5419" t="s">
        <v>12065</v>
      </c>
      <c r="B5419" t="s">
        <v>12066</v>
      </c>
      <c r="C5419" t="s">
        <v>12067</v>
      </c>
      <c r="D5419" t="s">
        <v>187</v>
      </c>
    </row>
    <row r="5420" spans="1:4" x14ac:dyDescent="0.2">
      <c r="A5420" t="s">
        <v>12068</v>
      </c>
      <c r="B5420" t="s">
        <v>12069</v>
      </c>
      <c r="C5420" t="s">
        <v>12070</v>
      </c>
      <c r="D5420" t="s">
        <v>195</v>
      </c>
    </row>
    <row r="5421" spans="1:4" x14ac:dyDescent="0.2">
      <c r="A5421" t="s">
        <v>12068</v>
      </c>
      <c r="B5421" t="s">
        <v>12071</v>
      </c>
      <c r="C5421" t="s">
        <v>190</v>
      </c>
      <c r="D5421" t="s">
        <v>12072</v>
      </c>
    </row>
    <row r="5422" spans="1:4" x14ac:dyDescent="0.2">
      <c r="A5422" t="s">
        <v>12073</v>
      </c>
      <c r="B5422" t="s">
        <v>12074</v>
      </c>
      <c r="C5422" t="s">
        <v>190</v>
      </c>
      <c r="D5422" t="s">
        <v>191</v>
      </c>
    </row>
    <row r="5423" spans="1:4" x14ac:dyDescent="0.2">
      <c r="A5423" t="s">
        <v>12075</v>
      </c>
      <c r="B5423" t="s">
        <v>12076</v>
      </c>
      <c r="C5423" t="s">
        <v>190</v>
      </c>
      <c r="D5423" t="s">
        <v>191</v>
      </c>
    </row>
    <row r="5424" spans="1:4" x14ac:dyDescent="0.2">
      <c r="A5424" t="s">
        <v>12075</v>
      </c>
      <c r="B5424" t="s">
        <v>12077</v>
      </c>
      <c r="C5424" t="s">
        <v>190</v>
      </c>
      <c r="D5424" t="s">
        <v>191</v>
      </c>
    </row>
    <row r="5425" spans="1:4" x14ac:dyDescent="0.2">
      <c r="A5425" t="s">
        <v>12075</v>
      </c>
      <c r="B5425" t="s">
        <v>12078</v>
      </c>
      <c r="C5425" t="s">
        <v>190</v>
      </c>
      <c r="D5425" t="s">
        <v>191</v>
      </c>
    </row>
    <row r="5426" spans="1:4" x14ac:dyDescent="0.2">
      <c r="A5426" t="s">
        <v>12075</v>
      </c>
      <c r="B5426" t="s">
        <v>12079</v>
      </c>
      <c r="C5426" t="s">
        <v>190</v>
      </c>
      <c r="D5426" t="s">
        <v>191</v>
      </c>
    </row>
    <row r="5427" spans="1:4" x14ac:dyDescent="0.2">
      <c r="A5427" t="s">
        <v>12080</v>
      </c>
      <c r="B5427" t="s">
        <v>12081</v>
      </c>
      <c r="C5427" t="s">
        <v>190</v>
      </c>
      <c r="D5427" t="s">
        <v>191</v>
      </c>
    </row>
    <row r="5428" spans="1:4" x14ac:dyDescent="0.2">
      <c r="A5428" t="s">
        <v>12082</v>
      </c>
      <c r="B5428" t="s">
        <v>12083</v>
      </c>
      <c r="C5428" t="s">
        <v>12084</v>
      </c>
      <c r="D5428" t="s">
        <v>195</v>
      </c>
    </row>
    <row r="5429" spans="1:4" x14ac:dyDescent="0.2">
      <c r="A5429" t="s">
        <v>12085</v>
      </c>
      <c r="B5429" t="s">
        <v>12086</v>
      </c>
      <c r="C5429" t="s">
        <v>12087</v>
      </c>
      <c r="D5429" t="s">
        <v>187</v>
      </c>
    </row>
    <row r="5430" spans="1:4" x14ac:dyDescent="0.2">
      <c r="A5430" t="s">
        <v>12088</v>
      </c>
      <c r="B5430" t="s">
        <v>12089</v>
      </c>
      <c r="C5430" t="s">
        <v>190</v>
      </c>
      <c r="D5430" t="s">
        <v>191</v>
      </c>
    </row>
    <row r="5431" spans="1:4" x14ac:dyDescent="0.2">
      <c r="A5431" t="s">
        <v>12090</v>
      </c>
      <c r="B5431" t="s">
        <v>12091</v>
      </c>
      <c r="C5431" t="s">
        <v>190</v>
      </c>
      <c r="D5431" t="s">
        <v>191</v>
      </c>
    </row>
    <row r="5432" spans="1:4" x14ac:dyDescent="0.2">
      <c r="A5432" t="s">
        <v>12092</v>
      </c>
      <c r="B5432" t="s">
        <v>12093</v>
      </c>
      <c r="C5432" t="s">
        <v>12094</v>
      </c>
      <c r="D5432" t="s">
        <v>187</v>
      </c>
    </row>
    <row r="5433" spans="1:4" x14ac:dyDescent="0.2">
      <c r="A5433" t="s">
        <v>12095</v>
      </c>
      <c r="B5433" t="s">
        <v>12096</v>
      </c>
      <c r="C5433" t="s">
        <v>12097</v>
      </c>
      <c r="D5433" t="s">
        <v>195</v>
      </c>
    </row>
    <row r="5434" spans="1:4" x14ac:dyDescent="0.2">
      <c r="A5434" t="s">
        <v>12098</v>
      </c>
      <c r="B5434" t="s">
        <v>12099</v>
      </c>
      <c r="C5434" t="s">
        <v>190</v>
      </c>
      <c r="D5434" t="s">
        <v>191</v>
      </c>
    </row>
    <row r="5435" spans="1:4" x14ac:dyDescent="0.2">
      <c r="A5435" t="s">
        <v>12100</v>
      </c>
      <c r="B5435" t="s">
        <v>12101</v>
      </c>
      <c r="C5435" t="s">
        <v>190</v>
      </c>
      <c r="D5435" t="s">
        <v>191</v>
      </c>
    </row>
    <row r="5436" spans="1:4" x14ac:dyDescent="0.2">
      <c r="A5436" t="s">
        <v>12102</v>
      </c>
      <c r="B5436" t="s">
        <v>12103</v>
      </c>
      <c r="C5436" t="s">
        <v>190</v>
      </c>
      <c r="D5436" t="s">
        <v>280</v>
      </c>
    </row>
    <row r="5437" spans="1:4" x14ac:dyDescent="0.2">
      <c r="A5437" t="s">
        <v>12104</v>
      </c>
      <c r="B5437" t="s">
        <v>12105</v>
      </c>
      <c r="C5437" t="s">
        <v>190</v>
      </c>
      <c r="D5437" t="s">
        <v>191</v>
      </c>
    </row>
    <row r="5438" spans="1:4" x14ac:dyDescent="0.2">
      <c r="A5438" t="s">
        <v>12106</v>
      </c>
      <c r="B5438" t="s">
        <v>12107</v>
      </c>
      <c r="C5438" t="s">
        <v>190</v>
      </c>
      <c r="D5438" t="s">
        <v>191</v>
      </c>
    </row>
    <row r="5439" spans="1:4" x14ac:dyDescent="0.2">
      <c r="A5439" t="s">
        <v>12108</v>
      </c>
      <c r="B5439" t="s">
        <v>12109</v>
      </c>
      <c r="C5439" t="s">
        <v>12110</v>
      </c>
      <c r="D5439" t="s">
        <v>195</v>
      </c>
    </row>
    <row r="5440" spans="1:4" x14ac:dyDescent="0.2">
      <c r="A5440" t="s">
        <v>12111</v>
      </c>
      <c r="B5440" t="s">
        <v>12112</v>
      </c>
      <c r="C5440" t="s">
        <v>190</v>
      </c>
      <c r="D5440" t="s">
        <v>191</v>
      </c>
    </row>
    <row r="5441" spans="1:4" x14ac:dyDescent="0.2">
      <c r="A5441" t="s">
        <v>12113</v>
      </c>
      <c r="B5441" t="s">
        <v>12114</v>
      </c>
      <c r="C5441" t="s">
        <v>190</v>
      </c>
      <c r="D5441" t="s">
        <v>191</v>
      </c>
    </row>
    <row r="5442" spans="1:4" x14ac:dyDescent="0.2">
      <c r="A5442" t="s">
        <v>12115</v>
      </c>
      <c r="B5442" t="s">
        <v>12116</v>
      </c>
      <c r="C5442" t="s">
        <v>190</v>
      </c>
      <c r="D5442" t="s">
        <v>191</v>
      </c>
    </row>
    <row r="5443" spans="1:4" x14ac:dyDescent="0.2">
      <c r="A5443" t="s">
        <v>12117</v>
      </c>
      <c r="B5443" t="s">
        <v>12118</v>
      </c>
      <c r="C5443" t="s">
        <v>190</v>
      </c>
      <c r="D5443" t="s">
        <v>191</v>
      </c>
    </row>
    <row r="5444" spans="1:4" x14ac:dyDescent="0.2">
      <c r="A5444" t="s">
        <v>12119</v>
      </c>
      <c r="B5444" t="s">
        <v>12120</v>
      </c>
      <c r="C5444" t="s">
        <v>190</v>
      </c>
      <c r="D5444" t="s">
        <v>191</v>
      </c>
    </row>
    <row r="5445" spans="1:4" x14ac:dyDescent="0.2">
      <c r="A5445" t="s">
        <v>12121</v>
      </c>
      <c r="B5445" t="s">
        <v>12122</v>
      </c>
      <c r="C5445" t="s">
        <v>190</v>
      </c>
      <c r="D5445" t="s">
        <v>191</v>
      </c>
    </row>
    <row r="5446" spans="1:4" x14ac:dyDescent="0.2">
      <c r="A5446" t="s">
        <v>12123</v>
      </c>
      <c r="B5446" t="s">
        <v>12124</v>
      </c>
      <c r="C5446" t="s">
        <v>190</v>
      </c>
      <c r="D5446" t="s">
        <v>191</v>
      </c>
    </row>
    <row r="5447" spans="1:4" x14ac:dyDescent="0.2">
      <c r="A5447" t="s">
        <v>12125</v>
      </c>
      <c r="B5447" t="s">
        <v>12126</v>
      </c>
      <c r="C5447" t="s">
        <v>12127</v>
      </c>
      <c r="D5447" t="s">
        <v>187</v>
      </c>
    </row>
    <row r="5448" spans="1:4" x14ac:dyDescent="0.2">
      <c r="A5448" t="s">
        <v>12125</v>
      </c>
      <c r="B5448" t="s">
        <v>12128</v>
      </c>
      <c r="C5448" t="s">
        <v>12129</v>
      </c>
      <c r="D5448" t="s">
        <v>187</v>
      </c>
    </row>
    <row r="5449" spans="1:4" x14ac:dyDescent="0.2">
      <c r="A5449" t="s">
        <v>12125</v>
      </c>
      <c r="B5449" t="s">
        <v>12130</v>
      </c>
      <c r="C5449" t="s">
        <v>12131</v>
      </c>
      <c r="D5449" t="s">
        <v>195</v>
      </c>
    </row>
    <row r="5450" spans="1:4" x14ac:dyDescent="0.2">
      <c r="A5450" t="s">
        <v>12132</v>
      </c>
      <c r="B5450" t="s">
        <v>12133</v>
      </c>
      <c r="C5450" t="s">
        <v>12134</v>
      </c>
      <c r="D5450" t="s">
        <v>195</v>
      </c>
    </row>
    <row r="5451" spans="1:4" x14ac:dyDescent="0.2">
      <c r="A5451" t="s">
        <v>12135</v>
      </c>
      <c r="B5451" t="s">
        <v>12136</v>
      </c>
      <c r="C5451" t="s">
        <v>190</v>
      </c>
      <c r="D5451" t="s">
        <v>191</v>
      </c>
    </row>
    <row r="5452" spans="1:4" x14ac:dyDescent="0.2">
      <c r="A5452" t="s">
        <v>12137</v>
      </c>
      <c r="B5452" t="s">
        <v>12138</v>
      </c>
      <c r="C5452" t="s">
        <v>190</v>
      </c>
      <c r="D5452" t="s">
        <v>191</v>
      </c>
    </row>
    <row r="5453" spans="1:4" x14ac:dyDescent="0.2">
      <c r="A5453" t="s">
        <v>12139</v>
      </c>
      <c r="B5453" t="s">
        <v>12140</v>
      </c>
      <c r="C5453" t="s">
        <v>190</v>
      </c>
      <c r="D5453" t="s">
        <v>191</v>
      </c>
    </row>
    <row r="5454" spans="1:4" x14ac:dyDescent="0.2">
      <c r="A5454" t="s">
        <v>12141</v>
      </c>
      <c r="B5454" t="s">
        <v>12142</v>
      </c>
      <c r="C5454" t="s">
        <v>12143</v>
      </c>
      <c r="D5454" t="s">
        <v>195</v>
      </c>
    </row>
    <row r="5455" spans="1:4" x14ac:dyDescent="0.2">
      <c r="A5455" t="s">
        <v>12144</v>
      </c>
      <c r="B5455" t="s">
        <v>12145</v>
      </c>
      <c r="C5455" t="s">
        <v>190</v>
      </c>
      <c r="D5455" t="s">
        <v>12146</v>
      </c>
    </row>
    <row r="5456" spans="1:4" x14ac:dyDescent="0.2">
      <c r="A5456" t="s">
        <v>12147</v>
      </c>
      <c r="B5456" t="s">
        <v>12148</v>
      </c>
      <c r="C5456" t="s">
        <v>190</v>
      </c>
      <c r="D5456" t="s">
        <v>191</v>
      </c>
    </row>
    <row r="5457" spans="1:4" x14ac:dyDescent="0.2">
      <c r="A5457" t="s">
        <v>12149</v>
      </c>
      <c r="B5457" t="s">
        <v>12150</v>
      </c>
      <c r="C5457" t="s">
        <v>190</v>
      </c>
      <c r="D5457" t="s">
        <v>191</v>
      </c>
    </row>
    <row r="5458" spans="1:4" x14ac:dyDescent="0.2">
      <c r="A5458" t="s">
        <v>12151</v>
      </c>
      <c r="B5458" t="s">
        <v>12152</v>
      </c>
      <c r="C5458" t="s">
        <v>190</v>
      </c>
      <c r="D5458" t="s">
        <v>191</v>
      </c>
    </row>
    <row r="5459" spans="1:4" x14ac:dyDescent="0.2">
      <c r="A5459" t="s">
        <v>12153</v>
      </c>
      <c r="B5459" t="s">
        <v>12154</v>
      </c>
      <c r="C5459" t="s">
        <v>190</v>
      </c>
      <c r="D5459" t="s">
        <v>191</v>
      </c>
    </row>
    <row r="5460" spans="1:4" x14ac:dyDescent="0.2">
      <c r="A5460" t="s">
        <v>12155</v>
      </c>
      <c r="B5460" t="s">
        <v>12156</v>
      </c>
      <c r="C5460" t="s">
        <v>190</v>
      </c>
      <c r="D5460" t="s">
        <v>191</v>
      </c>
    </row>
    <row r="5461" spans="1:4" x14ac:dyDescent="0.2">
      <c r="A5461" t="s">
        <v>12157</v>
      </c>
      <c r="B5461" t="s">
        <v>12158</v>
      </c>
      <c r="C5461" t="s">
        <v>190</v>
      </c>
      <c r="D5461" t="s">
        <v>191</v>
      </c>
    </row>
    <row r="5462" spans="1:4" x14ac:dyDescent="0.2">
      <c r="A5462" t="s">
        <v>12159</v>
      </c>
      <c r="B5462" t="s">
        <v>12160</v>
      </c>
      <c r="C5462" t="s">
        <v>190</v>
      </c>
      <c r="D5462" t="s">
        <v>12161</v>
      </c>
    </row>
    <row r="5463" spans="1:4" x14ac:dyDescent="0.2">
      <c r="A5463" t="s">
        <v>12159</v>
      </c>
      <c r="B5463" t="s">
        <v>12162</v>
      </c>
      <c r="C5463" t="s">
        <v>12163</v>
      </c>
      <c r="D5463" t="s">
        <v>195</v>
      </c>
    </row>
    <row r="5464" spans="1:4" x14ac:dyDescent="0.2">
      <c r="A5464" t="s">
        <v>12164</v>
      </c>
      <c r="B5464" t="s">
        <v>12165</v>
      </c>
      <c r="C5464" t="s">
        <v>12166</v>
      </c>
      <c r="D5464" t="s">
        <v>195</v>
      </c>
    </row>
    <row r="5465" spans="1:4" x14ac:dyDescent="0.2">
      <c r="A5465" t="s">
        <v>12167</v>
      </c>
      <c r="B5465" t="s">
        <v>12168</v>
      </c>
      <c r="C5465" t="s">
        <v>190</v>
      </c>
      <c r="D5465" t="s">
        <v>12169</v>
      </c>
    </row>
    <row r="5466" spans="1:4" x14ac:dyDescent="0.2">
      <c r="A5466" t="s">
        <v>12170</v>
      </c>
      <c r="B5466" t="s">
        <v>12171</v>
      </c>
      <c r="C5466" t="s">
        <v>190</v>
      </c>
      <c r="D5466" t="s">
        <v>191</v>
      </c>
    </row>
    <row r="5467" spans="1:4" x14ac:dyDescent="0.2">
      <c r="A5467" t="s">
        <v>12172</v>
      </c>
      <c r="B5467" t="s">
        <v>12173</v>
      </c>
      <c r="C5467" t="s">
        <v>12174</v>
      </c>
      <c r="D5467" t="s">
        <v>195</v>
      </c>
    </row>
    <row r="5468" spans="1:4" x14ac:dyDescent="0.2">
      <c r="A5468" t="s">
        <v>12175</v>
      </c>
      <c r="B5468" t="s">
        <v>12176</v>
      </c>
      <c r="C5468" t="s">
        <v>12177</v>
      </c>
      <c r="D5468" t="s">
        <v>195</v>
      </c>
    </row>
    <row r="5469" spans="1:4" x14ac:dyDescent="0.2">
      <c r="A5469" t="s">
        <v>12178</v>
      </c>
      <c r="B5469" t="s">
        <v>12179</v>
      </c>
      <c r="C5469" t="s">
        <v>12180</v>
      </c>
      <c r="D5469" t="s">
        <v>187</v>
      </c>
    </row>
    <row r="5470" spans="1:4" x14ac:dyDescent="0.2">
      <c r="A5470" t="s">
        <v>12181</v>
      </c>
      <c r="B5470" t="s">
        <v>12182</v>
      </c>
      <c r="C5470" t="s">
        <v>12183</v>
      </c>
      <c r="D5470" t="s">
        <v>187</v>
      </c>
    </row>
    <row r="5471" spans="1:4" x14ac:dyDescent="0.2">
      <c r="A5471" t="s">
        <v>12184</v>
      </c>
      <c r="B5471" t="s">
        <v>12185</v>
      </c>
      <c r="C5471" t="s">
        <v>12186</v>
      </c>
      <c r="D5471" t="s">
        <v>195</v>
      </c>
    </row>
    <row r="5472" spans="1:4" x14ac:dyDescent="0.2">
      <c r="A5472" t="s">
        <v>12184</v>
      </c>
      <c r="B5472" t="s">
        <v>12187</v>
      </c>
      <c r="C5472" t="s">
        <v>12188</v>
      </c>
      <c r="D5472" t="s">
        <v>195</v>
      </c>
    </row>
    <row r="5473" spans="1:4" x14ac:dyDescent="0.2">
      <c r="A5473" t="s">
        <v>12184</v>
      </c>
      <c r="B5473" t="s">
        <v>12189</v>
      </c>
      <c r="C5473" t="s">
        <v>190</v>
      </c>
      <c r="D5473" t="s">
        <v>191</v>
      </c>
    </row>
    <row r="5474" spans="1:4" x14ac:dyDescent="0.2">
      <c r="A5474" t="s">
        <v>12184</v>
      </c>
      <c r="B5474" t="s">
        <v>12190</v>
      </c>
      <c r="C5474" t="s">
        <v>190</v>
      </c>
      <c r="D5474" t="s">
        <v>191</v>
      </c>
    </row>
    <row r="5475" spans="1:4" x14ac:dyDescent="0.2">
      <c r="A5475" t="s">
        <v>12191</v>
      </c>
      <c r="B5475" t="s">
        <v>12192</v>
      </c>
      <c r="C5475" t="s">
        <v>190</v>
      </c>
      <c r="D5475" t="s">
        <v>191</v>
      </c>
    </row>
    <row r="5476" spans="1:4" x14ac:dyDescent="0.2">
      <c r="A5476" t="s">
        <v>12193</v>
      </c>
      <c r="B5476" t="s">
        <v>12194</v>
      </c>
      <c r="C5476" t="s">
        <v>190</v>
      </c>
      <c r="D5476" t="s">
        <v>191</v>
      </c>
    </row>
    <row r="5477" spans="1:4" x14ac:dyDescent="0.2">
      <c r="A5477" t="s">
        <v>12195</v>
      </c>
      <c r="B5477" t="s">
        <v>12196</v>
      </c>
      <c r="C5477" t="s">
        <v>12197</v>
      </c>
      <c r="D5477" t="s">
        <v>187</v>
      </c>
    </row>
    <row r="5478" spans="1:4" x14ac:dyDescent="0.2">
      <c r="A5478" t="s">
        <v>12198</v>
      </c>
      <c r="B5478" t="s">
        <v>12199</v>
      </c>
      <c r="C5478" t="s">
        <v>190</v>
      </c>
      <c r="D5478" t="s">
        <v>191</v>
      </c>
    </row>
    <row r="5479" spans="1:4" x14ac:dyDescent="0.2">
      <c r="A5479" t="s">
        <v>12200</v>
      </c>
      <c r="B5479" t="s">
        <v>12201</v>
      </c>
      <c r="C5479" t="s">
        <v>12202</v>
      </c>
      <c r="D5479" t="s">
        <v>195</v>
      </c>
    </row>
    <row r="5480" spans="1:4" x14ac:dyDescent="0.2">
      <c r="A5480" t="s">
        <v>12203</v>
      </c>
      <c r="B5480" t="s">
        <v>12204</v>
      </c>
      <c r="C5480" t="s">
        <v>190</v>
      </c>
      <c r="D5480" t="s">
        <v>191</v>
      </c>
    </row>
    <row r="5481" spans="1:4" x14ac:dyDescent="0.2">
      <c r="A5481" t="s">
        <v>12205</v>
      </c>
      <c r="B5481" t="s">
        <v>12206</v>
      </c>
      <c r="C5481" t="s">
        <v>190</v>
      </c>
      <c r="D5481" t="s">
        <v>191</v>
      </c>
    </row>
    <row r="5482" spans="1:4" x14ac:dyDescent="0.2">
      <c r="A5482" t="s">
        <v>12205</v>
      </c>
      <c r="B5482" t="s">
        <v>12207</v>
      </c>
      <c r="C5482" t="s">
        <v>190</v>
      </c>
      <c r="D5482" t="s">
        <v>191</v>
      </c>
    </row>
    <row r="5483" spans="1:4" x14ac:dyDescent="0.2">
      <c r="A5483" t="s">
        <v>12208</v>
      </c>
      <c r="B5483" t="s">
        <v>12209</v>
      </c>
      <c r="C5483" t="s">
        <v>190</v>
      </c>
      <c r="D5483" t="s">
        <v>191</v>
      </c>
    </row>
    <row r="5484" spans="1:4" x14ac:dyDescent="0.2">
      <c r="A5484" t="s">
        <v>12210</v>
      </c>
      <c r="B5484" t="s">
        <v>12211</v>
      </c>
      <c r="C5484" t="s">
        <v>190</v>
      </c>
      <c r="D5484" t="s">
        <v>191</v>
      </c>
    </row>
    <row r="5485" spans="1:4" x14ac:dyDescent="0.2">
      <c r="A5485" t="s">
        <v>12212</v>
      </c>
      <c r="B5485" t="s">
        <v>12213</v>
      </c>
      <c r="C5485" t="s">
        <v>12214</v>
      </c>
      <c r="D5485" t="s">
        <v>187</v>
      </c>
    </row>
    <row r="5486" spans="1:4" x14ac:dyDescent="0.2">
      <c r="A5486" t="s">
        <v>12215</v>
      </c>
      <c r="B5486" t="s">
        <v>12216</v>
      </c>
      <c r="C5486" t="s">
        <v>190</v>
      </c>
      <c r="D5486" t="s">
        <v>191</v>
      </c>
    </row>
    <row r="5487" spans="1:4" x14ac:dyDescent="0.2">
      <c r="A5487" t="s">
        <v>12217</v>
      </c>
      <c r="B5487" t="s">
        <v>12218</v>
      </c>
      <c r="C5487" t="s">
        <v>190</v>
      </c>
      <c r="D5487" t="s">
        <v>12219</v>
      </c>
    </row>
    <row r="5488" spans="1:4" x14ac:dyDescent="0.2">
      <c r="A5488" t="s">
        <v>12217</v>
      </c>
      <c r="B5488" t="s">
        <v>12220</v>
      </c>
      <c r="C5488" t="s">
        <v>190</v>
      </c>
      <c r="D5488" t="s">
        <v>191</v>
      </c>
    </row>
    <row r="5489" spans="1:4" x14ac:dyDescent="0.2">
      <c r="A5489" t="s">
        <v>12221</v>
      </c>
      <c r="B5489" t="s">
        <v>12222</v>
      </c>
      <c r="C5489" t="s">
        <v>12223</v>
      </c>
      <c r="D5489" t="s">
        <v>187</v>
      </c>
    </row>
    <row r="5490" spans="1:4" x14ac:dyDescent="0.2">
      <c r="A5490" t="s">
        <v>12224</v>
      </c>
      <c r="B5490" t="s">
        <v>12225</v>
      </c>
      <c r="C5490" t="s">
        <v>190</v>
      </c>
      <c r="D5490" t="s">
        <v>191</v>
      </c>
    </row>
    <row r="5491" spans="1:4" x14ac:dyDescent="0.2">
      <c r="A5491" t="s">
        <v>12226</v>
      </c>
      <c r="B5491" t="s">
        <v>12227</v>
      </c>
      <c r="C5491" t="s">
        <v>190</v>
      </c>
      <c r="D5491" t="s">
        <v>191</v>
      </c>
    </row>
    <row r="5492" spans="1:4" x14ac:dyDescent="0.2">
      <c r="A5492" t="s">
        <v>12226</v>
      </c>
      <c r="B5492" t="s">
        <v>12228</v>
      </c>
      <c r="C5492" t="s">
        <v>190</v>
      </c>
      <c r="D5492" t="s">
        <v>191</v>
      </c>
    </row>
    <row r="5493" spans="1:4" x14ac:dyDescent="0.2">
      <c r="A5493" t="s">
        <v>12229</v>
      </c>
      <c r="B5493" t="s">
        <v>12230</v>
      </c>
      <c r="C5493" t="s">
        <v>190</v>
      </c>
      <c r="D5493" t="s">
        <v>191</v>
      </c>
    </row>
    <row r="5494" spans="1:4" x14ac:dyDescent="0.2">
      <c r="A5494" t="s">
        <v>12231</v>
      </c>
      <c r="B5494" t="s">
        <v>12232</v>
      </c>
      <c r="C5494" t="s">
        <v>190</v>
      </c>
      <c r="D5494" t="s">
        <v>280</v>
      </c>
    </row>
    <row r="5495" spans="1:4" x14ac:dyDescent="0.2">
      <c r="A5495" t="s">
        <v>12233</v>
      </c>
      <c r="B5495" t="s">
        <v>12234</v>
      </c>
      <c r="C5495" t="s">
        <v>190</v>
      </c>
      <c r="D5495" t="s">
        <v>191</v>
      </c>
    </row>
    <row r="5496" spans="1:4" x14ac:dyDescent="0.2">
      <c r="A5496" t="s">
        <v>12235</v>
      </c>
      <c r="B5496" t="s">
        <v>12236</v>
      </c>
      <c r="C5496" t="s">
        <v>190</v>
      </c>
      <c r="D5496" t="s">
        <v>191</v>
      </c>
    </row>
    <row r="5497" spans="1:4" x14ac:dyDescent="0.2">
      <c r="A5497" t="s">
        <v>12237</v>
      </c>
      <c r="B5497" t="s">
        <v>12238</v>
      </c>
      <c r="C5497" t="s">
        <v>190</v>
      </c>
      <c r="D5497" t="s">
        <v>191</v>
      </c>
    </row>
    <row r="5498" spans="1:4" x14ac:dyDescent="0.2">
      <c r="A5498" t="s">
        <v>12239</v>
      </c>
      <c r="B5498" t="s">
        <v>12240</v>
      </c>
      <c r="C5498" t="s">
        <v>190</v>
      </c>
      <c r="D5498" t="s">
        <v>191</v>
      </c>
    </row>
    <row r="5499" spans="1:4" x14ac:dyDescent="0.2">
      <c r="A5499" t="s">
        <v>12241</v>
      </c>
      <c r="B5499" t="s">
        <v>12242</v>
      </c>
      <c r="C5499" t="s">
        <v>190</v>
      </c>
      <c r="D5499" t="s">
        <v>191</v>
      </c>
    </row>
    <row r="5500" spans="1:4" x14ac:dyDescent="0.2">
      <c r="A5500" t="s">
        <v>12243</v>
      </c>
      <c r="B5500" t="s">
        <v>12244</v>
      </c>
      <c r="C5500" t="s">
        <v>12245</v>
      </c>
      <c r="D5500" t="s">
        <v>195</v>
      </c>
    </row>
    <row r="5501" spans="1:4" x14ac:dyDescent="0.2">
      <c r="A5501" t="s">
        <v>12246</v>
      </c>
      <c r="B5501" t="s">
        <v>12247</v>
      </c>
      <c r="C5501" t="s">
        <v>12248</v>
      </c>
      <c r="D5501" t="s">
        <v>187</v>
      </c>
    </row>
    <row r="5502" spans="1:4" x14ac:dyDescent="0.2">
      <c r="A5502" t="s">
        <v>12249</v>
      </c>
      <c r="B5502" t="s">
        <v>12250</v>
      </c>
      <c r="C5502" t="s">
        <v>190</v>
      </c>
      <c r="D5502" t="s">
        <v>280</v>
      </c>
    </row>
    <row r="5503" spans="1:4" x14ac:dyDescent="0.2">
      <c r="A5503" t="s">
        <v>12249</v>
      </c>
      <c r="B5503" t="s">
        <v>12251</v>
      </c>
      <c r="C5503" t="s">
        <v>190</v>
      </c>
      <c r="D5503" t="s">
        <v>12252</v>
      </c>
    </row>
    <row r="5504" spans="1:4" x14ac:dyDescent="0.2">
      <c r="A5504" t="s">
        <v>12249</v>
      </c>
      <c r="B5504" t="s">
        <v>12253</v>
      </c>
      <c r="C5504" t="s">
        <v>190</v>
      </c>
      <c r="D5504" t="s">
        <v>280</v>
      </c>
    </row>
    <row r="5505" spans="1:4" x14ac:dyDescent="0.2">
      <c r="A5505" t="s">
        <v>12249</v>
      </c>
      <c r="B5505" t="s">
        <v>12254</v>
      </c>
      <c r="C5505" t="s">
        <v>190</v>
      </c>
      <c r="D5505" t="s">
        <v>280</v>
      </c>
    </row>
    <row r="5506" spans="1:4" x14ac:dyDescent="0.2">
      <c r="A5506" t="s">
        <v>12255</v>
      </c>
      <c r="B5506" t="s">
        <v>12256</v>
      </c>
      <c r="C5506" t="s">
        <v>190</v>
      </c>
      <c r="D5506" t="s">
        <v>191</v>
      </c>
    </row>
    <row r="5507" spans="1:4" x14ac:dyDescent="0.2">
      <c r="A5507" t="s">
        <v>12257</v>
      </c>
      <c r="B5507" t="s">
        <v>12258</v>
      </c>
      <c r="C5507" t="s">
        <v>190</v>
      </c>
      <c r="D5507" t="s">
        <v>191</v>
      </c>
    </row>
    <row r="5508" spans="1:4" x14ac:dyDescent="0.2">
      <c r="A5508" t="s">
        <v>12259</v>
      </c>
      <c r="B5508" t="s">
        <v>12260</v>
      </c>
      <c r="C5508" t="s">
        <v>190</v>
      </c>
      <c r="D5508" t="s">
        <v>191</v>
      </c>
    </row>
    <row r="5509" spans="1:4" x14ac:dyDescent="0.2">
      <c r="A5509" t="s">
        <v>12261</v>
      </c>
      <c r="B5509" t="s">
        <v>12262</v>
      </c>
      <c r="C5509" t="s">
        <v>190</v>
      </c>
      <c r="D5509" t="s">
        <v>191</v>
      </c>
    </row>
    <row r="5510" spans="1:4" x14ac:dyDescent="0.2">
      <c r="A5510" t="s">
        <v>12263</v>
      </c>
      <c r="B5510" t="s">
        <v>12264</v>
      </c>
      <c r="C5510" t="s">
        <v>190</v>
      </c>
      <c r="D5510" t="s">
        <v>191</v>
      </c>
    </row>
    <row r="5511" spans="1:4" x14ac:dyDescent="0.2">
      <c r="A5511" t="s">
        <v>12265</v>
      </c>
      <c r="B5511" t="s">
        <v>12266</v>
      </c>
      <c r="C5511" t="s">
        <v>190</v>
      </c>
      <c r="D5511" t="s">
        <v>191</v>
      </c>
    </row>
    <row r="5512" spans="1:4" x14ac:dyDescent="0.2">
      <c r="A5512" t="s">
        <v>12267</v>
      </c>
      <c r="B5512" t="s">
        <v>12268</v>
      </c>
      <c r="C5512" t="s">
        <v>190</v>
      </c>
      <c r="D5512" t="s">
        <v>191</v>
      </c>
    </row>
    <row r="5513" spans="1:4" x14ac:dyDescent="0.2">
      <c r="A5513" t="s">
        <v>12269</v>
      </c>
      <c r="B5513" t="s">
        <v>12270</v>
      </c>
      <c r="C5513" t="s">
        <v>12271</v>
      </c>
      <c r="D5513" t="s">
        <v>195</v>
      </c>
    </row>
    <row r="5514" spans="1:4" x14ac:dyDescent="0.2">
      <c r="A5514" t="s">
        <v>12272</v>
      </c>
      <c r="B5514" t="s">
        <v>12273</v>
      </c>
      <c r="C5514" t="s">
        <v>190</v>
      </c>
      <c r="D5514" t="s">
        <v>191</v>
      </c>
    </row>
    <row r="5515" spans="1:4" x14ac:dyDescent="0.2">
      <c r="A5515" t="s">
        <v>12274</v>
      </c>
      <c r="B5515" t="s">
        <v>12275</v>
      </c>
      <c r="C5515" t="s">
        <v>12276</v>
      </c>
      <c r="D5515" t="s">
        <v>195</v>
      </c>
    </row>
    <row r="5516" spans="1:4" x14ac:dyDescent="0.2">
      <c r="A5516" t="s">
        <v>12277</v>
      </c>
      <c r="B5516" t="s">
        <v>12278</v>
      </c>
      <c r="C5516" t="s">
        <v>190</v>
      </c>
      <c r="D5516" t="s">
        <v>191</v>
      </c>
    </row>
    <row r="5517" spans="1:4" x14ac:dyDescent="0.2">
      <c r="A5517" t="s">
        <v>12279</v>
      </c>
      <c r="B5517" t="s">
        <v>12280</v>
      </c>
      <c r="C5517" t="s">
        <v>190</v>
      </c>
      <c r="D5517" t="s">
        <v>280</v>
      </c>
    </row>
    <row r="5518" spans="1:4" x14ac:dyDescent="0.2">
      <c r="A5518" t="s">
        <v>12281</v>
      </c>
      <c r="B5518" t="s">
        <v>12282</v>
      </c>
      <c r="C5518" t="s">
        <v>190</v>
      </c>
      <c r="D5518" t="s">
        <v>191</v>
      </c>
    </row>
    <row r="5519" spans="1:4" x14ac:dyDescent="0.2">
      <c r="A5519" t="s">
        <v>12283</v>
      </c>
      <c r="B5519" t="s">
        <v>12284</v>
      </c>
      <c r="C5519" t="s">
        <v>12285</v>
      </c>
      <c r="D5519" t="s">
        <v>195</v>
      </c>
    </row>
    <row r="5520" spans="1:4" x14ac:dyDescent="0.2">
      <c r="A5520" t="s">
        <v>12286</v>
      </c>
      <c r="B5520" t="s">
        <v>12287</v>
      </c>
      <c r="C5520" t="s">
        <v>190</v>
      </c>
      <c r="D5520" t="s">
        <v>191</v>
      </c>
    </row>
    <row r="5521" spans="1:4" x14ac:dyDescent="0.2">
      <c r="A5521" t="s">
        <v>12286</v>
      </c>
      <c r="B5521" t="s">
        <v>12288</v>
      </c>
      <c r="C5521" t="s">
        <v>190</v>
      </c>
      <c r="D5521" t="s">
        <v>191</v>
      </c>
    </row>
    <row r="5522" spans="1:4" x14ac:dyDescent="0.2">
      <c r="A5522" t="s">
        <v>12286</v>
      </c>
      <c r="B5522" t="s">
        <v>12289</v>
      </c>
      <c r="C5522" t="s">
        <v>190</v>
      </c>
      <c r="D5522" t="s">
        <v>191</v>
      </c>
    </row>
    <row r="5523" spans="1:4" x14ac:dyDescent="0.2">
      <c r="A5523" t="s">
        <v>12290</v>
      </c>
      <c r="B5523" t="s">
        <v>12291</v>
      </c>
      <c r="C5523" t="s">
        <v>190</v>
      </c>
      <c r="D5523" t="s">
        <v>191</v>
      </c>
    </row>
    <row r="5524" spans="1:4" x14ac:dyDescent="0.2">
      <c r="A5524" t="s">
        <v>12292</v>
      </c>
      <c r="B5524" t="s">
        <v>12293</v>
      </c>
      <c r="C5524" t="s">
        <v>190</v>
      </c>
      <c r="D5524" t="s">
        <v>280</v>
      </c>
    </row>
    <row r="5525" spans="1:4" x14ac:dyDescent="0.2">
      <c r="A5525" t="s">
        <v>12294</v>
      </c>
      <c r="B5525" t="s">
        <v>12295</v>
      </c>
      <c r="C5525" t="s">
        <v>190</v>
      </c>
      <c r="D5525" t="s">
        <v>191</v>
      </c>
    </row>
    <row r="5526" spans="1:4" x14ac:dyDescent="0.2">
      <c r="A5526" t="s">
        <v>12296</v>
      </c>
      <c r="B5526" t="s">
        <v>12297</v>
      </c>
      <c r="C5526" t="s">
        <v>190</v>
      </c>
      <c r="D5526" t="s">
        <v>12298</v>
      </c>
    </row>
    <row r="5527" spans="1:4" x14ac:dyDescent="0.2">
      <c r="A5527" t="s">
        <v>12299</v>
      </c>
      <c r="B5527" t="s">
        <v>12300</v>
      </c>
      <c r="C5527" t="s">
        <v>12301</v>
      </c>
      <c r="D5527" t="s">
        <v>195</v>
      </c>
    </row>
    <row r="5528" spans="1:4" x14ac:dyDescent="0.2">
      <c r="A5528" t="s">
        <v>12302</v>
      </c>
      <c r="B5528" t="s">
        <v>12303</v>
      </c>
      <c r="C5528" t="s">
        <v>190</v>
      </c>
      <c r="D5528" t="s">
        <v>191</v>
      </c>
    </row>
    <row r="5529" spans="1:4" x14ac:dyDescent="0.2">
      <c r="A5529" t="s">
        <v>12304</v>
      </c>
      <c r="B5529" t="s">
        <v>12305</v>
      </c>
      <c r="C5529" t="s">
        <v>12306</v>
      </c>
      <c r="D5529" t="s">
        <v>195</v>
      </c>
    </row>
    <row r="5530" spans="1:4" x14ac:dyDescent="0.2">
      <c r="A5530" t="s">
        <v>12304</v>
      </c>
      <c r="B5530" t="s">
        <v>12307</v>
      </c>
      <c r="C5530" t="s">
        <v>12308</v>
      </c>
      <c r="D5530" t="s">
        <v>195</v>
      </c>
    </row>
    <row r="5531" spans="1:4" x14ac:dyDescent="0.2">
      <c r="A5531" t="s">
        <v>12304</v>
      </c>
      <c r="B5531" t="s">
        <v>12309</v>
      </c>
      <c r="C5531" t="s">
        <v>190</v>
      </c>
      <c r="D5531" t="s">
        <v>191</v>
      </c>
    </row>
    <row r="5532" spans="1:4" x14ac:dyDescent="0.2">
      <c r="A5532" t="s">
        <v>12304</v>
      </c>
      <c r="B5532" t="s">
        <v>12310</v>
      </c>
      <c r="C5532" t="s">
        <v>190</v>
      </c>
      <c r="D5532" t="s">
        <v>191</v>
      </c>
    </row>
    <row r="5533" spans="1:4" x14ac:dyDescent="0.2">
      <c r="A5533" t="s">
        <v>12304</v>
      </c>
      <c r="B5533" t="s">
        <v>12311</v>
      </c>
      <c r="C5533" t="s">
        <v>12312</v>
      </c>
      <c r="D5533" t="s">
        <v>195</v>
      </c>
    </row>
    <row r="5534" spans="1:4" x14ac:dyDescent="0.2">
      <c r="A5534" t="s">
        <v>12313</v>
      </c>
      <c r="B5534" t="s">
        <v>12314</v>
      </c>
      <c r="C5534" t="s">
        <v>12315</v>
      </c>
      <c r="D5534" t="s">
        <v>195</v>
      </c>
    </row>
    <row r="5535" spans="1:4" x14ac:dyDescent="0.2">
      <c r="A5535" t="s">
        <v>12313</v>
      </c>
      <c r="B5535" t="s">
        <v>12316</v>
      </c>
      <c r="C5535" t="s">
        <v>12317</v>
      </c>
      <c r="D5535" t="s">
        <v>195</v>
      </c>
    </row>
    <row r="5536" spans="1:4" x14ac:dyDescent="0.2">
      <c r="A5536" t="s">
        <v>12313</v>
      </c>
      <c r="B5536" t="s">
        <v>12318</v>
      </c>
      <c r="C5536" t="s">
        <v>12319</v>
      </c>
      <c r="D5536" t="s">
        <v>195</v>
      </c>
    </row>
    <row r="5537" spans="1:4" x14ac:dyDescent="0.2">
      <c r="A5537" t="s">
        <v>12320</v>
      </c>
      <c r="B5537" t="s">
        <v>12321</v>
      </c>
      <c r="C5537" t="s">
        <v>190</v>
      </c>
      <c r="D5537" t="s">
        <v>191</v>
      </c>
    </row>
    <row r="5538" spans="1:4" x14ac:dyDescent="0.2">
      <c r="A5538" t="s">
        <v>12322</v>
      </c>
      <c r="B5538" t="s">
        <v>12323</v>
      </c>
      <c r="C5538" t="s">
        <v>12324</v>
      </c>
      <c r="D5538" t="s">
        <v>195</v>
      </c>
    </row>
    <row r="5539" spans="1:4" x14ac:dyDescent="0.2">
      <c r="A5539" t="s">
        <v>12325</v>
      </c>
      <c r="B5539" t="s">
        <v>12326</v>
      </c>
      <c r="C5539" t="s">
        <v>12327</v>
      </c>
      <c r="D5539" t="s">
        <v>187</v>
      </c>
    </row>
    <row r="5540" spans="1:4" x14ac:dyDescent="0.2">
      <c r="A5540" t="s">
        <v>12328</v>
      </c>
      <c r="B5540" t="s">
        <v>12329</v>
      </c>
      <c r="C5540" t="s">
        <v>12330</v>
      </c>
      <c r="D5540" t="s">
        <v>187</v>
      </c>
    </row>
    <row r="5541" spans="1:4" x14ac:dyDescent="0.2">
      <c r="A5541" t="s">
        <v>12331</v>
      </c>
      <c r="B5541" t="s">
        <v>12332</v>
      </c>
      <c r="C5541" t="s">
        <v>190</v>
      </c>
      <c r="D5541" t="s">
        <v>191</v>
      </c>
    </row>
    <row r="5542" spans="1:4" x14ac:dyDescent="0.2">
      <c r="A5542" t="s">
        <v>12333</v>
      </c>
      <c r="B5542" t="s">
        <v>12334</v>
      </c>
      <c r="C5542" t="s">
        <v>12335</v>
      </c>
      <c r="D5542" t="s">
        <v>195</v>
      </c>
    </row>
    <row r="5543" spans="1:4" x14ac:dyDescent="0.2">
      <c r="A5543" t="s">
        <v>12336</v>
      </c>
      <c r="B5543" t="s">
        <v>12337</v>
      </c>
      <c r="C5543" t="s">
        <v>12338</v>
      </c>
      <c r="D5543" t="s">
        <v>187</v>
      </c>
    </row>
    <row r="5544" spans="1:4" x14ac:dyDescent="0.2">
      <c r="A5544" t="s">
        <v>12339</v>
      </c>
      <c r="B5544" t="s">
        <v>12340</v>
      </c>
      <c r="C5544" t="s">
        <v>12341</v>
      </c>
      <c r="D5544" t="s">
        <v>195</v>
      </c>
    </row>
    <row r="5545" spans="1:4" x14ac:dyDescent="0.2">
      <c r="A5545" t="s">
        <v>12342</v>
      </c>
      <c r="B5545" t="s">
        <v>12343</v>
      </c>
      <c r="C5545" t="s">
        <v>190</v>
      </c>
      <c r="D5545" t="s">
        <v>191</v>
      </c>
    </row>
    <row r="5546" spans="1:4" x14ac:dyDescent="0.2">
      <c r="A5546" t="s">
        <v>12344</v>
      </c>
      <c r="B5546" t="s">
        <v>12345</v>
      </c>
      <c r="C5546" t="s">
        <v>190</v>
      </c>
      <c r="D5546" t="s">
        <v>280</v>
      </c>
    </row>
    <row r="5547" spans="1:4" x14ac:dyDescent="0.2">
      <c r="A5547" t="s">
        <v>12346</v>
      </c>
      <c r="B5547" t="s">
        <v>12347</v>
      </c>
      <c r="C5547" t="s">
        <v>12348</v>
      </c>
      <c r="D5547" t="s">
        <v>195</v>
      </c>
    </row>
    <row r="5548" spans="1:4" x14ac:dyDescent="0.2">
      <c r="A5548" t="s">
        <v>12349</v>
      </c>
      <c r="B5548" t="s">
        <v>12350</v>
      </c>
      <c r="C5548" t="s">
        <v>190</v>
      </c>
      <c r="D5548" t="s">
        <v>191</v>
      </c>
    </row>
  </sheetData>
  <autoFilter ref="A7:D5548" xr:uid="{2CE281FE-B8AC-0A4D-9109-A530F01DB647}"/>
  <mergeCells count="1">
    <mergeCell ref="A4:N4"/>
  </mergeCells>
  <conditionalFormatting sqref="F12:G12 E26 E41 E62 E66 E100 E104:E105 E129 E141 E147 E164 E206 E224 E237 E279 E285:E286 E291 E300 E339 E344 E350 E361 E382 E384 E398 E404 E407 E426 E462 E514 E525:E527 E542 E546 E553">
    <cfRule type="containsText" dxfId="13" priority="1" stopIfTrue="1" operator="containsText" text="annotation">
      <formula>NOT(ISERROR(SEARCH("annotation",E12)))</formula>
    </cfRule>
    <cfRule type="containsText" dxfId="12" priority="2" stopIfTrue="1" operator="containsText" text="Discarded">
      <formula>NOT(ISERROR(SEARCH("Discarded",E12)))</formula>
    </cfRule>
    <cfRule type="containsText" dxfId="11" priority="3" operator="containsText" text="Lost_before_GSTF">
      <formula>NOT(ISERROR(SEARCH("Lost_before_GSTF",E12)))</formula>
    </cfRule>
    <cfRule type="containsText" dxfId="10" priority="4" stopIfTrue="1" operator="containsText" text="In_file">
      <formula>NOT(ISERROR(SEARCH("In_file",E12)))</formula>
    </cfRule>
  </conditionalFormatting>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0A22-AF55-4144-B2CD-89976735BA76}">
  <dimension ref="A1:J162"/>
  <sheetViews>
    <sheetView zoomScale="88" workbookViewId="0"/>
  </sheetViews>
  <sheetFormatPr baseColWidth="10" defaultRowHeight="19" x14ac:dyDescent="0.25"/>
  <cols>
    <col min="1" max="1" width="20.83203125" style="19" customWidth="1"/>
    <col min="2" max="2" width="19.1640625" customWidth="1"/>
    <col min="3" max="3" width="25.6640625" customWidth="1"/>
    <col min="4" max="5" width="39.83203125" bestFit="1" customWidth="1"/>
  </cols>
  <sheetData>
    <row r="1" spans="1:10" ht="21" x14ac:dyDescent="0.25">
      <c r="A1" s="25" t="s">
        <v>15052</v>
      </c>
    </row>
    <row r="2" spans="1:10" ht="21" x14ac:dyDescent="0.25">
      <c r="A2" s="25" t="s">
        <v>15112</v>
      </c>
    </row>
    <row r="3" spans="1:10" ht="16" x14ac:dyDescent="0.2">
      <c r="A3" t="s">
        <v>15145</v>
      </c>
      <c r="D3" s="1"/>
      <c r="E3" s="1"/>
    </row>
    <row r="4" spans="1:10" ht="55" customHeight="1" x14ac:dyDescent="0.2">
      <c r="A4" s="33" t="s">
        <v>15144</v>
      </c>
      <c r="B4" s="33"/>
      <c r="C4" s="33"/>
      <c r="D4" s="33"/>
      <c r="E4" s="33"/>
      <c r="F4" s="33"/>
      <c r="G4" s="33"/>
      <c r="H4" s="33"/>
      <c r="I4" s="33"/>
      <c r="J4" s="33"/>
    </row>
    <row r="7" spans="1:10" x14ac:dyDescent="0.25">
      <c r="A7" s="12" t="s">
        <v>0</v>
      </c>
      <c r="B7" s="12" t="s">
        <v>14552</v>
      </c>
      <c r="C7" s="12" t="s">
        <v>183</v>
      </c>
      <c r="D7" s="12" t="s">
        <v>15140</v>
      </c>
    </row>
    <row r="8" spans="1:10" x14ac:dyDescent="0.25">
      <c r="A8" s="19" t="s">
        <v>14553</v>
      </c>
      <c r="B8" t="s">
        <v>14554</v>
      </c>
      <c r="C8" t="s">
        <v>15141</v>
      </c>
      <c r="D8" t="s">
        <v>14811</v>
      </c>
    </row>
    <row r="9" spans="1:10" x14ac:dyDescent="0.25">
      <c r="A9" s="19" t="s">
        <v>14558</v>
      </c>
      <c r="B9" t="s">
        <v>14559</v>
      </c>
      <c r="C9" t="s">
        <v>15142</v>
      </c>
      <c r="D9" t="s">
        <v>15139</v>
      </c>
    </row>
    <row r="10" spans="1:10" x14ac:dyDescent="0.25">
      <c r="A10" s="19" t="s">
        <v>14561</v>
      </c>
      <c r="B10" t="s">
        <v>14562</v>
      </c>
      <c r="C10" t="s">
        <v>14555</v>
      </c>
      <c r="D10" t="s">
        <v>14811</v>
      </c>
    </row>
    <row r="11" spans="1:10" x14ac:dyDescent="0.25">
      <c r="A11" s="19" t="s">
        <v>14563</v>
      </c>
      <c r="B11" t="s">
        <v>14564</v>
      </c>
      <c r="C11" t="s">
        <v>15141</v>
      </c>
      <c r="D11" t="s">
        <v>14812</v>
      </c>
    </row>
    <row r="12" spans="1:10" x14ac:dyDescent="0.25">
      <c r="A12" s="19" t="s">
        <v>14565</v>
      </c>
      <c r="B12" t="s">
        <v>14566</v>
      </c>
      <c r="C12" t="s">
        <v>15141</v>
      </c>
      <c r="D12" t="s">
        <v>14812</v>
      </c>
    </row>
    <row r="13" spans="1:10" x14ac:dyDescent="0.25">
      <c r="A13" s="19" t="s">
        <v>14567</v>
      </c>
      <c r="B13" t="s">
        <v>14568</v>
      </c>
      <c r="C13" t="s">
        <v>15141</v>
      </c>
      <c r="D13" t="s">
        <v>14811</v>
      </c>
    </row>
    <row r="14" spans="1:10" x14ac:dyDescent="0.25">
      <c r="A14" s="19" t="s">
        <v>14569</v>
      </c>
      <c r="B14" t="s">
        <v>14570</v>
      </c>
      <c r="C14" t="s">
        <v>15143</v>
      </c>
      <c r="D14" t="s">
        <v>190</v>
      </c>
    </row>
    <row r="15" spans="1:10" x14ac:dyDescent="0.25">
      <c r="A15" s="19" t="s">
        <v>14571</v>
      </c>
      <c r="B15" t="s">
        <v>14570</v>
      </c>
      <c r="C15" t="s">
        <v>15143</v>
      </c>
      <c r="D15" t="s">
        <v>190</v>
      </c>
    </row>
    <row r="16" spans="1:10" x14ac:dyDescent="0.25">
      <c r="A16" s="19" t="s">
        <v>14572</v>
      </c>
      <c r="B16" t="s">
        <v>14570</v>
      </c>
      <c r="C16" t="s">
        <v>15143</v>
      </c>
      <c r="D16" t="s">
        <v>190</v>
      </c>
    </row>
    <row r="17" spans="1:4" x14ac:dyDescent="0.25">
      <c r="A17" s="19" t="s">
        <v>14573</v>
      </c>
      <c r="B17" t="s">
        <v>14570</v>
      </c>
      <c r="C17" t="s">
        <v>15143</v>
      </c>
      <c r="D17" t="s">
        <v>190</v>
      </c>
    </row>
    <row r="18" spans="1:4" x14ac:dyDescent="0.25">
      <c r="A18" s="19" t="s">
        <v>14574</v>
      </c>
      <c r="B18" t="s">
        <v>14570</v>
      </c>
      <c r="C18" t="s">
        <v>15143</v>
      </c>
      <c r="D18" t="s">
        <v>190</v>
      </c>
    </row>
    <row r="19" spans="1:4" x14ac:dyDescent="0.25">
      <c r="A19" s="19" t="s">
        <v>14575</v>
      </c>
      <c r="B19" t="s">
        <v>14576</v>
      </c>
      <c r="C19" t="s">
        <v>15141</v>
      </c>
      <c r="D19" t="s">
        <v>14811</v>
      </c>
    </row>
    <row r="20" spans="1:4" x14ac:dyDescent="0.25">
      <c r="A20" s="19" t="s">
        <v>14577</v>
      </c>
      <c r="B20" t="s">
        <v>14578</v>
      </c>
      <c r="C20" t="s">
        <v>15142</v>
      </c>
      <c r="D20" t="s">
        <v>15139</v>
      </c>
    </row>
    <row r="21" spans="1:4" x14ac:dyDescent="0.25">
      <c r="A21" s="19" t="s">
        <v>14579</v>
      </c>
      <c r="B21" t="s">
        <v>14580</v>
      </c>
      <c r="C21" t="s">
        <v>15141</v>
      </c>
      <c r="D21" t="s">
        <v>14811</v>
      </c>
    </row>
    <row r="22" spans="1:4" x14ac:dyDescent="0.25">
      <c r="A22" s="19" t="s">
        <v>1608</v>
      </c>
      <c r="B22" t="s">
        <v>14581</v>
      </c>
      <c r="C22" t="s">
        <v>15142</v>
      </c>
      <c r="D22" t="s">
        <v>15139</v>
      </c>
    </row>
    <row r="23" spans="1:4" x14ac:dyDescent="0.25">
      <c r="A23" s="19" t="s">
        <v>14582</v>
      </c>
      <c r="B23" t="s">
        <v>14583</v>
      </c>
      <c r="C23" t="s">
        <v>15142</v>
      </c>
      <c r="D23" t="s">
        <v>15139</v>
      </c>
    </row>
    <row r="24" spans="1:4" x14ac:dyDescent="0.25">
      <c r="A24" s="19" t="s">
        <v>14584</v>
      </c>
      <c r="B24" t="s">
        <v>14585</v>
      </c>
      <c r="C24" t="s">
        <v>15142</v>
      </c>
      <c r="D24" t="s">
        <v>15139</v>
      </c>
    </row>
    <row r="25" spans="1:4" x14ac:dyDescent="0.25">
      <c r="A25" s="19" t="s">
        <v>14586</v>
      </c>
      <c r="B25" t="s">
        <v>14587</v>
      </c>
      <c r="C25" t="s">
        <v>15142</v>
      </c>
      <c r="D25" t="s">
        <v>15139</v>
      </c>
    </row>
    <row r="26" spans="1:4" x14ac:dyDescent="0.25">
      <c r="A26" s="19" t="s">
        <v>14588</v>
      </c>
      <c r="B26" t="s">
        <v>14589</v>
      </c>
      <c r="C26" t="s">
        <v>15142</v>
      </c>
      <c r="D26" t="s">
        <v>15139</v>
      </c>
    </row>
    <row r="27" spans="1:4" x14ac:dyDescent="0.25">
      <c r="A27" s="19" t="s">
        <v>14590</v>
      </c>
      <c r="B27" t="s">
        <v>14591</v>
      </c>
      <c r="C27" t="s">
        <v>15141</v>
      </c>
      <c r="D27" t="s">
        <v>14811</v>
      </c>
    </row>
    <row r="28" spans="1:4" x14ac:dyDescent="0.25">
      <c r="A28" s="19" t="s">
        <v>14592</v>
      </c>
      <c r="B28" t="s">
        <v>14593</v>
      </c>
      <c r="C28" t="s">
        <v>15142</v>
      </c>
      <c r="D28" t="s">
        <v>15139</v>
      </c>
    </row>
    <row r="29" spans="1:4" x14ac:dyDescent="0.25">
      <c r="A29" s="19" t="s">
        <v>14594</v>
      </c>
      <c r="B29" t="s">
        <v>14595</v>
      </c>
      <c r="C29" t="s">
        <v>15142</v>
      </c>
      <c r="D29" t="s">
        <v>15139</v>
      </c>
    </row>
    <row r="30" spans="1:4" x14ac:dyDescent="0.25">
      <c r="A30" s="19" t="s">
        <v>14596</v>
      </c>
      <c r="B30" t="s">
        <v>14597</v>
      </c>
      <c r="C30" t="s">
        <v>15141</v>
      </c>
      <c r="D30" t="s">
        <v>14811</v>
      </c>
    </row>
    <row r="31" spans="1:4" x14ac:dyDescent="0.25">
      <c r="A31" s="19" t="s">
        <v>14598</v>
      </c>
      <c r="B31" t="s">
        <v>14599</v>
      </c>
      <c r="C31" t="s">
        <v>15142</v>
      </c>
      <c r="D31" t="s">
        <v>15139</v>
      </c>
    </row>
    <row r="32" spans="1:4" x14ac:dyDescent="0.25">
      <c r="A32" s="19" t="s">
        <v>14600</v>
      </c>
      <c r="B32" t="s">
        <v>14601</v>
      </c>
      <c r="C32" t="s">
        <v>15142</v>
      </c>
      <c r="D32" t="s">
        <v>15139</v>
      </c>
    </row>
    <row r="33" spans="1:4" x14ac:dyDescent="0.25">
      <c r="A33" s="19" t="s">
        <v>14602</v>
      </c>
      <c r="B33" t="s">
        <v>14603</v>
      </c>
      <c r="C33" t="s">
        <v>15142</v>
      </c>
      <c r="D33" t="s">
        <v>15139</v>
      </c>
    </row>
    <row r="34" spans="1:4" x14ac:dyDescent="0.25">
      <c r="A34" s="19" t="s">
        <v>14604</v>
      </c>
      <c r="B34" t="s">
        <v>14605</v>
      </c>
      <c r="C34" t="s">
        <v>15142</v>
      </c>
      <c r="D34" t="s">
        <v>15139</v>
      </c>
    </row>
    <row r="35" spans="1:4" x14ac:dyDescent="0.25">
      <c r="A35" s="19" t="s">
        <v>14606</v>
      </c>
      <c r="B35" t="s">
        <v>14607</v>
      </c>
      <c r="C35" t="s">
        <v>15142</v>
      </c>
      <c r="D35" t="s">
        <v>15139</v>
      </c>
    </row>
    <row r="36" spans="1:4" x14ac:dyDescent="0.25">
      <c r="A36" s="19" t="s">
        <v>14608</v>
      </c>
      <c r="B36" t="s">
        <v>14609</v>
      </c>
      <c r="C36" t="s">
        <v>15142</v>
      </c>
      <c r="D36" t="s">
        <v>15139</v>
      </c>
    </row>
    <row r="37" spans="1:4" x14ac:dyDescent="0.25">
      <c r="A37" s="19" t="s">
        <v>14610</v>
      </c>
      <c r="B37" t="s">
        <v>14611</v>
      </c>
      <c r="C37" t="s">
        <v>15142</v>
      </c>
      <c r="D37" t="s">
        <v>15139</v>
      </c>
    </row>
    <row r="38" spans="1:4" x14ac:dyDescent="0.25">
      <c r="A38" s="19" t="s">
        <v>14612</v>
      </c>
      <c r="B38" t="s">
        <v>14613</v>
      </c>
      <c r="C38" t="s">
        <v>15142</v>
      </c>
      <c r="D38" t="s">
        <v>15139</v>
      </c>
    </row>
    <row r="39" spans="1:4" x14ac:dyDescent="0.25">
      <c r="A39" s="19" t="s">
        <v>14614</v>
      </c>
      <c r="B39" t="s">
        <v>14615</v>
      </c>
      <c r="C39" t="s">
        <v>15142</v>
      </c>
      <c r="D39" t="s">
        <v>15139</v>
      </c>
    </row>
    <row r="40" spans="1:4" x14ac:dyDescent="0.25">
      <c r="A40" s="19" t="s">
        <v>14616</v>
      </c>
      <c r="B40" t="s">
        <v>14617</v>
      </c>
      <c r="C40" t="s">
        <v>15142</v>
      </c>
      <c r="D40" t="s">
        <v>15139</v>
      </c>
    </row>
    <row r="41" spans="1:4" x14ac:dyDescent="0.25">
      <c r="A41" s="19" t="s">
        <v>14618</v>
      </c>
      <c r="B41" t="s">
        <v>14619</v>
      </c>
      <c r="C41" t="s">
        <v>15142</v>
      </c>
      <c r="D41" t="s">
        <v>15139</v>
      </c>
    </row>
    <row r="42" spans="1:4" x14ac:dyDescent="0.25">
      <c r="A42" s="19" t="s">
        <v>14620</v>
      </c>
      <c r="B42" t="s">
        <v>14621</v>
      </c>
      <c r="C42" t="s">
        <v>15142</v>
      </c>
      <c r="D42" t="s">
        <v>15139</v>
      </c>
    </row>
    <row r="43" spans="1:4" x14ac:dyDescent="0.25">
      <c r="A43" s="19" t="s">
        <v>14622</v>
      </c>
      <c r="B43" t="s">
        <v>14570</v>
      </c>
      <c r="C43" t="s">
        <v>15143</v>
      </c>
      <c r="D43" t="s">
        <v>190</v>
      </c>
    </row>
    <row r="44" spans="1:4" x14ac:dyDescent="0.25">
      <c r="A44" s="19" t="s">
        <v>14623</v>
      </c>
      <c r="B44" t="s">
        <v>14570</v>
      </c>
      <c r="C44" t="s">
        <v>15143</v>
      </c>
      <c r="D44" t="s">
        <v>190</v>
      </c>
    </row>
    <row r="45" spans="1:4" x14ac:dyDescent="0.25">
      <c r="A45" s="19" t="s">
        <v>14624</v>
      </c>
      <c r="B45" t="s">
        <v>14625</v>
      </c>
      <c r="C45" t="s">
        <v>15142</v>
      </c>
      <c r="D45" t="s">
        <v>15139</v>
      </c>
    </row>
    <row r="46" spans="1:4" x14ac:dyDescent="0.25">
      <c r="A46" s="19" t="s">
        <v>14626</v>
      </c>
      <c r="B46" t="s">
        <v>14627</v>
      </c>
      <c r="C46" t="s">
        <v>15142</v>
      </c>
      <c r="D46" t="s">
        <v>15139</v>
      </c>
    </row>
    <row r="47" spans="1:4" x14ac:dyDescent="0.25">
      <c r="A47" s="19" t="s">
        <v>14628</v>
      </c>
      <c r="B47" t="s">
        <v>14629</v>
      </c>
      <c r="C47" t="s">
        <v>15142</v>
      </c>
      <c r="D47" t="s">
        <v>15139</v>
      </c>
    </row>
    <row r="48" spans="1:4" x14ac:dyDescent="0.25">
      <c r="A48" s="19" t="s">
        <v>14630</v>
      </c>
      <c r="B48" t="s">
        <v>14570</v>
      </c>
      <c r="C48" t="s">
        <v>15143</v>
      </c>
      <c r="D48" t="s">
        <v>190</v>
      </c>
    </row>
    <row r="49" spans="1:4" x14ac:dyDescent="0.25">
      <c r="A49" s="19" t="s">
        <v>14631</v>
      </c>
      <c r="B49" t="s">
        <v>14570</v>
      </c>
      <c r="C49" t="s">
        <v>15143</v>
      </c>
      <c r="D49" t="s">
        <v>190</v>
      </c>
    </row>
    <row r="50" spans="1:4" x14ac:dyDescent="0.25">
      <c r="A50" s="19" t="s">
        <v>14632</v>
      </c>
      <c r="B50" t="s">
        <v>14570</v>
      </c>
      <c r="C50" t="s">
        <v>15143</v>
      </c>
      <c r="D50" t="s">
        <v>190</v>
      </c>
    </row>
    <row r="51" spans="1:4" x14ac:dyDescent="0.25">
      <c r="A51" s="19" t="s">
        <v>14633</v>
      </c>
      <c r="B51" t="s">
        <v>14634</v>
      </c>
      <c r="C51" t="s">
        <v>15142</v>
      </c>
      <c r="D51" t="s">
        <v>15139</v>
      </c>
    </row>
    <row r="52" spans="1:4" x14ac:dyDescent="0.25">
      <c r="A52" s="19" t="s">
        <v>14635</v>
      </c>
      <c r="B52" t="s">
        <v>14570</v>
      </c>
      <c r="C52" t="s">
        <v>15143</v>
      </c>
      <c r="D52" t="s">
        <v>190</v>
      </c>
    </row>
    <row r="53" spans="1:4" x14ac:dyDescent="0.25">
      <c r="A53" s="19" t="s">
        <v>14636</v>
      </c>
      <c r="B53" t="s">
        <v>14637</v>
      </c>
      <c r="C53" t="s">
        <v>15142</v>
      </c>
      <c r="D53" t="s">
        <v>15139</v>
      </c>
    </row>
    <row r="54" spans="1:4" x14ac:dyDescent="0.25">
      <c r="A54" s="19" t="s">
        <v>14638</v>
      </c>
      <c r="B54" t="s">
        <v>14639</v>
      </c>
      <c r="C54" t="s">
        <v>15142</v>
      </c>
      <c r="D54" t="s">
        <v>15139</v>
      </c>
    </row>
    <row r="55" spans="1:4" x14ac:dyDescent="0.25">
      <c r="A55" s="19" t="s">
        <v>14640</v>
      </c>
      <c r="B55" t="s">
        <v>14570</v>
      </c>
      <c r="C55" t="s">
        <v>15143</v>
      </c>
      <c r="D55" t="s">
        <v>190</v>
      </c>
    </row>
    <row r="56" spans="1:4" x14ac:dyDescent="0.25">
      <c r="A56" s="19" t="s">
        <v>14641</v>
      </c>
      <c r="B56" t="s">
        <v>14642</v>
      </c>
      <c r="C56" t="s">
        <v>15142</v>
      </c>
      <c r="D56" t="s">
        <v>15139</v>
      </c>
    </row>
    <row r="57" spans="1:4" x14ac:dyDescent="0.25">
      <c r="A57" s="19" t="s">
        <v>14643</v>
      </c>
      <c r="B57" t="s">
        <v>14570</v>
      </c>
      <c r="C57" t="s">
        <v>15143</v>
      </c>
      <c r="D57" t="s">
        <v>190</v>
      </c>
    </row>
    <row r="58" spans="1:4" x14ac:dyDescent="0.25">
      <c r="A58" s="19" t="s">
        <v>14644</v>
      </c>
      <c r="B58" t="s">
        <v>14570</v>
      </c>
      <c r="C58" t="s">
        <v>15143</v>
      </c>
      <c r="D58" t="s">
        <v>190</v>
      </c>
    </row>
    <row r="59" spans="1:4" x14ac:dyDescent="0.25">
      <c r="A59" s="19" t="s">
        <v>14645</v>
      </c>
      <c r="B59" t="s">
        <v>14570</v>
      </c>
      <c r="C59" t="s">
        <v>15143</v>
      </c>
      <c r="D59" t="s">
        <v>190</v>
      </c>
    </row>
    <row r="60" spans="1:4" x14ac:dyDescent="0.25">
      <c r="A60" s="19" t="s">
        <v>14646</v>
      </c>
      <c r="B60" t="s">
        <v>14570</v>
      </c>
      <c r="C60" t="s">
        <v>15143</v>
      </c>
      <c r="D60" t="s">
        <v>190</v>
      </c>
    </row>
    <row r="61" spans="1:4" x14ac:dyDescent="0.25">
      <c r="A61" s="19" t="s">
        <v>14647</v>
      </c>
      <c r="B61" t="s">
        <v>14648</v>
      </c>
      <c r="C61" t="s">
        <v>15142</v>
      </c>
      <c r="D61" t="s">
        <v>15139</v>
      </c>
    </row>
    <row r="62" spans="1:4" x14ac:dyDescent="0.25">
      <c r="A62" s="19" t="s">
        <v>14649</v>
      </c>
      <c r="B62" t="s">
        <v>14570</v>
      </c>
      <c r="C62" t="s">
        <v>15143</v>
      </c>
      <c r="D62" t="s">
        <v>190</v>
      </c>
    </row>
    <row r="63" spans="1:4" x14ac:dyDescent="0.25">
      <c r="A63" s="19" t="s">
        <v>14650</v>
      </c>
      <c r="B63" t="s">
        <v>14570</v>
      </c>
      <c r="C63" t="s">
        <v>15143</v>
      </c>
      <c r="D63" t="s">
        <v>190</v>
      </c>
    </row>
    <row r="64" spans="1:4" x14ac:dyDescent="0.25">
      <c r="A64" s="19" t="s">
        <v>14651</v>
      </c>
      <c r="B64" t="s">
        <v>14652</v>
      </c>
      <c r="C64" t="s">
        <v>15142</v>
      </c>
      <c r="D64" t="s">
        <v>15139</v>
      </c>
    </row>
    <row r="65" spans="1:4" x14ac:dyDescent="0.25">
      <c r="A65" s="19" t="s">
        <v>14653</v>
      </c>
      <c r="B65" t="s">
        <v>14654</v>
      </c>
      <c r="C65" t="s">
        <v>15141</v>
      </c>
      <c r="D65" t="s">
        <v>14811</v>
      </c>
    </row>
    <row r="66" spans="1:4" x14ac:dyDescent="0.25">
      <c r="A66" s="19" t="s">
        <v>14655</v>
      </c>
      <c r="B66" t="s">
        <v>14570</v>
      </c>
      <c r="C66" t="s">
        <v>15143</v>
      </c>
      <c r="D66" t="s">
        <v>190</v>
      </c>
    </row>
    <row r="67" spans="1:4" x14ac:dyDescent="0.25">
      <c r="A67" s="19" t="s">
        <v>14656</v>
      </c>
      <c r="B67" t="s">
        <v>14657</v>
      </c>
      <c r="C67" t="s">
        <v>15142</v>
      </c>
      <c r="D67" t="s">
        <v>15139</v>
      </c>
    </row>
    <row r="68" spans="1:4" x14ac:dyDescent="0.25">
      <c r="A68" s="19" t="s">
        <v>14658</v>
      </c>
      <c r="B68" t="s">
        <v>14570</v>
      </c>
      <c r="C68" t="s">
        <v>15143</v>
      </c>
      <c r="D68" t="s">
        <v>190</v>
      </c>
    </row>
    <row r="69" spans="1:4" x14ac:dyDescent="0.25">
      <c r="A69" s="19" t="s">
        <v>14659</v>
      </c>
      <c r="B69" t="s">
        <v>14660</v>
      </c>
      <c r="C69" t="s">
        <v>15141</v>
      </c>
      <c r="D69" t="s">
        <v>14811</v>
      </c>
    </row>
    <row r="70" spans="1:4" x14ac:dyDescent="0.25">
      <c r="A70" s="19" t="s">
        <v>14661</v>
      </c>
      <c r="B70" t="s">
        <v>14662</v>
      </c>
      <c r="C70" t="s">
        <v>15142</v>
      </c>
      <c r="D70" t="s">
        <v>15139</v>
      </c>
    </row>
    <row r="71" spans="1:4" x14ac:dyDescent="0.25">
      <c r="A71" s="19" t="s">
        <v>14663</v>
      </c>
      <c r="B71" t="s">
        <v>14664</v>
      </c>
      <c r="C71" t="s">
        <v>15142</v>
      </c>
      <c r="D71" t="s">
        <v>15139</v>
      </c>
    </row>
    <row r="72" spans="1:4" x14ac:dyDescent="0.25">
      <c r="A72" s="19" t="s">
        <v>14665</v>
      </c>
      <c r="B72" t="s">
        <v>14666</v>
      </c>
      <c r="C72" t="s">
        <v>15141</v>
      </c>
      <c r="D72" t="s">
        <v>14811</v>
      </c>
    </row>
    <row r="73" spans="1:4" x14ac:dyDescent="0.25">
      <c r="A73" s="19" t="s">
        <v>14667</v>
      </c>
      <c r="B73" t="s">
        <v>14570</v>
      </c>
      <c r="C73" t="s">
        <v>15143</v>
      </c>
      <c r="D73" t="s">
        <v>190</v>
      </c>
    </row>
    <row r="74" spans="1:4" x14ac:dyDescent="0.25">
      <c r="A74" s="19" t="s">
        <v>14668</v>
      </c>
      <c r="B74" t="s">
        <v>14669</v>
      </c>
      <c r="C74" t="s">
        <v>15142</v>
      </c>
      <c r="D74" t="s">
        <v>15139</v>
      </c>
    </row>
    <row r="75" spans="1:4" x14ac:dyDescent="0.25">
      <c r="A75" s="19" t="s">
        <v>14670</v>
      </c>
      <c r="B75" t="s">
        <v>14671</v>
      </c>
      <c r="C75" t="s">
        <v>15142</v>
      </c>
      <c r="D75" t="s">
        <v>15139</v>
      </c>
    </row>
    <row r="76" spans="1:4" x14ac:dyDescent="0.25">
      <c r="A76" s="19" t="s">
        <v>14672</v>
      </c>
      <c r="B76" t="s">
        <v>14673</v>
      </c>
      <c r="C76" t="s">
        <v>15142</v>
      </c>
      <c r="D76" t="s">
        <v>15139</v>
      </c>
    </row>
    <row r="77" spans="1:4" x14ac:dyDescent="0.25">
      <c r="A77" s="19" t="s">
        <v>14674</v>
      </c>
      <c r="B77" t="s">
        <v>14675</v>
      </c>
      <c r="C77" t="s">
        <v>15142</v>
      </c>
      <c r="D77" t="s">
        <v>15139</v>
      </c>
    </row>
    <row r="78" spans="1:4" x14ac:dyDescent="0.25">
      <c r="A78" s="19" t="s">
        <v>14676</v>
      </c>
      <c r="B78" t="s">
        <v>14677</v>
      </c>
      <c r="C78" t="s">
        <v>15142</v>
      </c>
      <c r="D78" t="s">
        <v>15139</v>
      </c>
    </row>
    <row r="79" spans="1:4" x14ac:dyDescent="0.25">
      <c r="A79" s="19" t="s">
        <v>14678</v>
      </c>
      <c r="B79" t="s">
        <v>14679</v>
      </c>
      <c r="C79" t="s">
        <v>15142</v>
      </c>
      <c r="D79" t="s">
        <v>15139</v>
      </c>
    </row>
    <row r="80" spans="1:4" x14ac:dyDescent="0.25">
      <c r="A80" s="19" t="s">
        <v>14680</v>
      </c>
      <c r="B80" t="s">
        <v>14681</v>
      </c>
      <c r="C80" t="s">
        <v>15141</v>
      </c>
      <c r="D80" t="s">
        <v>14811</v>
      </c>
    </row>
    <row r="81" spans="1:4" x14ac:dyDescent="0.25">
      <c r="A81" s="19" t="s">
        <v>14682</v>
      </c>
      <c r="B81" t="s">
        <v>14683</v>
      </c>
      <c r="C81" t="s">
        <v>15142</v>
      </c>
      <c r="D81" t="s">
        <v>15139</v>
      </c>
    </row>
    <row r="82" spans="1:4" x14ac:dyDescent="0.25">
      <c r="A82" s="19" t="s">
        <v>14684</v>
      </c>
      <c r="B82" t="s">
        <v>14685</v>
      </c>
      <c r="C82" t="s">
        <v>15142</v>
      </c>
      <c r="D82" t="s">
        <v>15139</v>
      </c>
    </row>
    <row r="83" spans="1:4" x14ac:dyDescent="0.25">
      <c r="A83" s="19" t="s">
        <v>14686</v>
      </c>
      <c r="B83" t="s">
        <v>14687</v>
      </c>
      <c r="C83" t="s">
        <v>15142</v>
      </c>
      <c r="D83" t="s">
        <v>15139</v>
      </c>
    </row>
    <row r="84" spans="1:4" x14ac:dyDescent="0.25">
      <c r="A84" s="19" t="s">
        <v>14688</v>
      </c>
      <c r="B84" t="s">
        <v>14689</v>
      </c>
      <c r="C84" t="s">
        <v>15142</v>
      </c>
      <c r="D84" t="s">
        <v>15139</v>
      </c>
    </row>
    <row r="85" spans="1:4" x14ac:dyDescent="0.25">
      <c r="A85" s="19" t="s">
        <v>14690</v>
      </c>
      <c r="B85" t="s">
        <v>14691</v>
      </c>
      <c r="C85" t="s">
        <v>15142</v>
      </c>
      <c r="D85" t="s">
        <v>15139</v>
      </c>
    </row>
    <row r="86" spans="1:4" x14ac:dyDescent="0.25">
      <c r="A86" s="19" t="s">
        <v>14692</v>
      </c>
      <c r="B86" t="s">
        <v>14570</v>
      </c>
      <c r="C86" t="s">
        <v>15143</v>
      </c>
      <c r="D86" t="s">
        <v>190</v>
      </c>
    </row>
    <row r="87" spans="1:4" x14ac:dyDescent="0.25">
      <c r="A87" s="19" t="s">
        <v>14693</v>
      </c>
      <c r="B87" t="s">
        <v>14694</v>
      </c>
      <c r="C87" t="s">
        <v>15142</v>
      </c>
      <c r="D87" t="s">
        <v>15139</v>
      </c>
    </row>
    <row r="88" spans="1:4" x14ac:dyDescent="0.25">
      <c r="A88" s="19" t="s">
        <v>14695</v>
      </c>
      <c r="B88" t="s">
        <v>14696</v>
      </c>
      <c r="C88" t="s">
        <v>15142</v>
      </c>
      <c r="D88" t="s">
        <v>15139</v>
      </c>
    </row>
    <row r="89" spans="1:4" x14ac:dyDescent="0.25">
      <c r="A89" s="19" t="s">
        <v>14697</v>
      </c>
      <c r="B89" t="s">
        <v>14570</v>
      </c>
      <c r="C89" t="s">
        <v>15143</v>
      </c>
      <c r="D89" t="s">
        <v>190</v>
      </c>
    </row>
    <row r="90" spans="1:4" x14ac:dyDescent="0.25">
      <c r="A90" s="19" t="s">
        <v>14698</v>
      </c>
      <c r="B90" t="s">
        <v>14699</v>
      </c>
      <c r="C90" t="s">
        <v>15141</v>
      </c>
      <c r="D90" t="s">
        <v>14811</v>
      </c>
    </row>
    <row r="91" spans="1:4" x14ac:dyDescent="0.25">
      <c r="A91" s="19" t="s">
        <v>14700</v>
      </c>
      <c r="B91" t="s">
        <v>14701</v>
      </c>
      <c r="C91" t="s">
        <v>15141</v>
      </c>
      <c r="D91" t="s">
        <v>14811</v>
      </c>
    </row>
    <row r="92" spans="1:4" x14ac:dyDescent="0.25">
      <c r="A92" s="19" t="s">
        <v>14702</v>
      </c>
      <c r="B92" t="s">
        <v>14703</v>
      </c>
      <c r="C92" t="s">
        <v>15142</v>
      </c>
      <c r="D92" t="s">
        <v>15139</v>
      </c>
    </row>
    <row r="93" spans="1:4" x14ac:dyDescent="0.25">
      <c r="A93" s="19" t="s">
        <v>14704</v>
      </c>
      <c r="B93" t="s">
        <v>14705</v>
      </c>
      <c r="C93" t="s">
        <v>15142</v>
      </c>
      <c r="D93" t="s">
        <v>15139</v>
      </c>
    </row>
    <row r="94" spans="1:4" x14ac:dyDescent="0.25">
      <c r="A94" s="19" t="s">
        <v>14706</v>
      </c>
      <c r="B94" t="s">
        <v>14707</v>
      </c>
      <c r="C94" t="s">
        <v>15141</v>
      </c>
      <c r="D94" t="s">
        <v>14812</v>
      </c>
    </row>
    <row r="95" spans="1:4" x14ac:dyDescent="0.25">
      <c r="A95" s="19" t="s">
        <v>14708</v>
      </c>
      <c r="B95" t="s">
        <v>14570</v>
      </c>
      <c r="C95" t="s">
        <v>15143</v>
      </c>
      <c r="D95" t="s">
        <v>190</v>
      </c>
    </row>
    <row r="96" spans="1:4" x14ac:dyDescent="0.25">
      <c r="A96" s="19" t="s">
        <v>14709</v>
      </c>
      <c r="B96" t="s">
        <v>14710</v>
      </c>
      <c r="C96" t="s">
        <v>15141</v>
      </c>
      <c r="D96" t="s">
        <v>14811</v>
      </c>
    </row>
    <row r="97" spans="1:4" x14ac:dyDescent="0.25">
      <c r="A97" s="19" t="s">
        <v>14711</v>
      </c>
      <c r="B97" t="s">
        <v>14712</v>
      </c>
      <c r="C97" t="s">
        <v>15141</v>
      </c>
      <c r="D97" t="s">
        <v>14812</v>
      </c>
    </row>
    <row r="98" spans="1:4" x14ac:dyDescent="0.25">
      <c r="A98" s="19" t="s">
        <v>14713</v>
      </c>
      <c r="B98" t="s">
        <v>14570</v>
      </c>
      <c r="C98" t="s">
        <v>15143</v>
      </c>
      <c r="D98" t="s">
        <v>190</v>
      </c>
    </row>
    <row r="99" spans="1:4" x14ac:dyDescent="0.25">
      <c r="A99" s="19" t="s">
        <v>14714</v>
      </c>
      <c r="B99" t="s">
        <v>14570</v>
      </c>
      <c r="C99" t="s">
        <v>15143</v>
      </c>
      <c r="D99" t="s">
        <v>190</v>
      </c>
    </row>
    <row r="100" spans="1:4" x14ac:dyDescent="0.25">
      <c r="A100" s="19" t="s">
        <v>14715</v>
      </c>
      <c r="B100" t="s">
        <v>14570</v>
      </c>
      <c r="C100" t="s">
        <v>15143</v>
      </c>
      <c r="D100" t="s">
        <v>190</v>
      </c>
    </row>
    <row r="101" spans="1:4" x14ac:dyDescent="0.25">
      <c r="A101" s="19" t="s">
        <v>14716</v>
      </c>
      <c r="B101" t="s">
        <v>14570</v>
      </c>
      <c r="C101" t="s">
        <v>15143</v>
      </c>
      <c r="D101" t="s">
        <v>190</v>
      </c>
    </row>
    <row r="102" spans="1:4" x14ac:dyDescent="0.25">
      <c r="A102" s="19" t="s">
        <v>14717</v>
      </c>
      <c r="B102" t="s">
        <v>14570</v>
      </c>
      <c r="C102" t="s">
        <v>15143</v>
      </c>
      <c r="D102" t="s">
        <v>190</v>
      </c>
    </row>
    <row r="103" spans="1:4" x14ac:dyDescent="0.25">
      <c r="A103" s="19" t="s">
        <v>14718</v>
      </c>
      <c r="B103" t="s">
        <v>14570</v>
      </c>
      <c r="C103" t="s">
        <v>15143</v>
      </c>
      <c r="D103" t="s">
        <v>190</v>
      </c>
    </row>
    <row r="104" spans="1:4" x14ac:dyDescent="0.25">
      <c r="A104" s="19" t="s">
        <v>14719</v>
      </c>
      <c r="B104" t="s">
        <v>14570</v>
      </c>
      <c r="C104" t="s">
        <v>15143</v>
      </c>
      <c r="D104" t="s">
        <v>190</v>
      </c>
    </row>
    <row r="105" spans="1:4" x14ac:dyDescent="0.25">
      <c r="A105" s="19" t="s">
        <v>14720</v>
      </c>
      <c r="B105" t="s">
        <v>14570</v>
      </c>
      <c r="C105" t="s">
        <v>15143</v>
      </c>
      <c r="D105" t="s">
        <v>190</v>
      </c>
    </row>
    <row r="106" spans="1:4" x14ac:dyDescent="0.25">
      <c r="A106" s="19" t="s">
        <v>14721</v>
      </c>
      <c r="B106" t="s">
        <v>14722</v>
      </c>
      <c r="C106" t="s">
        <v>15141</v>
      </c>
      <c r="D106" t="s">
        <v>14812</v>
      </c>
    </row>
    <row r="107" spans="1:4" x14ac:dyDescent="0.25">
      <c r="A107" s="19" t="s">
        <v>14723</v>
      </c>
      <c r="B107" t="s">
        <v>14570</v>
      </c>
      <c r="C107" t="s">
        <v>15143</v>
      </c>
      <c r="D107" t="s">
        <v>190</v>
      </c>
    </row>
    <row r="108" spans="1:4" x14ac:dyDescent="0.25">
      <c r="A108" s="19" t="s">
        <v>14724</v>
      </c>
      <c r="B108" t="s">
        <v>14570</v>
      </c>
      <c r="C108" t="s">
        <v>15143</v>
      </c>
      <c r="D108" t="s">
        <v>190</v>
      </c>
    </row>
    <row r="109" spans="1:4" x14ac:dyDescent="0.25">
      <c r="A109" s="19" t="s">
        <v>14725</v>
      </c>
      <c r="B109" t="s">
        <v>14570</v>
      </c>
      <c r="C109" t="s">
        <v>15143</v>
      </c>
      <c r="D109" t="s">
        <v>190</v>
      </c>
    </row>
    <row r="110" spans="1:4" x14ac:dyDescent="0.25">
      <c r="A110" s="19" t="s">
        <v>14726</v>
      </c>
      <c r="B110" t="s">
        <v>14570</v>
      </c>
      <c r="C110" t="s">
        <v>15143</v>
      </c>
      <c r="D110" t="s">
        <v>190</v>
      </c>
    </row>
    <row r="111" spans="1:4" x14ac:dyDescent="0.25">
      <c r="A111" s="19" t="s">
        <v>14727</v>
      </c>
      <c r="B111" t="s">
        <v>14728</v>
      </c>
      <c r="C111" t="s">
        <v>15142</v>
      </c>
      <c r="D111" t="s">
        <v>15139</v>
      </c>
    </row>
    <row r="112" spans="1:4" x14ac:dyDescent="0.25">
      <c r="A112" s="19" t="s">
        <v>14729</v>
      </c>
      <c r="B112" t="s">
        <v>14730</v>
      </c>
      <c r="C112" t="s">
        <v>15141</v>
      </c>
      <c r="D112" t="s">
        <v>14811</v>
      </c>
    </row>
    <row r="113" spans="1:4" x14ac:dyDescent="0.25">
      <c r="A113" s="19" t="s">
        <v>14731</v>
      </c>
      <c r="B113" t="s">
        <v>14732</v>
      </c>
      <c r="C113" t="s">
        <v>15141</v>
      </c>
      <c r="D113" t="s">
        <v>14811</v>
      </c>
    </row>
    <row r="114" spans="1:4" x14ac:dyDescent="0.25">
      <c r="A114" s="19" t="s">
        <v>14733</v>
      </c>
      <c r="B114" t="s">
        <v>14734</v>
      </c>
      <c r="C114" t="s">
        <v>15142</v>
      </c>
      <c r="D114" t="s">
        <v>15139</v>
      </c>
    </row>
    <row r="115" spans="1:4" x14ac:dyDescent="0.25">
      <c r="A115" s="19" t="s">
        <v>14735</v>
      </c>
      <c r="B115" t="s">
        <v>14570</v>
      </c>
      <c r="C115" t="s">
        <v>15143</v>
      </c>
      <c r="D115" t="s">
        <v>190</v>
      </c>
    </row>
    <row r="116" spans="1:4" x14ac:dyDescent="0.25">
      <c r="A116" s="19" t="s">
        <v>14736</v>
      </c>
      <c r="B116" t="s">
        <v>14570</v>
      </c>
      <c r="C116" t="s">
        <v>15143</v>
      </c>
      <c r="D116" t="s">
        <v>190</v>
      </c>
    </row>
    <row r="117" spans="1:4" x14ac:dyDescent="0.25">
      <c r="A117" s="19" t="s">
        <v>14737</v>
      </c>
      <c r="B117" t="s">
        <v>14570</v>
      </c>
      <c r="C117" t="s">
        <v>15143</v>
      </c>
      <c r="D117" t="s">
        <v>190</v>
      </c>
    </row>
    <row r="118" spans="1:4" x14ac:dyDescent="0.25">
      <c r="A118" s="19" t="s">
        <v>14738</v>
      </c>
      <c r="B118" t="s">
        <v>14570</v>
      </c>
      <c r="C118" t="s">
        <v>15143</v>
      </c>
      <c r="D118" t="s">
        <v>190</v>
      </c>
    </row>
    <row r="119" spans="1:4" x14ac:dyDescent="0.25">
      <c r="A119" s="19" t="s">
        <v>14739</v>
      </c>
      <c r="B119" t="s">
        <v>14570</v>
      </c>
      <c r="C119" t="s">
        <v>15143</v>
      </c>
      <c r="D119" t="s">
        <v>190</v>
      </c>
    </row>
    <row r="120" spans="1:4" x14ac:dyDescent="0.25">
      <c r="A120" s="19" t="s">
        <v>14740</v>
      </c>
      <c r="B120" t="s">
        <v>14570</v>
      </c>
      <c r="C120" t="s">
        <v>15143</v>
      </c>
      <c r="D120" t="s">
        <v>190</v>
      </c>
    </row>
    <row r="121" spans="1:4" x14ac:dyDescent="0.25">
      <c r="A121" s="19" t="s">
        <v>14741</v>
      </c>
      <c r="B121" t="s">
        <v>14570</v>
      </c>
      <c r="C121" t="s">
        <v>15143</v>
      </c>
      <c r="D121" t="s">
        <v>190</v>
      </c>
    </row>
    <row r="122" spans="1:4" x14ac:dyDescent="0.25">
      <c r="A122" s="19" t="s">
        <v>14742</v>
      </c>
      <c r="B122" t="s">
        <v>14743</v>
      </c>
      <c r="C122" t="s">
        <v>15142</v>
      </c>
      <c r="D122" t="s">
        <v>15139</v>
      </c>
    </row>
    <row r="123" spans="1:4" x14ac:dyDescent="0.25">
      <c r="A123" s="19" t="s">
        <v>14744</v>
      </c>
      <c r="B123" t="s">
        <v>14745</v>
      </c>
      <c r="C123" t="s">
        <v>15141</v>
      </c>
      <c r="D123" t="s">
        <v>14812</v>
      </c>
    </row>
    <row r="124" spans="1:4" x14ac:dyDescent="0.25">
      <c r="A124" s="19" t="s">
        <v>14746</v>
      </c>
      <c r="B124" t="s">
        <v>14747</v>
      </c>
      <c r="C124" t="s">
        <v>15142</v>
      </c>
      <c r="D124" t="s">
        <v>15139</v>
      </c>
    </row>
    <row r="125" spans="1:4" x14ac:dyDescent="0.25">
      <c r="A125" s="19" t="s">
        <v>14748</v>
      </c>
      <c r="B125" t="s">
        <v>14749</v>
      </c>
      <c r="C125" t="s">
        <v>15142</v>
      </c>
      <c r="D125" t="s">
        <v>15139</v>
      </c>
    </row>
    <row r="126" spans="1:4" x14ac:dyDescent="0.25">
      <c r="A126" s="19" t="s">
        <v>14750</v>
      </c>
      <c r="B126" t="s">
        <v>14751</v>
      </c>
      <c r="C126" t="s">
        <v>15142</v>
      </c>
      <c r="D126" t="s">
        <v>15139</v>
      </c>
    </row>
    <row r="127" spans="1:4" x14ac:dyDescent="0.25">
      <c r="A127" s="19" t="s">
        <v>14752</v>
      </c>
      <c r="B127" t="s">
        <v>14753</v>
      </c>
      <c r="C127" t="s">
        <v>15142</v>
      </c>
      <c r="D127" t="s">
        <v>15139</v>
      </c>
    </row>
    <row r="128" spans="1:4" x14ac:dyDescent="0.25">
      <c r="A128" s="19" t="s">
        <v>14754</v>
      </c>
      <c r="B128" t="s">
        <v>14755</v>
      </c>
      <c r="C128" t="s">
        <v>15142</v>
      </c>
      <c r="D128" t="s">
        <v>15139</v>
      </c>
    </row>
    <row r="129" spans="1:4" x14ac:dyDescent="0.25">
      <c r="A129" s="19" t="s">
        <v>14756</v>
      </c>
      <c r="B129" t="s">
        <v>14570</v>
      </c>
      <c r="C129" t="s">
        <v>15143</v>
      </c>
      <c r="D129" t="s">
        <v>190</v>
      </c>
    </row>
    <row r="130" spans="1:4" x14ac:dyDescent="0.25">
      <c r="A130" s="19" t="s">
        <v>14757</v>
      </c>
      <c r="B130" t="s">
        <v>14758</v>
      </c>
      <c r="C130" t="s">
        <v>15142</v>
      </c>
      <c r="D130" t="s">
        <v>15139</v>
      </c>
    </row>
    <row r="131" spans="1:4" x14ac:dyDescent="0.25">
      <c r="A131" s="19" t="s">
        <v>14759</v>
      </c>
      <c r="B131" t="s">
        <v>14570</v>
      </c>
      <c r="C131" t="s">
        <v>15143</v>
      </c>
      <c r="D131" t="s">
        <v>190</v>
      </c>
    </row>
    <row r="132" spans="1:4" x14ac:dyDescent="0.25">
      <c r="A132" s="19" t="s">
        <v>14760</v>
      </c>
      <c r="B132" t="s">
        <v>14761</v>
      </c>
      <c r="C132" t="s">
        <v>15141</v>
      </c>
      <c r="D132" t="s">
        <v>14811</v>
      </c>
    </row>
    <row r="133" spans="1:4" x14ac:dyDescent="0.25">
      <c r="A133" s="19" t="s">
        <v>14762</v>
      </c>
      <c r="B133" t="s">
        <v>14763</v>
      </c>
      <c r="C133" t="s">
        <v>15141</v>
      </c>
      <c r="D133" t="s">
        <v>14812</v>
      </c>
    </row>
    <row r="134" spans="1:4" x14ac:dyDescent="0.25">
      <c r="A134" s="19" t="s">
        <v>14764</v>
      </c>
      <c r="B134" t="s">
        <v>14570</v>
      </c>
      <c r="C134" t="s">
        <v>15143</v>
      </c>
      <c r="D134" t="s">
        <v>190</v>
      </c>
    </row>
    <row r="135" spans="1:4" x14ac:dyDescent="0.25">
      <c r="A135" s="19" t="s">
        <v>14765</v>
      </c>
      <c r="B135" t="s">
        <v>14570</v>
      </c>
      <c r="C135" t="s">
        <v>15143</v>
      </c>
      <c r="D135" t="s">
        <v>190</v>
      </c>
    </row>
    <row r="136" spans="1:4" x14ac:dyDescent="0.25">
      <c r="A136" s="19" t="s">
        <v>14766</v>
      </c>
      <c r="B136" t="s">
        <v>14767</v>
      </c>
      <c r="C136" t="s">
        <v>15142</v>
      </c>
      <c r="D136" t="s">
        <v>15139</v>
      </c>
    </row>
    <row r="137" spans="1:4" x14ac:dyDescent="0.25">
      <c r="A137" s="19" t="s">
        <v>14768</v>
      </c>
      <c r="B137" t="s">
        <v>14769</v>
      </c>
      <c r="C137" t="s">
        <v>15141</v>
      </c>
      <c r="D137" t="s">
        <v>14811</v>
      </c>
    </row>
    <row r="138" spans="1:4" x14ac:dyDescent="0.25">
      <c r="A138" s="19" t="s">
        <v>14770</v>
      </c>
      <c r="B138" t="s">
        <v>14570</v>
      </c>
      <c r="C138" t="s">
        <v>15143</v>
      </c>
      <c r="D138" s="18" t="s">
        <v>190</v>
      </c>
    </row>
    <row r="139" spans="1:4" x14ac:dyDescent="0.25">
      <c r="A139" s="19" t="s">
        <v>14771</v>
      </c>
      <c r="B139" t="s">
        <v>14772</v>
      </c>
      <c r="C139" t="s">
        <v>15142</v>
      </c>
      <c r="D139" t="s">
        <v>15139</v>
      </c>
    </row>
    <row r="140" spans="1:4" x14ac:dyDescent="0.25">
      <c r="A140" s="19" t="s">
        <v>14773</v>
      </c>
      <c r="B140" t="s">
        <v>14570</v>
      </c>
      <c r="C140" t="s">
        <v>15143</v>
      </c>
      <c r="D140" s="18" t="s">
        <v>190</v>
      </c>
    </row>
    <row r="141" spans="1:4" x14ac:dyDescent="0.25">
      <c r="A141" s="19" t="s">
        <v>14774</v>
      </c>
      <c r="B141" t="s">
        <v>14570</v>
      </c>
      <c r="C141" t="s">
        <v>15143</v>
      </c>
      <c r="D141" s="18" t="s">
        <v>190</v>
      </c>
    </row>
    <row r="142" spans="1:4" x14ac:dyDescent="0.25">
      <c r="A142" s="19" t="s">
        <v>14775</v>
      </c>
      <c r="B142" t="s">
        <v>14776</v>
      </c>
      <c r="C142" t="s">
        <v>15141</v>
      </c>
      <c r="D142" t="s">
        <v>14811</v>
      </c>
    </row>
    <row r="143" spans="1:4" x14ac:dyDescent="0.25">
      <c r="A143" s="19" t="s">
        <v>14777</v>
      </c>
      <c r="B143" t="s">
        <v>14778</v>
      </c>
      <c r="C143" t="s">
        <v>15141</v>
      </c>
      <c r="D143" t="s">
        <v>14811</v>
      </c>
    </row>
    <row r="144" spans="1:4" x14ac:dyDescent="0.25">
      <c r="A144" s="19" t="s">
        <v>14779</v>
      </c>
      <c r="B144" t="s">
        <v>14780</v>
      </c>
      <c r="C144" t="s">
        <v>15142</v>
      </c>
      <c r="D144" t="s">
        <v>15139</v>
      </c>
    </row>
    <row r="145" spans="1:4" x14ac:dyDescent="0.25">
      <c r="A145" s="19" t="s">
        <v>14781</v>
      </c>
      <c r="B145" t="s">
        <v>14782</v>
      </c>
      <c r="C145" t="s">
        <v>15142</v>
      </c>
      <c r="D145" t="s">
        <v>15139</v>
      </c>
    </row>
    <row r="146" spans="1:4" x14ac:dyDescent="0.25">
      <c r="A146" s="19" t="s">
        <v>14783</v>
      </c>
      <c r="B146" t="s">
        <v>14784</v>
      </c>
      <c r="C146" t="s">
        <v>15142</v>
      </c>
      <c r="D146" t="s">
        <v>15139</v>
      </c>
    </row>
    <row r="147" spans="1:4" x14ac:dyDescent="0.25">
      <c r="A147" s="19" t="s">
        <v>14785</v>
      </c>
      <c r="B147" t="s">
        <v>14786</v>
      </c>
      <c r="C147" t="s">
        <v>15142</v>
      </c>
      <c r="D147" t="s">
        <v>15139</v>
      </c>
    </row>
    <row r="148" spans="1:4" x14ac:dyDescent="0.25">
      <c r="A148" s="19" t="s">
        <v>14787</v>
      </c>
      <c r="B148" t="s">
        <v>14788</v>
      </c>
      <c r="C148" t="s">
        <v>15142</v>
      </c>
      <c r="D148" t="s">
        <v>15139</v>
      </c>
    </row>
    <row r="149" spans="1:4" x14ac:dyDescent="0.25">
      <c r="A149" s="19" t="s">
        <v>14789</v>
      </c>
      <c r="B149" t="s">
        <v>14790</v>
      </c>
      <c r="C149" t="s">
        <v>15142</v>
      </c>
      <c r="D149" t="s">
        <v>15139</v>
      </c>
    </row>
    <row r="150" spans="1:4" x14ac:dyDescent="0.25">
      <c r="A150" s="19" t="s">
        <v>14791</v>
      </c>
      <c r="B150" t="s">
        <v>14792</v>
      </c>
      <c r="C150" t="s">
        <v>15142</v>
      </c>
      <c r="D150" t="s">
        <v>15139</v>
      </c>
    </row>
    <row r="151" spans="1:4" x14ac:dyDescent="0.25">
      <c r="A151" s="19" t="s">
        <v>14793</v>
      </c>
      <c r="B151" t="s">
        <v>14794</v>
      </c>
      <c r="C151" t="s">
        <v>15142</v>
      </c>
      <c r="D151" t="s">
        <v>15139</v>
      </c>
    </row>
    <row r="152" spans="1:4" x14ac:dyDescent="0.25">
      <c r="A152" s="19" t="s">
        <v>14795</v>
      </c>
      <c r="B152" t="s">
        <v>14796</v>
      </c>
      <c r="C152" t="s">
        <v>15142</v>
      </c>
      <c r="D152" t="s">
        <v>15139</v>
      </c>
    </row>
    <row r="153" spans="1:4" x14ac:dyDescent="0.25">
      <c r="A153" s="19" t="s">
        <v>14797</v>
      </c>
      <c r="B153" t="s">
        <v>14798</v>
      </c>
      <c r="C153" t="s">
        <v>15142</v>
      </c>
      <c r="D153" t="s">
        <v>15139</v>
      </c>
    </row>
    <row r="154" spans="1:4" x14ac:dyDescent="0.25">
      <c r="A154" s="19" t="s">
        <v>14799</v>
      </c>
      <c r="B154" t="s">
        <v>14800</v>
      </c>
      <c r="C154" t="s">
        <v>15142</v>
      </c>
      <c r="D154" t="s">
        <v>14813</v>
      </c>
    </row>
    <row r="155" spans="1:4" x14ac:dyDescent="0.25">
      <c r="A155" s="19" t="s">
        <v>14801</v>
      </c>
      <c r="B155" t="s">
        <v>14802</v>
      </c>
      <c r="C155" t="s">
        <v>15142</v>
      </c>
      <c r="D155" t="s">
        <v>14813</v>
      </c>
    </row>
    <row r="156" spans="1:4" x14ac:dyDescent="0.25">
      <c r="A156" s="19" t="s">
        <v>14803</v>
      </c>
      <c r="B156" t="s">
        <v>14804</v>
      </c>
      <c r="C156" t="s">
        <v>15142</v>
      </c>
      <c r="D156" t="s">
        <v>14813</v>
      </c>
    </row>
    <row r="157" spans="1:4" x14ac:dyDescent="0.25">
      <c r="A157" s="19" t="s">
        <v>14805</v>
      </c>
      <c r="B157" t="s">
        <v>14806</v>
      </c>
      <c r="C157" t="s">
        <v>15141</v>
      </c>
      <c r="D157" t="s">
        <v>14811</v>
      </c>
    </row>
    <row r="158" spans="1:4" x14ac:dyDescent="0.25">
      <c r="A158" s="19" t="s">
        <v>14807</v>
      </c>
      <c r="B158" t="s">
        <v>14808</v>
      </c>
      <c r="C158" t="s">
        <v>15142</v>
      </c>
      <c r="D158" t="s">
        <v>15139</v>
      </c>
    </row>
    <row r="159" spans="1:4" x14ac:dyDescent="0.25">
      <c r="A159" s="19" t="s">
        <v>14809</v>
      </c>
      <c r="B159" t="s">
        <v>14810</v>
      </c>
      <c r="C159" t="s">
        <v>15142</v>
      </c>
      <c r="D159" t="s">
        <v>15139</v>
      </c>
    </row>
    <row r="160" spans="1:4" x14ac:dyDescent="0.25">
      <c r="A160" s="20" t="s">
        <v>14565</v>
      </c>
      <c r="B160" s="17" t="s">
        <v>14566</v>
      </c>
      <c r="C160" s="17" t="s">
        <v>15141</v>
      </c>
      <c r="D160" t="s">
        <v>67</v>
      </c>
    </row>
    <row r="161" spans="1:4" x14ac:dyDescent="0.25">
      <c r="A161" s="20" t="s">
        <v>14709</v>
      </c>
      <c r="B161" s="17" t="s">
        <v>14710</v>
      </c>
      <c r="C161" s="17" t="s">
        <v>15141</v>
      </c>
      <c r="D161" t="s">
        <v>67</v>
      </c>
    </row>
    <row r="162" spans="1:4" x14ac:dyDescent="0.25">
      <c r="A162" s="20" t="s">
        <v>14711</v>
      </c>
      <c r="B162" s="17" t="s">
        <v>14712</v>
      </c>
      <c r="C162" s="17" t="s">
        <v>15141</v>
      </c>
      <c r="D162" t="s">
        <v>67</v>
      </c>
    </row>
  </sheetData>
  <autoFilter ref="A7:D159" xr:uid="{39AF76F4-01BF-AA47-8A31-AA4EDB2B6C30}"/>
  <mergeCells count="1">
    <mergeCell ref="A4:J4"/>
  </mergeCells>
  <conditionalFormatting sqref="C3">
    <cfRule type="containsText" dxfId="9" priority="3" operator="containsText" text="genome">
      <formula>NOT(ISERROR(SEARCH("genome",C3)))</formula>
    </cfRule>
    <cfRule type="containsText" dxfId="8" priority="4" operator="containsText" text="specific">
      <formula>NOT(ISERROR(SEARCH("specific",C3)))</formula>
    </cfRule>
    <cfRule type="containsText" dxfId="7" priority="5" operator="containsText" text="unannotated">
      <formula>NOT(ISERROR(SEARCH("unannotated",C3)))</formula>
    </cfRule>
  </conditionalFormatting>
  <conditionalFormatting sqref="D3">
    <cfRule type="containsText" dxfId="6" priority="1" operator="containsText" text="No">
      <formula>NOT(ISERROR(SEARCH("No",D3)))</formula>
    </cfRule>
    <cfRule type="containsText" dxfId="5" priority="2" operator="containsText" text="Yes">
      <formula>NOT(ISERROR(SEARCH("Yes",D3)))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08902-18E2-0E42-88B1-9CF640624E47}">
  <dimension ref="A1:U749"/>
  <sheetViews>
    <sheetView zoomScale="91" workbookViewId="0"/>
  </sheetViews>
  <sheetFormatPr baseColWidth="10" defaultRowHeight="16" x14ac:dyDescent="0.2"/>
  <cols>
    <col min="1" max="1" width="17.1640625" bestFit="1" customWidth="1"/>
    <col min="2" max="2" width="15.33203125" bestFit="1" customWidth="1"/>
    <col min="3" max="3" width="11.1640625" bestFit="1" customWidth="1"/>
    <col min="4" max="4" width="17.1640625" bestFit="1" customWidth="1"/>
    <col min="5" max="5" width="12.83203125" bestFit="1" customWidth="1"/>
    <col min="6" max="6" width="14" bestFit="1" customWidth="1"/>
    <col min="7" max="7" width="10" bestFit="1" customWidth="1"/>
    <col min="8" max="8" width="16.83203125" style="1" bestFit="1" customWidth="1"/>
    <col min="9" max="9" width="14.83203125" bestFit="1" customWidth="1"/>
    <col min="10" max="10" width="18.33203125" bestFit="1" customWidth="1"/>
  </cols>
  <sheetData>
    <row r="1" spans="1:21" ht="21" x14ac:dyDescent="0.25">
      <c r="A1" s="25" t="s">
        <v>15053</v>
      </c>
    </row>
    <row r="2" spans="1:21" ht="21" x14ac:dyDescent="0.25">
      <c r="A2" s="25" t="s">
        <v>15106</v>
      </c>
    </row>
    <row r="3" spans="1:21" ht="63" customHeight="1" x14ac:dyDescent="0.2">
      <c r="A3" s="33" t="s">
        <v>15107</v>
      </c>
      <c r="B3" s="33"/>
      <c r="C3" s="33"/>
      <c r="D3" s="33"/>
      <c r="E3" s="33"/>
      <c r="F3" s="33"/>
      <c r="G3" s="33"/>
      <c r="H3" s="33"/>
      <c r="I3" s="33"/>
      <c r="J3" s="33"/>
      <c r="K3" s="33"/>
      <c r="L3" s="33"/>
      <c r="M3" s="33"/>
      <c r="N3" s="33"/>
      <c r="O3" s="33"/>
      <c r="P3" s="28"/>
      <c r="Q3" s="28"/>
      <c r="R3" s="28"/>
      <c r="S3" s="28"/>
      <c r="T3" s="28"/>
      <c r="U3" s="28"/>
    </row>
    <row r="4" spans="1:21" x14ac:dyDescent="0.2">
      <c r="A4" s="28"/>
      <c r="B4" s="28"/>
      <c r="C4" s="28"/>
      <c r="D4" s="28"/>
      <c r="E4" s="28"/>
      <c r="F4" s="28"/>
      <c r="G4" s="28"/>
      <c r="H4" s="31"/>
      <c r="I4" s="28"/>
      <c r="J4" s="28"/>
      <c r="K4" s="28"/>
      <c r="L4" s="28"/>
      <c r="M4" s="28"/>
    </row>
    <row r="5" spans="1:21" x14ac:dyDescent="0.2">
      <c r="A5" s="28"/>
      <c r="B5" s="28"/>
      <c r="C5" s="28"/>
      <c r="D5" s="28"/>
      <c r="E5" s="28"/>
      <c r="F5" s="28"/>
      <c r="G5" s="28"/>
      <c r="H5" s="31"/>
      <c r="I5" s="28"/>
      <c r="J5" s="28"/>
      <c r="K5" s="28"/>
      <c r="L5" s="28"/>
      <c r="M5" s="28"/>
    </row>
    <row r="6" spans="1:21" ht="19" x14ac:dyDescent="0.25">
      <c r="A6" s="12" t="s">
        <v>12357</v>
      </c>
      <c r="B6" s="12" t="s">
        <v>12358</v>
      </c>
      <c r="C6" s="12" t="s">
        <v>12359</v>
      </c>
      <c r="D6" s="12" t="s">
        <v>12360</v>
      </c>
      <c r="E6" s="12" t="s">
        <v>12361</v>
      </c>
      <c r="F6" s="12" t="s">
        <v>12362</v>
      </c>
      <c r="G6" s="12" t="s">
        <v>12363</v>
      </c>
      <c r="H6" s="16" t="s">
        <v>12364</v>
      </c>
      <c r="I6" s="12" t="s">
        <v>12365</v>
      </c>
      <c r="J6" s="12" t="s">
        <v>12366</v>
      </c>
      <c r="K6" s="12" t="s">
        <v>12368</v>
      </c>
    </row>
    <row r="7" spans="1:21" x14ac:dyDescent="0.2">
      <c r="A7" t="s">
        <v>12369</v>
      </c>
      <c r="B7" t="s">
        <v>12370</v>
      </c>
      <c r="C7" t="s">
        <v>12370</v>
      </c>
      <c r="D7">
        <v>1290</v>
      </c>
      <c r="E7">
        <v>1282</v>
      </c>
      <c r="F7">
        <v>0</v>
      </c>
      <c r="G7" s="13">
        <v>0.88600000000000001</v>
      </c>
      <c r="H7" s="1" t="s">
        <v>12371</v>
      </c>
      <c r="I7">
        <v>4</v>
      </c>
      <c r="J7">
        <v>77</v>
      </c>
      <c r="K7" t="str">
        <f>IF(AND(B7=C7,F7&lt;10,F7&gt;-10,I7&gt;0,G7&gt;90%,G7&lt;100%),"Retained","Filtered out")</f>
        <v>Filtered out</v>
      </c>
    </row>
    <row r="8" spans="1:21" x14ac:dyDescent="0.2">
      <c r="A8" t="s">
        <v>12372</v>
      </c>
      <c r="B8" t="s">
        <v>12373</v>
      </c>
      <c r="C8" t="s">
        <v>12373</v>
      </c>
      <c r="D8">
        <v>8705</v>
      </c>
      <c r="E8">
        <v>8704</v>
      </c>
      <c r="F8">
        <v>0</v>
      </c>
      <c r="G8" s="13">
        <v>0.999</v>
      </c>
      <c r="H8" s="1" t="s">
        <v>12371</v>
      </c>
      <c r="I8">
        <v>95</v>
      </c>
      <c r="J8">
        <v>1675</v>
      </c>
      <c r="K8" t="str">
        <f>IF(AND(B8=C8,F8&lt;10,F8&gt;-10,I8&gt;0,G8&gt;90%,G8&lt;100%),"Retained","Filtered out")</f>
        <v>Retained</v>
      </c>
    </row>
    <row r="9" spans="1:21" x14ac:dyDescent="0.2">
      <c r="A9" t="s">
        <v>12374</v>
      </c>
      <c r="B9" t="s">
        <v>12375</v>
      </c>
      <c r="C9" t="s">
        <v>12376</v>
      </c>
      <c r="D9">
        <v>3698</v>
      </c>
      <c r="E9">
        <v>5902</v>
      </c>
      <c r="F9">
        <v>-37</v>
      </c>
      <c r="G9" s="13">
        <v>0.98599999999999999</v>
      </c>
      <c r="H9" s="1" t="s">
        <v>12371</v>
      </c>
      <c r="I9">
        <v>15</v>
      </c>
      <c r="J9">
        <v>900</v>
      </c>
      <c r="K9" t="str">
        <f t="shared" ref="K9:K72" si="0">IF(AND(B9=C9,F9&lt;10,F9&gt;-10,I9&gt;0,G9&gt;90%,G9&lt;100%),"Retained","Filtered out")</f>
        <v>Filtered out</v>
      </c>
    </row>
    <row r="10" spans="1:21" x14ac:dyDescent="0.2">
      <c r="A10" t="s">
        <v>12377</v>
      </c>
      <c r="B10" t="s">
        <v>12373</v>
      </c>
      <c r="C10" t="s">
        <v>12373</v>
      </c>
      <c r="D10">
        <v>1973</v>
      </c>
      <c r="E10">
        <v>1969</v>
      </c>
      <c r="F10">
        <v>0</v>
      </c>
      <c r="G10" s="13">
        <v>0.878</v>
      </c>
      <c r="H10" s="1" t="s">
        <v>12371</v>
      </c>
      <c r="I10">
        <v>11</v>
      </c>
      <c r="J10">
        <v>229</v>
      </c>
      <c r="K10" t="str">
        <f t="shared" si="0"/>
        <v>Filtered out</v>
      </c>
    </row>
    <row r="11" spans="1:21" x14ac:dyDescent="0.2">
      <c r="A11" t="s">
        <v>12378</v>
      </c>
      <c r="B11" t="s">
        <v>12379</v>
      </c>
      <c r="C11" t="s">
        <v>12380</v>
      </c>
      <c r="D11">
        <v>1133</v>
      </c>
      <c r="E11">
        <v>1759</v>
      </c>
      <c r="F11">
        <v>-35</v>
      </c>
      <c r="G11" s="13">
        <v>0.99199999999999999</v>
      </c>
      <c r="H11" s="1" t="s">
        <v>12371</v>
      </c>
      <c r="I11">
        <v>3</v>
      </c>
      <c r="J11">
        <v>262</v>
      </c>
      <c r="K11" t="str">
        <f t="shared" si="0"/>
        <v>Filtered out</v>
      </c>
    </row>
    <row r="12" spans="1:21" x14ac:dyDescent="0.2">
      <c r="A12" t="s">
        <v>12381</v>
      </c>
      <c r="B12" t="s">
        <v>12382</v>
      </c>
      <c r="C12" t="s">
        <v>12373</v>
      </c>
      <c r="D12">
        <v>4691</v>
      </c>
      <c r="E12">
        <v>4696</v>
      </c>
      <c r="F12">
        <v>0</v>
      </c>
      <c r="G12" s="13">
        <v>0.996</v>
      </c>
      <c r="H12" s="1" t="s">
        <v>12371</v>
      </c>
      <c r="I12">
        <v>3</v>
      </c>
      <c r="J12">
        <v>1510</v>
      </c>
      <c r="K12" t="str">
        <f t="shared" si="0"/>
        <v>Retained</v>
      </c>
    </row>
    <row r="13" spans="1:21" x14ac:dyDescent="0.2">
      <c r="A13" t="s">
        <v>12383</v>
      </c>
      <c r="B13" t="s">
        <v>12384</v>
      </c>
      <c r="C13" t="s">
        <v>12373</v>
      </c>
      <c r="D13">
        <v>249</v>
      </c>
      <c r="E13">
        <v>1903</v>
      </c>
      <c r="F13">
        <v>-86</v>
      </c>
      <c r="G13" s="13">
        <v>0.90600000000000003</v>
      </c>
      <c r="H13" s="1" t="s">
        <v>12371</v>
      </c>
      <c r="I13">
        <v>1</v>
      </c>
      <c r="J13">
        <v>82</v>
      </c>
      <c r="K13" t="str">
        <f t="shared" si="0"/>
        <v>Filtered out</v>
      </c>
    </row>
    <row r="14" spans="1:21" x14ac:dyDescent="0.2">
      <c r="A14" t="s">
        <v>12385</v>
      </c>
      <c r="B14" t="s">
        <v>12386</v>
      </c>
      <c r="C14" t="s">
        <v>12373</v>
      </c>
      <c r="D14">
        <v>834</v>
      </c>
      <c r="E14">
        <v>886</v>
      </c>
      <c r="F14">
        <v>-5</v>
      </c>
      <c r="G14" s="13">
        <v>1</v>
      </c>
      <c r="H14" s="1" t="s">
        <v>12371</v>
      </c>
      <c r="I14">
        <v>2</v>
      </c>
      <c r="J14">
        <v>238</v>
      </c>
      <c r="K14" t="str">
        <f t="shared" si="0"/>
        <v>Filtered out</v>
      </c>
    </row>
    <row r="15" spans="1:21" x14ac:dyDescent="0.2">
      <c r="A15" t="s">
        <v>12387</v>
      </c>
      <c r="B15" t="s">
        <v>12373</v>
      </c>
      <c r="C15" t="s">
        <v>12373</v>
      </c>
      <c r="D15">
        <v>1022</v>
      </c>
      <c r="E15">
        <v>1003</v>
      </c>
      <c r="F15">
        <v>1</v>
      </c>
      <c r="G15" s="13">
        <v>0.98399999999999999</v>
      </c>
      <c r="H15" s="1" t="s">
        <v>12371</v>
      </c>
      <c r="I15">
        <v>15</v>
      </c>
      <c r="J15">
        <v>73</v>
      </c>
      <c r="K15" t="str">
        <f t="shared" si="0"/>
        <v>Retained</v>
      </c>
    </row>
    <row r="16" spans="1:21" x14ac:dyDescent="0.2">
      <c r="A16" t="s">
        <v>12388</v>
      </c>
      <c r="B16" t="s">
        <v>12373</v>
      </c>
      <c r="C16" t="s">
        <v>12373</v>
      </c>
      <c r="D16">
        <v>3966</v>
      </c>
      <c r="E16">
        <v>4045</v>
      </c>
      <c r="F16">
        <v>-1</v>
      </c>
      <c r="G16" s="13">
        <v>0.57399999999999995</v>
      </c>
      <c r="H16" s="1" t="s">
        <v>12371</v>
      </c>
      <c r="I16">
        <v>26</v>
      </c>
      <c r="J16">
        <v>830</v>
      </c>
      <c r="K16" t="str">
        <f t="shared" si="0"/>
        <v>Filtered out</v>
      </c>
    </row>
    <row r="17" spans="1:11" x14ac:dyDescent="0.2">
      <c r="A17" t="s">
        <v>12389</v>
      </c>
      <c r="B17" t="s">
        <v>12373</v>
      </c>
      <c r="C17" t="s">
        <v>12373</v>
      </c>
      <c r="D17">
        <v>1919</v>
      </c>
      <c r="E17">
        <v>1918</v>
      </c>
      <c r="F17">
        <v>0</v>
      </c>
      <c r="G17" s="13">
        <v>0.97499999999999998</v>
      </c>
      <c r="H17" s="1" t="s">
        <v>12371</v>
      </c>
      <c r="I17">
        <v>15</v>
      </c>
      <c r="J17">
        <v>405</v>
      </c>
      <c r="K17" t="str">
        <f t="shared" si="0"/>
        <v>Retained</v>
      </c>
    </row>
    <row r="18" spans="1:11" x14ac:dyDescent="0.2">
      <c r="A18" t="s">
        <v>12390</v>
      </c>
      <c r="B18" t="s">
        <v>12373</v>
      </c>
      <c r="C18" t="s">
        <v>12373</v>
      </c>
      <c r="D18">
        <v>2136</v>
      </c>
      <c r="E18">
        <v>2152</v>
      </c>
      <c r="F18">
        <v>0</v>
      </c>
      <c r="G18" s="13">
        <v>0.98399999999999999</v>
      </c>
      <c r="H18" s="1" t="s">
        <v>12371</v>
      </c>
      <c r="I18">
        <v>1</v>
      </c>
      <c r="J18">
        <v>655</v>
      </c>
      <c r="K18" t="str">
        <f t="shared" si="0"/>
        <v>Retained</v>
      </c>
    </row>
    <row r="19" spans="1:11" x14ac:dyDescent="0.2">
      <c r="A19" t="s">
        <v>12391</v>
      </c>
      <c r="B19" t="s">
        <v>12392</v>
      </c>
      <c r="C19" t="s">
        <v>12393</v>
      </c>
      <c r="D19">
        <v>1214</v>
      </c>
      <c r="E19">
        <v>1262</v>
      </c>
      <c r="F19">
        <v>-3</v>
      </c>
      <c r="G19" s="13">
        <v>0.98499999999999999</v>
      </c>
      <c r="H19" s="1" t="s">
        <v>12371</v>
      </c>
      <c r="I19">
        <v>21</v>
      </c>
      <c r="J19">
        <v>64</v>
      </c>
      <c r="K19" t="str">
        <f t="shared" si="0"/>
        <v>Filtered out</v>
      </c>
    </row>
    <row r="20" spans="1:11" x14ac:dyDescent="0.2">
      <c r="A20" t="s">
        <v>12394</v>
      </c>
      <c r="B20" t="s">
        <v>12376</v>
      </c>
      <c r="C20" t="s">
        <v>12373</v>
      </c>
      <c r="D20">
        <v>1619</v>
      </c>
      <c r="E20">
        <v>3914</v>
      </c>
      <c r="F20">
        <v>-58</v>
      </c>
      <c r="G20" s="13">
        <v>0.84899999999999998</v>
      </c>
      <c r="H20" s="1" t="s">
        <v>12371</v>
      </c>
      <c r="I20">
        <v>2</v>
      </c>
      <c r="J20">
        <v>499</v>
      </c>
      <c r="K20" t="str">
        <f t="shared" si="0"/>
        <v>Filtered out</v>
      </c>
    </row>
    <row r="21" spans="1:11" x14ac:dyDescent="0.2">
      <c r="A21" t="s">
        <v>12395</v>
      </c>
      <c r="B21" t="s">
        <v>12373</v>
      </c>
      <c r="C21" t="s">
        <v>12373</v>
      </c>
      <c r="D21">
        <v>5198</v>
      </c>
      <c r="E21">
        <v>5200</v>
      </c>
      <c r="F21">
        <v>0</v>
      </c>
      <c r="G21" s="13">
        <v>0.997</v>
      </c>
      <c r="H21" s="1" t="s">
        <v>12371</v>
      </c>
      <c r="I21">
        <v>45</v>
      </c>
      <c r="J21">
        <v>956</v>
      </c>
      <c r="K21" t="str">
        <f t="shared" si="0"/>
        <v>Retained</v>
      </c>
    </row>
    <row r="22" spans="1:11" x14ac:dyDescent="0.2">
      <c r="A22" t="s">
        <v>12396</v>
      </c>
      <c r="B22" t="s">
        <v>12373</v>
      </c>
      <c r="C22" t="s">
        <v>12373</v>
      </c>
      <c r="D22">
        <v>1620</v>
      </c>
      <c r="E22">
        <v>1630</v>
      </c>
      <c r="F22">
        <v>0</v>
      </c>
      <c r="G22" s="13">
        <v>0.97</v>
      </c>
      <c r="H22" s="1" t="s">
        <v>12371</v>
      </c>
      <c r="I22">
        <v>8</v>
      </c>
      <c r="J22">
        <v>299</v>
      </c>
      <c r="K22" t="str">
        <f t="shared" si="0"/>
        <v>Retained</v>
      </c>
    </row>
    <row r="23" spans="1:11" x14ac:dyDescent="0.2">
      <c r="A23" t="s">
        <v>12397</v>
      </c>
      <c r="B23" t="s">
        <v>12373</v>
      </c>
      <c r="C23" t="s">
        <v>12373</v>
      </c>
      <c r="D23">
        <v>1001</v>
      </c>
      <c r="E23">
        <v>1735</v>
      </c>
      <c r="F23">
        <v>-42</v>
      </c>
      <c r="G23" s="13">
        <v>0.78300000000000003</v>
      </c>
      <c r="H23" s="1" t="s">
        <v>12371</v>
      </c>
      <c r="I23">
        <v>4</v>
      </c>
      <c r="J23">
        <v>154</v>
      </c>
      <c r="K23" t="str">
        <f t="shared" si="0"/>
        <v>Filtered out</v>
      </c>
    </row>
    <row r="24" spans="1:11" x14ac:dyDescent="0.2">
      <c r="A24" t="s">
        <v>12398</v>
      </c>
      <c r="B24" t="s">
        <v>12373</v>
      </c>
      <c r="C24" t="s">
        <v>12373</v>
      </c>
      <c r="D24">
        <v>690</v>
      </c>
      <c r="E24">
        <v>685</v>
      </c>
      <c r="F24">
        <v>0</v>
      </c>
      <c r="G24" s="13">
        <v>0.30099999999999999</v>
      </c>
      <c r="H24" s="1" t="s">
        <v>12371</v>
      </c>
      <c r="I24">
        <v>4</v>
      </c>
      <c r="J24">
        <v>36</v>
      </c>
      <c r="K24" t="str">
        <f t="shared" si="0"/>
        <v>Filtered out</v>
      </c>
    </row>
    <row r="25" spans="1:11" x14ac:dyDescent="0.2">
      <c r="A25" t="s">
        <v>12399</v>
      </c>
      <c r="B25" t="s">
        <v>12400</v>
      </c>
      <c r="C25" t="s">
        <v>12373</v>
      </c>
      <c r="D25">
        <v>1512</v>
      </c>
      <c r="E25">
        <v>1744</v>
      </c>
      <c r="F25">
        <v>-13</v>
      </c>
      <c r="G25" s="13">
        <v>0.79400000000000004</v>
      </c>
      <c r="H25" s="1" t="s">
        <v>12371</v>
      </c>
      <c r="I25">
        <v>8</v>
      </c>
      <c r="J25">
        <v>327</v>
      </c>
      <c r="K25" t="str">
        <f t="shared" si="0"/>
        <v>Filtered out</v>
      </c>
    </row>
    <row r="26" spans="1:11" x14ac:dyDescent="0.2">
      <c r="A26" t="s">
        <v>12401</v>
      </c>
      <c r="B26" t="s">
        <v>12402</v>
      </c>
      <c r="C26" t="s">
        <v>12402</v>
      </c>
      <c r="D26">
        <v>1581</v>
      </c>
      <c r="E26">
        <v>1588</v>
      </c>
      <c r="F26">
        <v>0</v>
      </c>
      <c r="G26" s="13">
        <v>0.83699999999999997</v>
      </c>
      <c r="H26" s="1" t="s">
        <v>12371</v>
      </c>
      <c r="I26">
        <v>15</v>
      </c>
      <c r="J26">
        <v>103</v>
      </c>
      <c r="K26" t="str">
        <f t="shared" si="0"/>
        <v>Filtered out</v>
      </c>
    </row>
    <row r="27" spans="1:11" x14ac:dyDescent="0.2">
      <c r="A27" t="s">
        <v>12403</v>
      </c>
      <c r="B27" t="s">
        <v>12373</v>
      </c>
      <c r="C27" t="s">
        <v>12373</v>
      </c>
      <c r="D27">
        <v>686</v>
      </c>
      <c r="E27">
        <v>679</v>
      </c>
      <c r="F27">
        <v>1</v>
      </c>
      <c r="G27" s="13">
        <v>0.9</v>
      </c>
      <c r="H27" s="1" t="s">
        <v>12371</v>
      </c>
      <c r="I27">
        <v>3</v>
      </c>
      <c r="J27">
        <v>76</v>
      </c>
      <c r="K27" t="str">
        <f t="shared" si="0"/>
        <v>Filtered out</v>
      </c>
    </row>
    <row r="28" spans="1:11" x14ac:dyDescent="0.2">
      <c r="A28" t="s">
        <v>12404</v>
      </c>
      <c r="B28" t="s">
        <v>12405</v>
      </c>
      <c r="C28" t="s">
        <v>12406</v>
      </c>
      <c r="D28">
        <v>1578</v>
      </c>
      <c r="E28">
        <v>1858</v>
      </c>
      <c r="F28">
        <v>-15</v>
      </c>
      <c r="G28" s="13">
        <v>0.30299999999999999</v>
      </c>
      <c r="H28" s="1" t="s">
        <v>12371</v>
      </c>
      <c r="I28">
        <v>9</v>
      </c>
      <c r="J28">
        <v>111</v>
      </c>
      <c r="K28" t="str">
        <f t="shared" si="0"/>
        <v>Filtered out</v>
      </c>
    </row>
    <row r="29" spans="1:11" x14ac:dyDescent="0.2">
      <c r="A29" t="s">
        <v>12407</v>
      </c>
      <c r="B29" t="s">
        <v>12373</v>
      </c>
      <c r="C29" t="s">
        <v>12373</v>
      </c>
      <c r="D29">
        <v>3798</v>
      </c>
      <c r="E29">
        <v>3811</v>
      </c>
      <c r="F29">
        <v>0</v>
      </c>
      <c r="G29" s="13">
        <v>1</v>
      </c>
      <c r="H29" s="1" t="s">
        <v>12371</v>
      </c>
      <c r="I29">
        <v>39</v>
      </c>
      <c r="J29">
        <v>163</v>
      </c>
      <c r="K29" t="str">
        <f t="shared" si="0"/>
        <v>Filtered out</v>
      </c>
    </row>
    <row r="30" spans="1:11" x14ac:dyDescent="0.2">
      <c r="A30" t="s">
        <v>12408</v>
      </c>
      <c r="B30" t="s">
        <v>12409</v>
      </c>
      <c r="C30" t="s">
        <v>12409</v>
      </c>
      <c r="D30">
        <v>638</v>
      </c>
      <c r="E30">
        <v>640</v>
      </c>
      <c r="F30">
        <v>0</v>
      </c>
      <c r="G30" s="13">
        <v>0.98</v>
      </c>
      <c r="H30" s="1" t="s">
        <v>12371</v>
      </c>
      <c r="I30">
        <v>5</v>
      </c>
      <c r="J30">
        <v>72</v>
      </c>
      <c r="K30" t="str">
        <f t="shared" si="0"/>
        <v>Retained</v>
      </c>
    </row>
    <row r="31" spans="1:11" x14ac:dyDescent="0.2">
      <c r="A31" t="s">
        <v>12410</v>
      </c>
      <c r="B31" t="s">
        <v>12409</v>
      </c>
      <c r="C31" t="s">
        <v>12373</v>
      </c>
      <c r="D31">
        <v>2838</v>
      </c>
      <c r="E31">
        <v>1897</v>
      </c>
      <c r="F31">
        <v>49</v>
      </c>
      <c r="G31" s="13">
        <v>0.92100000000000004</v>
      </c>
      <c r="H31" s="1" t="s">
        <v>12371</v>
      </c>
      <c r="I31">
        <v>8</v>
      </c>
      <c r="J31">
        <v>765</v>
      </c>
      <c r="K31" t="str">
        <f t="shared" si="0"/>
        <v>Filtered out</v>
      </c>
    </row>
    <row r="32" spans="1:11" x14ac:dyDescent="0.2">
      <c r="A32" t="s">
        <v>12411</v>
      </c>
      <c r="B32" t="s">
        <v>12412</v>
      </c>
      <c r="C32" t="s">
        <v>12413</v>
      </c>
      <c r="D32">
        <v>1682</v>
      </c>
      <c r="E32">
        <v>2551</v>
      </c>
      <c r="F32">
        <v>-34</v>
      </c>
      <c r="G32" s="13">
        <v>0.48499999999999999</v>
      </c>
      <c r="H32" s="1" t="s">
        <v>12371</v>
      </c>
      <c r="I32">
        <v>11</v>
      </c>
      <c r="J32">
        <v>301</v>
      </c>
      <c r="K32" t="str">
        <f t="shared" si="0"/>
        <v>Filtered out</v>
      </c>
    </row>
    <row r="33" spans="1:11" x14ac:dyDescent="0.2">
      <c r="A33" t="s">
        <v>12414</v>
      </c>
      <c r="B33" t="s">
        <v>12379</v>
      </c>
      <c r="C33" t="s">
        <v>12379</v>
      </c>
      <c r="D33">
        <v>4431</v>
      </c>
      <c r="E33">
        <v>4444</v>
      </c>
      <c r="F33">
        <v>0</v>
      </c>
      <c r="G33" s="13">
        <v>0.94599999999999995</v>
      </c>
      <c r="H33" s="1" t="s">
        <v>12371</v>
      </c>
      <c r="I33">
        <v>30</v>
      </c>
      <c r="J33">
        <v>273</v>
      </c>
      <c r="K33" t="str">
        <f t="shared" si="0"/>
        <v>Retained</v>
      </c>
    </row>
    <row r="34" spans="1:11" x14ac:dyDescent="0.2">
      <c r="A34" t="s">
        <v>12415</v>
      </c>
      <c r="B34" t="s">
        <v>12416</v>
      </c>
      <c r="C34" t="s">
        <v>12416</v>
      </c>
      <c r="D34">
        <v>1088</v>
      </c>
      <c r="E34">
        <v>1087</v>
      </c>
      <c r="F34">
        <v>0</v>
      </c>
      <c r="G34" s="13">
        <v>0.73</v>
      </c>
      <c r="H34" s="1" t="s">
        <v>12371</v>
      </c>
      <c r="I34">
        <v>2</v>
      </c>
      <c r="J34">
        <v>347</v>
      </c>
      <c r="K34" t="str">
        <f t="shared" si="0"/>
        <v>Filtered out</v>
      </c>
    </row>
    <row r="35" spans="1:11" x14ac:dyDescent="0.2">
      <c r="A35" t="s">
        <v>12417</v>
      </c>
      <c r="B35" t="s">
        <v>12418</v>
      </c>
      <c r="C35" t="s">
        <v>12382</v>
      </c>
      <c r="D35">
        <v>3873</v>
      </c>
      <c r="E35">
        <v>5404</v>
      </c>
      <c r="F35">
        <v>-28</v>
      </c>
      <c r="G35" s="13">
        <v>0.40200000000000002</v>
      </c>
      <c r="H35" s="1" t="s">
        <v>12371</v>
      </c>
      <c r="I35">
        <v>28</v>
      </c>
      <c r="J35">
        <v>462</v>
      </c>
      <c r="K35" t="str">
        <f t="shared" si="0"/>
        <v>Filtered out</v>
      </c>
    </row>
    <row r="36" spans="1:11" x14ac:dyDescent="0.2">
      <c r="A36" t="s">
        <v>12419</v>
      </c>
      <c r="B36" t="s">
        <v>12420</v>
      </c>
      <c r="C36" t="s">
        <v>12420</v>
      </c>
      <c r="D36">
        <v>2507</v>
      </c>
      <c r="E36">
        <v>2509</v>
      </c>
      <c r="F36">
        <v>0</v>
      </c>
      <c r="G36" s="13">
        <v>0.91100000000000003</v>
      </c>
      <c r="H36" s="1" t="s">
        <v>12371</v>
      </c>
      <c r="I36">
        <v>8</v>
      </c>
      <c r="J36">
        <v>634</v>
      </c>
      <c r="K36" t="str">
        <f t="shared" si="0"/>
        <v>Retained</v>
      </c>
    </row>
    <row r="37" spans="1:11" x14ac:dyDescent="0.2">
      <c r="A37" t="s">
        <v>12421</v>
      </c>
      <c r="B37" t="s">
        <v>12373</v>
      </c>
      <c r="C37" t="s">
        <v>12373</v>
      </c>
      <c r="D37">
        <v>3246</v>
      </c>
      <c r="E37">
        <v>3250</v>
      </c>
      <c r="F37">
        <v>0</v>
      </c>
      <c r="G37" s="13">
        <v>0.59599999999999997</v>
      </c>
      <c r="H37" s="1" t="s">
        <v>12371</v>
      </c>
      <c r="I37">
        <v>19</v>
      </c>
      <c r="J37">
        <v>537</v>
      </c>
      <c r="K37" t="str">
        <f t="shared" si="0"/>
        <v>Filtered out</v>
      </c>
    </row>
    <row r="38" spans="1:11" x14ac:dyDescent="0.2">
      <c r="A38" t="s">
        <v>12422</v>
      </c>
      <c r="B38" t="s">
        <v>12423</v>
      </c>
      <c r="C38" t="s">
        <v>12423</v>
      </c>
      <c r="D38">
        <v>771</v>
      </c>
      <c r="E38">
        <v>772</v>
      </c>
      <c r="F38">
        <v>0</v>
      </c>
      <c r="G38" s="13">
        <v>0.53400000000000003</v>
      </c>
      <c r="H38" s="1" t="s">
        <v>12371</v>
      </c>
      <c r="I38">
        <v>1</v>
      </c>
      <c r="J38">
        <v>147</v>
      </c>
      <c r="K38" t="str">
        <f t="shared" si="0"/>
        <v>Filtered out</v>
      </c>
    </row>
    <row r="39" spans="1:11" x14ac:dyDescent="0.2">
      <c r="A39" t="s">
        <v>12424</v>
      </c>
      <c r="B39" t="s">
        <v>12425</v>
      </c>
      <c r="C39" t="s">
        <v>12426</v>
      </c>
      <c r="D39">
        <v>5520</v>
      </c>
      <c r="E39">
        <v>4849</v>
      </c>
      <c r="F39">
        <v>13</v>
      </c>
      <c r="G39" s="13">
        <v>0.23</v>
      </c>
      <c r="H39" s="1" t="s">
        <v>12371</v>
      </c>
      <c r="I39">
        <v>34</v>
      </c>
      <c r="J39">
        <v>389</v>
      </c>
      <c r="K39" t="str">
        <f t="shared" si="0"/>
        <v>Filtered out</v>
      </c>
    </row>
    <row r="40" spans="1:11" x14ac:dyDescent="0.2">
      <c r="A40" t="s">
        <v>12427</v>
      </c>
      <c r="B40" t="s">
        <v>12428</v>
      </c>
      <c r="C40" t="s">
        <v>12373</v>
      </c>
      <c r="D40">
        <v>1409</v>
      </c>
      <c r="E40">
        <v>1921</v>
      </c>
      <c r="F40">
        <v>-26</v>
      </c>
      <c r="G40" s="13">
        <v>0.83599999999999997</v>
      </c>
      <c r="H40" s="1" t="s">
        <v>12371</v>
      </c>
      <c r="I40">
        <v>1</v>
      </c>
      <c r="J40">
        <v>13</v>
      </c>
      <c r="K40" t="str">
        <f t="shared" si="0"/>
        <v>Filtered out</v>
      </c>
    </row>
    <row r="41" spans="1:11" x14ac:dyDescent="0.2">
      <c r="A41" t="s">
        <v>12429</v>
      </c>
      <c r="B41" t="s">
        <v>12430</v>
      </c>
      <c r="C41" t="s">
        <v>12431</v>
      </c>
      <c r="D41">
        <v>2966</v>
      </c>
      <c r="E41">
        <v>3649</v>
      </c>
      <c r="F41">
        <v>-18</v>
      </c>
      <c r="G41" s="13">
        <v>0.92600000000000005</v>
      </c>
      <c r="H41" s="1" t="s">
        <v>12371</v>
      </c>
      <c r="I41">
        <v>35</v>
      </c>
      <c r="J41">
        <v>526</v>
      </c>
      <c r="K41" t="str">
        <f t="shared" si="0"/>
        <v>Filtered out</v>
      </c>
    </row>
    <row r="42" spans="1:11" x14ac:dyDescent="0.2">
      <c r="A42" t="s">
        <v>12432</v>
      </c>
      <c r="B42" t="s">
        <v>12433</v>
      </c>
      <c r="C42" t="s">
        <v>12434</v>
      </c>
      <c r="D42">
        <v>627</v>
      </c>
      <c r="E42">
        <v>1753</v>
      </c>
      <c r="F42">
        <v>-64</v>
      </c>
      <c r="G42" s="13">
        <v>0.71399999999999997</v>
      </c>
      <c r="H42" s="1" t="s">
        <v>12371</v>
      </c>
      <c r="I42">
        <v>2</v>
      </c>
      <c r="J42">
        <v>127</v>
      </c>
      <c r="K42" t="str">
        <f t="shared" si="0"/>
        <v>Filtered out</v>
      </c>
    </row>
    <row r="43" spans="1:11" x14ac:dyDescent="0.2">
      <c r="A43" t="s">
        <v>12435</v>
      </c>
      <c r="B43" t="s">
        <v>12436</v>
      </c>
      <c r="C43" t="s">
        <v>12436</v>
      </c>
      <c r="D43">
        <v>380</v>
      </c>
      <c r="E43">
        <v>829</v>
      </c>
      <c r="F43">
        <v>-54</v>
      </c>
      <c r="G43" s="13">
        <v>0.93899999999999995</v>
      </c>
      <c r="H43" s="1" t="s">
        <v>12437</v>
      </c>
      <c r="I43">
        <v>0</v>
      </c>
      <c r="J43" t="s">
        <v>12438</v>
      </c>
      <c r="K43" t="str">
        <f t="shared" si="0"/>
        <v>Filtered out</v>
      </c>
    </row>
    <row r="44" spans="1:11" x14ac:dyDescent="0.2">
      <c r="A44" t="s">
        <v>12439</v>
      </c>
      <c r="B44" t="s">
        <v>12373</v>
      </c>
      <c r="C44" t="s">
        <v>12373</v>
      </c>
      <c r="D44">
        <v>2111</v>
      </c>
      <c r="E44">
        <v>2107</v>
      </c>
      <c r="F44">
        <v>0</v>
      </c>
      <c r="G44" s="13">
        <v>0.997</v>
      </c>
      <c r="H44" s="1" t="s">
        <v>12371</v>
      </c>
      <c r="I44">
        <v>24</v>
      </c>
      <c r="J44">
        <v>358</v>
      </c>
      <c r="K44" t="str">
        <f t="shared" si="0"/>
        <v>Retained</v>
      </c>
    </row>
    <row r="45" spans="1:11" x14ac:dyDescent="0.2">
      <c r="A45" t="s">
        <v>12440</v>
      </c>
      <c r="B45" t="s">
        <v>12382</v>
      </c>
      <c r="C45" t="s">
        <v>12441</v>
      </c>
      <c r="D45">
        <v>4389</v>
      </c>
      <c r="E45">
        <v>3868</v>
      </c>
      <c r="F45">
        <v>13</v>
      </c>
      <c r="G45" s="13">
        <v>0.189</v>
      </c>
      <c r="H45" s="1" t="s">
        <v>12371</v>
      </c>
      <c r="I45">
        <v>68</v>
      </c>
      <c r="J45">
        <v>134</v>
      </c>
      <c r="K45" t="str">
        <f t="shared" si="0"/>
        <v>Filtered out</v>
      </c>
    </row>
    <row r="46" spans="1:11" x14ac:dyDescent="0.2">
      <c r="A46" t="s">
        <v>12442</v>
      </c>
      <c r="B46" t="s">
        <v>12373</v>
      </c>
      <c r="C46" t="s">
        <v>12373</v>
      </c>
      <c r="D46">
        <v>956</v>
      </c>
      <c r="E46">
        <v>967</v>
      </c>
      <c r="F46">
        <v>-1</v>
      </c>
      <c r="G46" s="13">
        <v>0.47399999999999998</v>
      </c>
      <c r="H46" s="1" t="s">
        <v>12371</v>
      </c>
      <c r="I46">
        <v>3</v>
      </c>
      <c r="J46">
        <v>189</v>
      </c>
      <c r="K46" t="str">
        <f t="shared" si="0"/>
        <v>Filtered out</v>
      </c>
    </row>
    <row r="47" spans="1:11" x14ac:dyDescent="0.2">
      <c r="A47" t="s">
        <v>12443</v>
      </c>
      <c r="B47" t="s">
        <v>12373</v>
      </c>
      <c r="C47" t="s">
        <v>12373</v>
      </c>
      <c r="D47">
        <v>743</v>
      </c>
      <c r="E47">
        <v>1126</v>
      </c>
      <c r="F47">
        <v>-34</v>
      </c>
      <c r="G47" s="13">
        <v>0.84899999999999998</v>
      </c>
      <c r="H47" s="1" t="s">
        <v>12371</v>
      </c>
      <c r="I47">
        <v>3</v>
      </c>
      <c r="J47">
        <v>144</v>
      </c>
      <c r="K47" t="str">
        <f t="shared" si="0"/>
        <v>Filtered out</v>
      </c>
    </row>
    <row r="48" spans="1:11" x14ac:dyDescent="0.2">
      <c r="A48" t="s">
        <v>12444</v>
      </c>
      <c r="B48" t="s">
        <v>12373</v>
      </c>
      <c r="C48" t="s">
        <v>12373</v>
      </c>
      <c r="D48">
        <v>2327</v>
      </c>
      <c r="E48">
        <v>2326</v>
      </c>
      <c r="F48">
        <v>0</v>
      </c>
      <c r="G48" s="13">
        <v>0.95099999999999996</v>
      </c>
      <c r="H48" s="1" t="s">
        <v>12371</v>
      </c>
      <c r="I48">
        <v>16</v>
      </c>
      <c r="J48">
        <v>497</v>
      </c>
      <c r="K48" t="str">
        <f t="shared" si="0"/>
        <v>Retained</v>
      </c>
    </row>
    <row r="49" spans="1:11" x14ac:dyDescent="0.2">
      <c r="A49" t="s">
        <v>12445</v>
      </c>
      <c r="B49" t="s">
        <v>12446</v>
      </c>
      <c r="C49" t="s">
        <v>12373</v>
      </c>
      <c r="D49">
        <v>1757</v>
      </c>
      <c r="E49">
        <v>1810</v>
      </c>
      <c r="F49">
        <v>-2</v>
      </c>
      <c r="G49" s="13">
        <v>0.998</v>
      </c>
      <c r="H49" s="1" t="s">
        <v>12437</v>
      </c>
      <c r="I49">
        <v>0</v>
      </c>
      <c r="J49" t="s">
        <v>12438</v>
      </c>
      <c r="K49" t="str">
        <f t="shared" si="0"/>
        <v>Filtered out</v>
      </c>
    </row>
    <row r="50" spans="1:11" x14ac:dyDescent="0.2">
      <c r="A50" t="s">
        <v>12447</v>
      </c>
      <c r="B50" t="s">
        <v>12448</v>
      </c>
      <c r="C50" t="s">
        <v>12448</v>
      </c>
      <c r="D50">
        <v>909</v>
      </c>
      <c r="E50">
        <v>1267</v>
      </c>
      <c r="F50">
        <v>-28</v>
      </c>
      <c r="G50" s="13">
        <v>0.85899999999999999</v>
      </c>
      <c r="H50" s="1" t="s">
        <v>12437</v>
      </c>
      <c r="I50">
        <v>0</v>
      </c>
      <c r="J50" t="s">
        <v>12438</v>
      </c>
      <c r="K50" t="str">
        <f t="shared" si="0"/>
        <v>Filtered out</v>
      </c>
    </row>
    <row r="51" spans="1:11" x14ac:dyDescent="0.2">
      <c r="A51" t="s">
        <v>12449</v>
      </c>
      <c r="B51" t="s">
        <v>12450</v>
      </c>
      <c r="C51" t="s">
        <v>12373</v>
      </c>
      <c r="D51">
        <v>1299</v>
      </c>
      <c r="E51">
        <v>2290</v>
      </c>
      <c r="F51">
        <v>-43</v>
      </c>
      <c r="G51" s="13">
        <v>0.78200000000000003</v>
      </c>
      <c r="H51" s="1" t="s">
        <v>12371</v>
      </c>
      <c r="I51">
        <v>6</v>
      </c>
      <c r="J51">
        <v>178</v>
      </c>
      <c r="K51" t="str">
        <f t="shared" si="0"/>
        <v>Filtered out</v>
      </c>
    </row>
    <row r="52" spans="1:11" x14ac:dyDescent="0.2">
      <c r="A52" t="s">
        <v>12451</v>
      </c>
      <c r="B52" t="s">
        <v>12373</v>
      </c>
      <c r="C52" t="s">
        <v>12373</v>
      </c>
      <c r="D52">
        <v>4010</v>
      </c>
      <c r="E52">
        <v>4009</v>
      </c>
      <c r="F52">
        <v>0</v>
      </c>
      <c r="G52" s="13">
        <v>0.98899999999999999</v>
      </c>
      <c r="H52" s="1" t="s">
        <v>12371</v>
      </c>
      <c r="I52">
        <v>14</v>
      </c>
      <c r="J52">
        <v>1127</v>
      </c>
      <c r="K52" t="str">
        <f t="shared" si="0"/>
        <v>Retained</v>
      </c>
    </row>
    <row r="53" spans="1:11" x14ac:dyDescent="0.2">
      <c r="A53" t="s">
        <v>12452</v>
      </c>
      <c r="B53" t="s">
        <v>12453</v>
      </c>
      <c r="C53" t="s">
        <v>12453</v>
      </c>
      <c r="D53">
        <v>1241</v>
      </c>
      <c r="E53">
        <v>1735</v>
      </c>
      <c r="F53">
        <v>-28</v>
      </c>
      <c r="G53" s="13">
        <v>0.53500000000000003</v>
      </c>
      <c r="H53" s="1" t="s">
        <v>12371</v>
      </c>
      <c r="I53">
        <v>4</v>
      </c>
      <c r="J53">
        <v>200</v>
      </c>
      <c r="K53" t="str">
        <f t="shared" si="0"/>
        <v>Filtered out</v>
      </c>
    </row>
    <row r="54" spans="1:11" x14ac:dyDescent="0.2">
      <c r="A54" t="s">
        <v>12454</v>
      </c>
      <c r="B54" t="s">
        <v>12455</v>
      </c>
      <c r="C54" t="s">
        <v>12456</v>
      </c>
      <c r="D54">
        <v>564</v>
      </c>
      <c r="E54">
        <v>565</v>
      </c>
      <c r="F54">
        <v>0</v>
      </c>
      <c r="G54" s="13">
        <v>0.35199999999999998</v>
      </c>
      <c r="H54" s="1" t="s">
        <v>12371</v>
      </c>
      <c r="I54">
        <v>5</v>
      </c>
      <c r="J54">
        <v>43</v>
      </c>
      <c r="K54" t="str">
        <f t="shared" si="0"/>
        <v>Filtered out</v>
      </c>
    </row>
    <row r="55" spans="1:11" x14ac:dyDescent="0.2">
      <c r="A55" t="s">
        <v>12457</v>
      </c>
      <c r="B55" t="s">
        <v>12373</v>
      </c>
      <c r="C55" t="s">
        <v>12373</v>
      </c>
      <c r="D55">
        <v>2279</v>
      </c>
      <c r="E55">
        <v>2284</v>
      </c>
      <c r="F55">
        <v>0</v>
      </c>
      <c r="G55" s="13">
        <v>0.98399999999999999</v>
      </c>
      <c r="H55" s="1" t="s">
        <v>12371</v>
      </c>
      <c r="I55">
        <v>7</v>
      </c>
      <c r="J55">
        <v>378</v>
      </c>
      <c r="K55" t="str">
        <f t="shared" si="0"/>
        <v>Retained</v>
      </c>
    </row>
    <row r="56" spans="1:11" x14ac:dyDescent="0.2">
      <c r="A56" t="s">
        <v>12458</v>
      </c>
      <c r="B56" t="s">
        <v>12428</v>
      </c>
      <c r="C56" t="s">
        <v>12428</v>
      </c>
      <c r="D56">
        <v>635</v>
      </c>
      <c r="E56">
        <v>1162</v>
      </c>
      <c r="F56">
        <v>-45</v>
      </c>
      <c r="G56" s="13">
        <v>0.317</v>
      </c>
      <c r="H56" s="1" t="s">
        <v>12371</v>
      </c>
      <c r="I56">
        <v>1</v>
      </c>
      <c r="J56">
        <v>177</v>
      </c>
      <c r="K56" t="str">
        <f t="shared" si="0"/>
        <v>Filtered out</v>
      </c>
    </row>
    <row r="57" spans="1:11" x14ac:dyDescent="0.2">
      <c r="A57" t="s">
        <v>12459</v>
      </c>
      <c r="B57" t="s">
        <v>12460</v>
      </c>
      <c r="C57" t="s">
        <v>12461</v>
      </c>
      <c r="D57">
        <v>3834</v>
      </c>
      <c r="E57">
        <v>2530</v>
      </c>
      <c r="F57">
        <v>51</v>
      </c>
      <c r="G57" s="13">
        <v>0.20799999999999999</v>
      </c>
      <c r="H57" s="1" t="s">
        <v>12371</v>
      </c>
      <c r="I57">
        <v>1</v>
      </c>
      <c r="J57">
        <v>1259</v>
      </c>
      <c r="K57" t="str">
        <f t="shared" si="0"/>
        <v>Filtered out</v>
      </c>
    </row>
    <row r="58" spans="1:11" x14ac:dyDescent="0.2">
      <c r="A58" t="s">
        <v>12462</v>
      </c>
      <c r="B58" t="s">
        <v>12463</v>
      </c>
      <c r="C58" t="s">
        <v>12373</v>
      </c>
      <c r="D58">
        <v>1209</v>
      </c>
      <c r="E58">
        <v>2475</v>
      </c>
      <c r="F58">
        <v>-51</v>
      </c>
      <c r="G58" s="13">
        <v>0.995</v>
      </c>
      <c r="H58" s="1" t="s">
        <v>12371</v>
      </c>
      <c r="I58">
        <v>4</v>
      </c>
      <c r="J58">
        <v>224</v>
      </c>
      <c r="K58" t="str">
        <f t="shared" si="0"/>
        <v>Filtered out</v>
      </c>
    </row>
    <row r="59" spans="1:11" x14ac:dyDescent="0.2">
      <c r="A59" t="s">
        <v>12464</v>
      </c>
      <c r="B59" t="s">
        <v>12373</v>
      </c>
      <c r="C59" t="s">
        <v>12373</v>
      </c>
      <c r="D59">
        <v>1031</v>
      </c>
      <c r="E59">
        <v>1036</v>
      </c>
      <c r="F59">
        <v>0</v>
      </c>
      <c r="G59" s="13">
        <v>0.77800000000000002</v>
      </c>
      <c r="H59" s="1" t="s">
        <v>12371</v>
      </c>
      <c r="I59">
        <v>1</v>
      </c>
      <c r="J59">
        <v>282</v>
      </c>
      <c r="K59" t="str">
        <f t="shared" si="0"/>
        <v>Filtered out</v>
      </c>
    </row>
    <row r="60" spans="1:11" x14ac:dyDescent="0.2">
      <c r="A60" t="s">
        <v>12465</v>
      </c>
      <c r="B60" t="s">
        <v>12373</v>
      </c>
      <c r="C60" t="s">
        <v>12373</v>
      </c>
      <c r="D60">
        <v>1104</v>
      </c>
      <c r="E60">
        <v>1105</v>
      </c>
      <c r="F60">
        <v>0</v>
      </c>
      <c r="G60" s="13">
        <v>0.99399999999999999</v>
      </c>
      <c r="H60" s="1" t="s">
        <v>12371</v>
      </c>
      <c r="I60">
        <v>7</v>
      </c>
      <c r="J60">
        <v>171</v>
      </c>
      <c r="K60" t="str">
        <f t="shared" si="0"/>
        <v>Retained</v>
      </c>
    </row>
    <row r="61" spans="1:11" x14ac:dyDescent="0.2">
      <c r="A61" t="s">
        <v>12466</v>
      </c>
      <c r="B61" t="s">
        <v>12467</v>
      </c>
      <c r="C61" t="s">
        <v>12468</v>
      </c>
      <c r="D61">
        <v>2814</v>
      </c>
      <c r="E61">
        <v>2800</v>
      </c>
      <c r="F61">
        <v>0</v>
      </c>
      <c r="G61" s="13">
        <v>0.83199999999999996</v>
      </c>
      <c r="H61" s="1" t="s">
        <v>12371</v>
      </c>
      <c r="I61">
        <v>22</v>
      </c>
      <c r="J61">
        <v>19</v>
      </c>
      <c r="K61" t="str">
        <f t="shared" si="0"/>
        <v>Filtered out</v>
      </c>
    </row>
    <row r="62" spans="1:11" x14ac:dyDescent="0.2">
      <c r="A62" t="s">
        <v>12469</v>
      </c>
      <c r="B62" t="s">
        <v>12405</v>
      </c>
      <c r="C62" t="s">
        <v>12373</v>
      </c>
      <c r="D62">
        <v>5192</v>
      </c>
      <c r="E62">
        <v>7903</v>
      </c>
      <c r="F62">
        <v>-34</v>
      </c>
      <c r="G62" s="13">
        <v>0.56599999999999995</v>
      </c>
      <c r="H62" s="1" t="s">
        <v>12371</v>
      </c>
      <c r="I62">
        <v>96</v>
      </c>
      <c r="J62">
        <v>186</v>
      </c>
      <c r="K62" t="str">
        <f t="shared" si="0"/>
        <v>Filtered out</v>
      </c>
    </row>
    <row r="63" spans="1:11" x14ac:dyDescent="0.2">
      <c r="A63" t="s">
        <v>12470</v>
      </c>
      <c r="B63" t="s">
        <v>12373</v>
      </c>
      <c r="C63" t="s">
        <v>12373</v>
      </c>
      <c r="D63">
        <v>945</v>
      </c>
      <c r="E63">
        <v>940</v>
      </c>
      <c r="F63">
        <v>0</v>
      </c>
      <c r="G63" s="13">
        <v>1</v>
      </c>
      <c r="H63" s="1" t="s">
        <v>12371</v>
      </c>
      <c r="I63">
        <v>15</v>
      </c>
      <c r="J63">
        <v>88</v>
      </c>
      <c r="K63" t="str">
        <f t="shared" si="0"/>
        <v>Filtered out</v>
      </c>
    </row>
    <row r="64" spans="1:11" x14ac:dyDescent="0.2">
      <c r="A64" t="s">
        <v>12471</v>
      </c>
      <c r="B64" t="s">
        <v>12375</v>
      </c>
      <c r="C64" t="s">
        <v>12375</v>
      </c>
      <c r="D64">
        <v>714</v>
      </c>
      <c r="E64">
        <v>721</v>
      </c>
      <c r="F64">
        <v>0</v>
      </c>
      <c r="G64" s="13">
        <v>0.64900000000000002</v>
      </c>
      <c r="H64" s="1" t="s">
        <v>12371</v>
      </c>
      <c r="I64">
        <v>2</v>
      </c>
      <c r="J64">
        <v>186</v>
      </c>
      <c r="K64" t="str">
        <f t="shared" si="0"/>
        <v>Filtered out</v>
      </c>
    </row>
    <row r="65" spans="1:11" x14ac:dyDescent="0.2">
      <c r="A65" t="s">
        <v>12472</v>
      </c>
      <c r="B65" t="s">
        <v>12373</v>
      </c>
      <c r="C65" t="s">
        <v>12373</v>
      </c>
      <c r="D65">
        <v>3092</v>
      </c>
      <c r="E65">
        <v>3082</v>
      </c>
      <c r="F65">
        <v>0</v>
      </c>
      <c r="G65" s="13">
        <v>0.98699999999999999</v>
      </c>
      <c r="H65" s="1" t="s">
        <v>12371</v>
      </c>
      <c r="I65">
        <v>8</v>
      </c>
      <c r="J65">
        <v>836</v>
      </c>
      <c r="K65" t="str">
        <f t="shared" si="0"/>
        <v>Retained</v>
      </c>
    </row>
    <row r="66" spans="1:11" x14ac:dyDescent="0.2">
      <c r="A66" t="s">
        <v>12473</v>
      </c>
      <c r="B66" t="s">
        <v>12373</v>
      </c>
      <c r="C66" t="s">
        <v>12373</v>
      </c>
      <c r="D66">
        <v>813</v>
      </c>
      <c r="E66">
        <v>811</v>
      </c>
      <c r="F66">
        <v>0</v>
      </c>
      <c r="G66" s="13">
        <v>0.81399999999999995</v>
      </c>
      <c r="H66" s="1" t="s">
        <v>12371</v>
      </c>
      <c r="I66">
        <v>1</v>
      </c>
      <c r="J66">
        <v>246</v>
      </c>
      <c r="K66" t="str">
        <f t="shared" si="0"/>
        <v>Filtered out</v>
      </c>
    </row>
    <row r="67" spans="1:11" x14ac:dyDescent="0.2">
      <c r="A67" t="s">
        <v>12474</v>
      </c>
      <c r="B67" t="s">
        <v>12393</v>
      </c>
      <c r="C67" t="s">
        <v>12373</v>
      </c>
      <c r="D67">
        <v>966</v>
      </c>
      <c r="E67">
        <v>2335</v>
      </c>
      <c r="F67">
        <v>-58</v>
      </c>
      <c r="G67" s="13">
        <v>0.44900000000000001</v>
      </c>
      <c r="H67" s="1" t="s">
        <v>12371</v>
      </c>
      <c r="I67">
        <v>4</v>
      </c>
      <c r="J67">
        <v>203</v>
      </c>
      <c r="K67" t="str">
        <f t="shared" si="0"/>
        <v>Filtered out</v>
      </c>
    </row>
    <row r="68" spans="1:11" x14ac:dyDescent="0.2">
      <c r="A68" t="s">
        <v>12475</v>
      </c>
      <c r="B68" t="s">
        <v>12373</v>
      </c>
      <c r="C68" t="s">
        <v>12373</v>
      </c>
      <c r="D68">
        <v>1992</v>
      </c>
      <c r="E68">
        <v>3139</v>
      </c>
      <c r="F68">
        <v>-36</v>
      </c>
      <c r="G68" s="13">
        <v>0.90700000000000003</v>
      </c>
      <c r="H68" s="1" t="s">
        <v>12371</v>
      </c>
      <c r="I68">
        <v>1</v>
      </c>
      <c r="J68">
        <v>628</v>
      </c>
      <c r="K68" t="str">
        <f t="shared" si="0"/>
        <v>Filtered out</v>
      </c>
    </row>
    <row r="69" spans="1:11" x14ac:dyDescent="0.2">
      <c r="A69" t="s">
        <v>12476</v>
      </c>
      <c r="B69" t="s">
        <v>12477</v>
      </c>
      <c r="C69" t="s">
        <v>12380</v>
      </c>
      <c r="D69">
        <v>888</v>
      </c>
      <c r="E69">
        <v>817</v>
      </c>
      <c r="F69">
        <v>8</v>
      </c>
      <c r="G69" s="13">
        <v>0.875</v>
      </c>
      <c r="H69" s="1" t="s">
        <v>12371</v>
      </c>
      <c r="I69">
        <v>14</v>
      </c>
      <c r="J69">
        <v>62</v>
      </c>
      <c r="K69" t="str">
        <f t="shared" si="0"/>
        <v>Filtered out</v>
      </c>
    </row>
    <row r="70" spans="1:11" x14ac:dyDescent="0.2">
      <c r="A70" t="s">
        <v>12478</v>
      </c>
      <c r="B70" t="s">
        <v>12455</v>
      </c>
      <c r="C70" t="s">
        <v>12375</v>
      </c>
      <c r="D70">
        <v>767</v>
      </c>
      <c r="E70">
        <v>787</v>
      </c>
      <c r="F70">
        <v>-2</v>
      </c>
      <c r="G70" s="13">
        <v>0.66700000000000004</v>
      </c>
      <c r="H70" s="1" t="s">
        <v>12371</v>
      </c>
      <c r="I70">
        <v>1</v>
      </c>
      <c r="J70">
        <v>175</v>
      </c>
      <c r="K70" t="str">
        <f t="shared" si="0"/>
        <v>Filtered out</v>
      </c>
    </row>
    <row r="71" spans="1:11" x14ac:dyDescent="0.2">
      <c r="A71" t="s">
        <v>12479</v>
      </c>
      <c r="B71" t="s">
        <v>12375</v>
      </c>
      <c r="C71" t="s">
        <v>12373</v>
      </c>
      <c r="D71">
        <v>5165</v>
      </c>
      <c r="E71">
        <v>5821</v>
      </c>
      <c r="F71">
        <v>-11</v>
      </c>
      <c r="G71" s="13">
        <v>0.66700000000000004</v>
      </c>
      <c r="H71" s="1" t="s">
        <v>12371</v>
      </c>
      <c r="I71">
        <v>76</v>
      </c>
      <c r="J71">
        <v>173</v>
      </c>
      <c r="K71" t="str">
        <f t="shared" si="0"/>
        <v>Filtered out</v>
      </c>
    </row>
    <row r="72" spans="1:11" x14ac:dyDescent="0.2">
      <c r="A72" t="s">
        <v>12480</v>
      </c>
      <c r="B72" t="s">
        <v>12481</v>
      </c>
      <c r="C72" t="s">
        <v>12373</v>
      </c>
      <c r="D72">
        <v>2703</v>
      </c>
      <c r="E72">
        <v>3109</v>
      </c>
      <c r="F72">
        <v>-13</v>
      </c>
      <c r="G72" s="13">
        <v>0.66900000000000004</v>
      </c>
      <c r="H72" s="1" t="s">
        <v>12371</v>
      </c>
      <c r="I72">
        <v>26</v>
      </c>
      <c r="J72">
        <v>158</v>
      </c>
      <c r="K72" t="str">
        <f t="shared" si="0"/>
        <v>Filtered out</v>
      </c>
    </row>
    <row r="73" spans="1:11" x14ac:dyDescent="0.2">
      <c r="A73" t="s">
        <v>12482</v>
      </c>
      <c r="B73" t="s">
        <v>12373</v>
      </c>
      <c r="C73" t="s">
        <v>12373</v>
      </c>
      <c r="D73">
        <v>2555</v>
      </c>
      <c r="E73">
        <v>2566</v>
      </c>
      <c r="F73">
        <v>0</v>
      </c>
      <c r="G73" s="13">
        <v>0.95</v>
      </c>
      <c r="H73" s="1" t="s">
        <v>12371</v>
      </c>
      <c r="I73">
        <v>4</v>
      </c>
      <c r="J73">
        <v>763</v>
      </c>
      <c r="K73" t="str">
        <f t="shared" ref="K73:K136" si="1">IF(AND(B73=C73,F73&lt;10,F73&gt;-10,I73&gt;0,G73&gt;90%,G73&lt;100%),"Retained","Filtered out")</f>
        <v>Retained</v>
      </c>
    </row>
    <row r="74" spans="1:11" x14ac:dyDescent="0.2">
      <c r="A74" t="s">
        <v>12483</v>
      </c>
      <c r="B74" t="s">
        <v>12484</v>
      </c>
      <c r="C74" t="s">
        <v>12484</v>
      </c>
      <c r="D74">
        <v>2435</v>
      </c>
      <c r="E74">
        <v>2434</v>
      </c>
      <c r="F74">
        <v>0</v>
      </c>
      <c r="G74" s="13">
        <v>0.88600000000000001</v>
      </c>
      <c r="H74" s="1" t="s">
        <v>12371</v>
      </c>
      <c r="I74">
        <v>1</v>
      </c>
      <c r="J74">
        <v>741</v>
      </c>
      <c r="K74" t="str">
        <f t="shared" si="1"/>
        <v>Filtered out</v>
      </c>
    </row>
    <row r="75" spans="1:11" x14ac:dyDescent="0.2">
      <c r="A75" t="s">
        <v>12485</v>
      </c>
      <c r="B75" t="s">
        <v>12373</v>
      </c>
      <c r="C75" t="s">
        <v>12373</v>
      </c>
      <c r="D75">
        <v>915</v>
      </c>
      <c r="E75">
        <v>1096</v>
      </c>
      <c r="F75">
        <v>-16</v>
      </c>
      <c r="G75" s="13">
        <v>0.79300000000000004</v>
      </c>
      <c r="H75" s="1" t="s">
        <v>12371</v>
      </c>
      <c r="I75">
        <v>16</v>
      </c>
      <c r="J75">
        <v>41</v>
      </c>
      <c r="K75" t="str">
        <f t="shared" si="1"/>
        <v>Filtered out</v>
      </c>
    </row>
    <row r="76" spans="1:11" x14ac:dyDescent="0.2">
      <c r="A76" t="s">
        <v>12486</v>
      </c>
      <c r="B76" t="s">
        <v>12382</v>
      </c>
      <c r="C76" t="s">
        <v>12382</v>
      </c>
      <c r="D76">
        <v>1121</v>
      </c>
      <c r="E76">
        <v>1120</v>
      </c>
      <c r="F76">
        <v>0</v>
      </c>
      <c r="G76" s="13">
        <v>0.51400000000000001</v>
      </c>
      <c r="H76" s="1" t="s">
        <v>12371</v>
      </c>
      <c r="I76">
        <v>34</v>
      </c>
      <c r="J76">
        <v>109</v>
      </c>
      <c r="K76" t="str">
        <f t="shared" si="1"/>
        <v>Filtered out</v>
      </c>
    </row>
    <row r="77" spans="1:11" x14ac:dyDescent="0.2">
      <c r="A77" t="s">
        <v>12487</v>
      </c>
      <c r="B77" t="s">
        <v>12488</v>
      </c>
      <c r="C77" t="s">
        <v>12488</v>
      </c>
      <c r="D77">
        <v>1743</v>
      </c>
      <c r="E77">
        <v>1768</v>
      </c>
      <c r="F77">
        <v>-1</v>
      </c>
      <c r="G77" s="13">
        <v>0.97399999999999998</v>
      </c>
      <c r="H77" s="1" t="s">
        <v>12371</v>
      </c>
      <c r="I77">
        <v>2</v>
      </c>
      <c r="J77">
        <v>572</v>
      </c>
      <c r="K77" t="str">
        <f t="shared" si="1"/>
        <v>Retained</v>
      </c>
    </row>
    <row r="78" spans="1:11" x14ac:dyDescent="0.2">
      <c r="A78" t="s">
        <v>12489</v>
      </c>
      <c r="B78" t="s">
        <v>12373</v>
      </c>
      <c r="C78" t="s">
        <v>12373</v>
      </c>
      <c r="D78">
        <v>2724</v>
      </c>
      <c r="E78">
        <v>2737</v>
      </c>
      <c r="F78">
        <v>0</v>
      </c>
      <c r="G78" s="13">
        <v>1</v>
      </c>
      <c r="H78" s="1" t="s">
        <v>12371</v>
      </c>
      <c r="I78">
        <v>34</v>
      </c>
      <c r="J78">
        <v>219</v>
      </c>
      <c r="K78" t="str">
        <f t="shared" si="1"/>
        <v>Filtered out</v>
      </c>
    </row>
    <row r="79" spans="1:11" x14ac:dyDescent="0.2">
      <c r="A79" t="s">
        <v>12490</v>
      </c>
      <c r="B79" t="s">
        <v>12455</v>
      </c>
      <c r="C79" t="s">
        <v>12373</v>
      </c>
      <c r="D79">
        <v>417</v>
      </c>
      <c r="E79">
        <v>424</v>
      </c>
      <c r="F79">
        <v>-1</v>
      </c>
      <c r="G79" s="13">
        <v>0.98899999999999999</v>
      </c>
      <c r="H79" s="1" t="s">
        <v>12371</v>
      </c>
      <c r="I79">
        <v>1</v>
      </c>
      <c r="J79">
        <v>121</v>
      </c>
      <c r="K79" t="str">
        <f t="shared" si="1"/>
        <v>Filtered out</v>
      </c>
    </row>
    <row r="80" spans="1:11" x14ac:dyDescent="0.2">
      <c r="A80" t="s">
        <v>12491</v>
      </c>
      <c r="B80" t="s">
        <v>12373</v>
      </c>
      <c r="C80" t="s">
        <v>12373</v>
      </c>
      <c r="D80">
        <v>752</v>
      </c>
      <c r="E80">
        <v>1105</v>
      </c>
      <c r="F80">
        <v>-31</v>
      </c>
      <c r="G80" s="13">
        <v>0.92300000000000004</v>
      </c>
      <c r="H80" s="1" t="s">
        <v>12371</v>
      </c>
      <c r="I80">
        <v>24</v>
      </c>
      <c r="J80">
        <v>45</v>
      </c>
      <c r="K80" t="str">
        <f t="shared" si="1"/>
        <v>Filtered out</v>
      </c>
    </row>
    <row r="81" spans="1:11" x14ac:dyDescent="0.2">
      <c r="A81" t="s">
        <v>12492</v>
      </c>
      <c r="B81" t="s">
        <v>12373</v>
      </c>
      <c r="C81" t="s">
        <v>12373</v>
      </c>
      <c r="D81">
        <v>660</v>
      </c>
      <c r="E81">
        <v>660</v>
      </c>
      <c r="F81">
        <v>0</v>
      </c>
      <c r="G81" s="13">
        <v>0.91400000000000003</v>
      </c>
      <c r="H81" s="1" t="s">
        <v>12371</v>
      </c>
      <c r="I81">
        <v>1</v>
      </c>
      <c r="J81">
        <v>199</v>
      </c>
      <c r="K81" t="str">
        <f t="shared" si="1"/>
        <v>Retained</v>
      </c>
    </row>
    <row r="82" spans="1:11" x14ac:dyDescent="0.2">
      <c r="A82" t="s">
        <v>12493</v>
      </c>
      <c r="B82" t="s">
        <v>12373</v>
      </c>
      <c r="C82" t="s">
        <v>12373</v>
      </c>
      <c r="D82">
        <v>660</v>
      </c>
      <c r="E82">
        <v>660</v>
      </c>
      <c r="F82">
        <v>0</v>
      </c>
      <c r="G82" s="13">
        <v>0.91400000000000003</v>
      </c>
      <c r="H82" s="1" t="s">
        <v>12371</v>
      </c>
      <c r="I82">
        <v>1</v>
      </c>
      <c r="J82">
        <v>199</v>
      </c>
      <c r="K82" t="str">
        <f t="shared" si="1"/>
        <v>Retained</v>
      </c>
    </row>
    <row r="83" spans="1:11" x14ac:dyDescent="0.2">
      <c r="A83" t="s">
        <v>12494</v>
      </c>
      <c r="B83" t="s">
        <v>12373</v>
      </c>
      <c r="C83" t="s">
        <v>12373</v>
      </c>
      <c r="D83">
        <v>1119</v>
      </c>
      <c r="E83">
        <v>1117</v>
      </c>
      <c r="F83">
        <v>0</v>
      </c>
      <c r="G83" s="13">
        <v>0.48799999999999999</v>
      </c>
      <c r="H83" s="1" t="s">
        <v>12371</v>
      </c>
      <c r="I83">
        <v>13</v>
      </c>
      <c r="J83">
        <v>43</v>
      </c>
      <c r="K83" t="str">
        <f t="shared" si="1"/>
        <v>Filtered out</v>
      </c>
    </row>
    <row r="84" spans="1:11" x14ac:dyDescent="0.2">
      <c r="A84" t="s">
        <v>12495</v>
      </c>
      <c r="B84" t="s">
        <v>12373</v>
      </c>
      <c r="C84" t="s">
        <v>12373</v>
      </c>
      <c r="D84">
        <v>1907</v>
      </c>
      <c r="E84">
        <v>1909</v>
      </c>
      <c r="F84">
        <v>0</v>
      </c>
      <c r="G84" s="13">
        <v>1</v>
      </c>
      <c r="H84" s="1" t="s">
        <v>12371</v>
      </c>
      <c r="I84">
        <v>7</v>
      </c>
      <c r="J84">
        <v>417</v>
      </c>
      <c r="K84" t="str">
        <f t="shared" si="1"/>
        <v>Filtered out</v>
      </c>
    </row>
    <row r="85" spans="1:11" x14ac:dyDescent="0.2">
      <c r="A85" t="s">
        <v>12496</v>
      </c>
      <c r="B85" t="s">
        <v>12497</v>
      </c>
      <c r="C85" t="s">
        <v>12497</v>
      </c>
      <c r="D85">
        <v>441</v>
      </c>
      <c r="E85">
        <v>433</v>
      </c>
      <c r="F85">
        <v>1</v>
      </c>
      <c r="G85" s="13">
        <v>0.377</v>
      </c>
      <c r="H85" s="1" t="s">
        <v>12371</v>
      </c>
      <c r="I85">
        <v>4</v>
      </c>
      <c r="J85">
        <v>49</v>
      </c>
      <c r="K85" t="str">
        <f t="shared" si="1"/>
        <v>Filtered out</v>
      </c>
    </row>
    <row r="86" spans="1:11" x14ac:dyDescent="0.2">
      <c r="A86" t="s">
        <v>12498</v>
      </c>
      <c r="B86" t="s">
        <v>12373</v>
      </c>
      <c r="C86" t="s">
        <v>12373</v>
      </c>
      <c r="D86">
        <v>1650</v>
      </c>
      <c r="E86">
        <v>1646</v>
      </c>
      <c r="F86">
        <v>0</v>
      </c>
      <c r="G86" s="13">
        <v>0.61199999999999999</v>
      </c>
      <c r="H86" s="1" t="s">
        <v>12371</v>
      </c>
      <c r="I86">
        <v>6</v>
      </c>
      <c r="J86">
        <v>305</v>
      </c>
      <c r="K86" t="str">
        <f t="shared" si="1"/>
        <v>Filtered out</v>
      </c>
    </row>
    <row r="87" spans="1:11" x14ac:dyDescent="0.2">
      <c r="A87" t="s">
        <v>12499</v>
      </c>
      <c r="B87" t="s">
        <v>12461</v>
      </c>
      <c r="C87" t="s">
        <v>12373</v>
      </c>
      <c r="D87">
        <v>905</v>
      </c>
      <c r="E87">
        <v>943</v>
      </c>
      <c r="F87">
        <v>-4</v>
      </c>
      <c r="G87" s="13">
        <v>0.76700000000000002</v>
      </c>
      <c r="H87" s="1" t="s">
        <v>12371</v>
      </c>
      <c r="I87">
        <v>4</v>
      </c>
      <c r="J87">
        <v>185</v>
      </c>
      <c r="K87" t="str">
        <f t="shared" si="1"/>
        <v>Filtered out</v>
      </c>
    </row>
    <row r="88" spans="1:11" x14ac:dyDescent="0.2">
      <c r="A88" t="s">
        <v>12500</v>
      </c>
      <c r="B88" t="s">
        <v>12501</v>
      </c>
      <c r="C88" t="s">
        <v>12501</v>
      </c>
      <c r="D88">
        <v>1500</v>
      </c>
      <c r="E88">
        <v>1522</v>
      </c>
      <c r="F88">
        <v>-1</v>
      </c>
      <c r="G88" s="13">
        <v>1</v>
      </c>
      <c r="H88" s="1" t="s">
        <v>12371</v>
      </c>
      <c r="I88">
        <v>26</v>
      </c>
      <c r="J88">
        <v>137</v>
      </c>
      <c r="K88" t="str">
        <f t="shared" si="1"/>
        <v>Filtered out</v>
      </c>
    </row>
    <row r="89" spans="1:11" x14ac:dyDescent="0.2">
      <c r="A89" t="s">
        <v>12502</v>
      </c>
      <c r="B89" t="s">
        <v>12373</v>
      </c>
      <c r="C89" t="s">
        <v>12373</v>
      </c>
      <c r="D89">
        <v>2957</v>
      </c>
      <c r="E89">
        <v>2944</v>
      </c>
      <c r="F89">
        <v>0</v>
      </c>
      <c r="G89" s="13">
        <v>0.999</v>
      </c>
      <c r="H89" s="1" t="s">
        <v>12371</v>
      </c>
      <c r="I89">
        <v>8</v>
      </c>
      <c r="J89">
        <v>966</v>
      </c>
      <c r="K89" t="str">
        <f t="shared" si="1"/>
        <v>Retained</v>
      </c>
    </row>
    <row r="90" spans="1:11" x14ac:dyDescent="0.2">
      <c r="A90" t="s">
        <v>12503</v>
      </c>
      <c r="B90" t="s">
        <v>12375</v>
      </c>
      <c r="C90" t="s">
        <v>12375</v>
      </c>
      <c r="D90">
        <v>1371</v>
      </c>
      <c r="E90">
        <v>1408</v>
      </c>
      <c r="F90">
        <v>-2</v>
      </c>
      <c r="G90" s="13">
        <v>0.98799999999999999</v>
      </c>
      <c r="H90" s="1" t="s">
        <v>12371</v>
      </c>
      <c r="I90">
        <v>5</v>
      </c>
      <c r="J90">
        <v>347</v>
      </c>
      <c r="K90" t="str">
        <f t="shared" si="1"/>
        <v>Retained</v>
      </c>
    </row>
    <row r="91" spans="1:11" x14ac:dyDescent="0.2">
      <c r="A91" t="s">
        <v>12504</v>
      </c>
      <c r="B91" t="s">
        <v>12505</v>
      </c>
      <c r="C91" t="s">
        <v>12463</v>
      </c>
      <c r="D91">
        <v>7215</v>
      </c>
      <c r="E91">
        <v>5656</v>
      </c>
      <c r="F91">
        <v>27</v>
      </c>
      <c r="G91" s="13">
        <v>0.94599999999999995</v>
      </c>
      <c r="H91" s="1" t="s">
        <v>12371</v>
      </c>
      <c r="I91">
        <v>50</v>
      </c>
      <c r="J91">
        <v>1484</v>
      </c>
      <c r="K91" t="str">
        <f t="shared" si="1"/>
        <v>Filtered out</v>
      </c>
    </row>
    <row r="92" spans="1:11" x14ac:dyDescent="0.2">
      <c r="A92" t="s">
        <v>12506</v>
      </c>
      <c r="B92" t="s">
        <v>12456</v>
      </c>
      <c r="C92" t="s">
        <v>12373</v>
      </c>
      <c r="D92">
        <v>3809</v>
      </c>
      <c r="E92">
        <v>8206</v>
      </c>
      <c r="F92">
        <v>-53</v>
      </c>
      <c r="G92" s="13">
        <v>0.307</v>
      </c>
      <c r="H92" s="1" t="s">
        <v>12371</v>
      </c>
      <c r="I92">
        <v>43</v>
      </c>
      <c r="J92">
        <v>222</v>
      </c>
      <c r="K92" t="str">
        <f t="shared" si="1"/>
        <v>Filtered out</v>
      </c>
    </row>
    <row r="93" spans="1:11" x14ac:dyDescent="0.2">
      <c r="A93" t="s">
        <v>12507</v>
      </c>
      <c r="B93" t="s">
        <v>12508</v>
      </c>
      <c r="C93" t="s">
        <v>12373</v>
      </c>
      <c r="D93">
        <v>1176</v>
      </c>
      <c r="E93">
        <v>1575</v>
      </c>
      <c r="F93">
        <v>-25</v>
      </c>
      <c r="G93" s="13">
        <v>0.51</v>
      </c>
      <c r="H93" s="1" t="s">
        <v>12371</v>
      </c>
      <c r="I93">
        <v>8</v>
      </c>
      <c r="J93">
        <v>105</v>
      </c>
      <c r="K93" t="str">
        <f t="shared" si="1"/>
        <v>Filtered out</v>
      </c>
    </row>
    <row r="94" spans="1:11" x14ac:dyDescent="0.2">
      <c r="A94" t="s">
        <v>12509</v>
      </c>
      <c r="B94" t="s">
        <v>12463</v>
      </c>
      <c r="C94" t="s">
        <v>12463</v>
      </c>
      <c r="D94">
        <v>657</v>
      </c>
      <c r="E94">
        <v>673</v>
      </c>
      <c r="F94">
        <v>-2</v>
      </c>
      <c r="G94" s="13">
        <v>0.91700000000000004</v>
      </c>
      <c r="H94" s="1" t="s">
        <v>12371</v>
      </c>
      <c r="I94">
        <v>5</v>
      </c>
      <c r="J94">
        <v>149</v>
      </c>
      <c r="K94" t="str">
        <f t="shared" si="1"/>
        <v>Retained</v>
      </c>
    </row>
    <row r="95" spans="1:11" x14ac:dyDescent="0.2">
      <c r="A95" t="s">
        <v>12510</v>
      </c>
      <c r="B95" t="s">
        <v>12428</v>
      </c>
      <c r="C95" t="s">
        <v>12375</v>
      </c>
      <c r="D95">
        <v>3855</v>
      </c>
      <c r="E95">
        <v>4237</v>
      </c>
      <c r="F95">
        <v>-9</v>
      </c>
      <c r="G95" s="13">
        <v>0.94499999999999995</v>
      </c>
      <c r="H95" s="1" t="s">
        <v>12371</v>
      </c>
      <c r="I95">
        <v>21</v>
      </c>
      <c r="J95">
        <v>206</v>
      </c>
      <c r="K95" t="str">
        <f t="shared" si="1"/>
        <v>Filtered out</v>
      </c>
    </row>
    <row r="96" spans="1:11" x14ac:dyDescent="0.2">
      <c r="A96" t="s">
        <v>12511</v>
      </c>
      <c r="B96" t="s">
        <v>12373</v>
      </c>
      <c r="C96" t="s">
        <v>12373</v>
      </c>
      <c r="D96">
        <v>2748</v>
      </c>
      <c r="E96">
        <v>2758</v>
      </c>
      <c r="F96">
        <v>0</v>
      </c>
      <c r="G96" s="13">
        <v>0.69399999999999995</v>
      </c>
      <c r="H96" s="1" t="s">
        <v>12371</v>
      </c>
      <c r="I96">
        <v>30</v>
      </c>
      <c r="J96">
        <v>201</v>
      </c>
      <c r="K96" t="str">
        <f t="shared" si="1"/>
        <v>Filtered out</v>
      </c>
    </row>
    <row r="97" spans="1:11" x14ac:dyDescent="0.2">
      <c r="A97" t="s">
        <v>12512</v>
      </c>
      <c r="B97" t="s">
        <v>12373</v>
      </c>
      <c r="C97" t="s">
        <v>12373</v>
      </c>
      <c r="D97">
        <v>3347</v>
      </c>
      <c r="E97">
        <v>3343</v>
      </c>
      <c r="F97">
        <v>0</v>
      </c>
      <c r="G97" s="13">
        <v>0.997</v>
      </c>
      <c r="H97" s="1" t="s">
        <v>12371</v>
      </c>
      <c r="I97">
        <v>37</v>
      </c>
      <c r="J97">
        <v>710</v>
      </c>
      <c r="K97" t="str">
        <f t="shared" si="1"/>
        <v>Retained</v>
      </c>
    </row>
    <row r="98" spans="1:11" x14ac:dyDescent="0.2">
      <c r="A98" t="s">
        <v>12513</v>
      </c>
      <c r="B98" t="s">
        <v>12373</v>
      </c>
      <c r="C98" t="s">
        <v>12373</v>
      </c>
      <c r="D98">
        <v>1815</v>
      </c>
      <c r="E98">
        <v>1822</v>
      </c>
      <c r="F98">
        <v>0</v>
      </c>
      <c r="G98" s="13">
        <v>0.433</v>
      </c>
      <c r="H98" s="1" t="s">
        <v>12371</v>
      </c>
      <c r="I98">
        <v>7</v>
      </c>
      <c r="J98">
        <v>367</v>
      </c>
      <c r="K98" t="str">
        <f t="shared" si="1"/>
        <v>Filtered out</v>
      </c>
    </row>
    <row r="99" spans="1:11" x14ac:dyDescent="0.2">
      <c r="A99" t="s">
        <v>12514</v>
      </c>
      <c r="B99" t="s">
        <v>12373</v>
      </c>
      <c r="C99" t="s">
        <v>12373</v>
      </c>
      <c r="D99">
        <v>560</v>
      </c>
      <c r="E99">
        <v>562</v>
      </c>
      <c r="F99">
        <v>0</v>
      </c>
      <c r="G99" s="13">
        <v>0.70299999999999996</v>
      </c>
      <c r="H99" s="1" t="s">
        <v>12437</v>
      </c>
      <c r="I99">
        <v>0</v>
      </c>
      <c r="J99" t="s">
        <v>12438</v>
      </c>
      <c r="K99" t="str">
        <f t="shared" si="1"/>
        <v>Filtered out</v>
      </c>
    </row>
    <row r="100" spans="1:11" x14ac:dyDescent="0.2">
      <c r="A100" t="s">
        <v>12515</v>
      </c>
      <c r="B100" t="s">
        <v>12373</v>
      </c>
      <c r="C100" t="s">
        <v>12373</v>
      </c>
      <c r="D100">
        <v>1863</v>
      </c>
      <c r="E100">
        <v>1867</v>
      </c>
      <c r="F100">
        <v>0</v>
      </c>
      <c r="G100" s="13">
        <v>0.995</v>
      </c>
      <c r="H100" s="1" t="s">
        <v>12371</v>
      </c>
      <c r="I100">
        <v>14</v>
      </c>
      <c r="J100">
        <v>208</v>
      </c>
      <c r="K100" t="str">
        <f t="shared" si="1"/>
        <v>Retained</v>
      </c>
    </row>
    <row r="101" spans="1:11" x14ac:dyDescent="0.2">
      <c r="A101" t="s">
        <v>12516</v>
      </c>
      <c r="B101" t="s">
        <v>12405</v>
      </c>
      <c r="C101" t="s">
        <v>12463</v>
      </c>
      <c r="D101">
        <v>657</v>
      </c>
      <c r="E101">
        <v>898</v>
      </c>
      <c r="F101">
        <v>-26</v>
      </c>
      <c r="G101" s="13">
        <v>0.374</v>
      </c>
      <c r="H101" s="1" t="s">
        <v>12437</v>
      </c>
      <c r="I101">
        <v>0</v>
      </c>
      <c r="J101" t="s">
        <v>12438</v>
      </c>
      <c r="K101" t="str">
        <f t="shared" si="1"/>
        <v>Filtered out</v>
      </c>
    </row>
    <row r="102" spans="1:11" x14ac:dyDescent="0.2">
      <c r="A102" t="s">
        <v>12517</v>
      </c>
      <c r="B102" t="s">
        <v>12373</v>
      </c>
      <c r="C102" t="s">
        <v>12373</v>
      </c>
      <c r="D102">
        <v>1323</v>
      </c>
      <c r="E102">
        <v>1318</v>
      </c>
      <c r="F102">
        <v>0</v>
      </c>
      <c r="G102" s="13">
        <v>0.96899999999999997</v>
      </c>
      <c r="H102" s="1" t="s">
        <v>12371</v>
      </c>
      <c r="I102">
        <v>13</v>
      </c>
      <c r="J102">
        <v>232</v>
      </c>
      <c r="K102" t="str">
        <f t="shared" si="1"/>
        <v>Retained</v>
      </c>
    </row>
    <row r="103" spans="1:11" x14ac:dyDescent="0.2">
      <c r="A103" t="s">
        <v>12518</v>
      </c>
      <c r="B103" t="s">
        <v>12450</v>
      </c>
      <c r="C103" t="s">
        <v>12373</v>
      </c>
      <c r="D103">
        <v>581</v>
      </c>
      <c r="E103">
        <v>733</v>
      </c>
      <c r="F103">
        <v>-20</v>
      </c>
      <c r="G103" s="13">
        <v>1</v>
      </c>
      <c r="H103" s="1" t="s">
        <v>12371</v>
      </c>
      <c r="I103">
        <v>9</v>
      </c>
      <c r="J103">
        <v>49</v>
      </c>
      <c r="K103" t="str">
        <f t="shared" si="1"/>
        <v>Filtered out</v>
      </c>
    </row>
    <row r="104" spans="1:11" x14ac:dyDescent="0.2">
      <c r="A104" t="s">
        <v>12519</v>
      </c>
      <c r="B104" t="s">
        <v>12497</v>
      </c>
      <c r="C104" t="s">
        <v>12373</v>
      </c>
      <c r="D104">
        <v>2274</v>
      </c>
      <c r="E104">
        <v>2368</v>
      </c>
      <c r="F104">
        <v>-3</v>
      </c>
      <c r="G104" s="13">
        <v>0.88700000000000001</v>
      </c>
      <c r="H104" s="1" t="s">
        <v>12371</v>
      </c>
      <c r="I104">
        <v>24</v>
      </c>
      <c r="J104">
        <v>280</v>
      </c>
      <c r="K104" t="str">
        <f t="shared" si="1"/>
        <v>Filtered out</v>
      </c>
    </row>
    <row r="105" spans="1:11" x14ac:dyDescent="0.2">
      <c r="A105" t="s">
        <v>12520</v>
      </c>
      <c r="B105" t="s">
        <v>12373</v>
      </c>
      <c r="C105" t="s">
        <v>12373</v>
      </c>
      <c r="D105">
        <v>2669</v>
      </c>
      <c r="E105">
        <v>2677</v>
      </c>
      <c r="F105">
        <v>0</v>
      </c>
      <c r="G105" s="13">
        <v>0.46300000000000002</v>
      </c>
      <c r="H105" s="1" t="s">
        <v>12371</v>
      </c>
      <c r="I105">
        <v>35</v>
      </c>
      <c r="J105">
        <v>117</v>
      </c>
      <c r="K105" t="str">
        <f t="shared" si="1"/>
        <v>Filtered out</v>
      </c>
    </row>
    <row r="106" spans="1:11" x14ac:dyDescent="0.2">
      <c r="A106" t="s">
        <v>12521</v>
      </c>
      <c r="B106" t="s">
        <v>12522</v>
      </c>
      <c r="C106" t="s">
        <v>12522</v>
      </c>
      <c r="D106">
        <v>4814</v>
      </c>
      <c r="E106">
        <v>6657</v>
      </c>
      <c r="F106">
        <v>-27</v>
      </c>
      <c r="G106" s="13">
        <v>0.98699999999999999</v>
      </c>
      <c r="H106" s="1" t="s">
        <v>12371</v>
      </c>
      <c r="I106">
        <v>1</v>
      </c>
      <c r="J106">
        <v>1530</v>
      </c>
      <c r="K106" t="str">
        <f t="shared" si="1"/>
        <v>Filtered out</v>
      </c>
    </row>
    <row r="107" spans="1:11" x14ac:dyDescent="0.2">
      <c r="A107" t="s">
        <v>12523</v>
      </c>
      <c r="B107" t="s">
        <v>12373</v>
      </c>
      <c r="C107" t="s">
        <v>12373</v>
      </c>
      <c r="D107">
        <v>563</v>
      </c>
      <c r="E107">
        <v>1159</v>
      </c>
      <c r="F107">
        <v>-51</v>
      </c>
      <c r="G107" s="13">
        <v>1</v>
      </c>
      <c r="H107" s="1" t="s">
        <v>12437</v>
      </c>
      <c r="I107">
        <v>0</v>
      </c>
      <c r="J107" t="s">
        <v>12438</v>
      </c>
      <c r="K107" t="str">
        <f t="shared" si="1"/>
        <v>Filtered out</v>
      </c>
    </row>
    <row r="108" spans="1:11" x14ac:dyDescent="0.2">
      <c r="A108" t="s">
        <v>12524</v>
      </c>
      <c r="B108" t="s">
        <v>12525</v>
      </c>
      <c r="C108" t="s">
        <v>12525</v>
      </c>
      <c r="D108">
        <v>426</v>
      </c>
      <c r="E108">
        <v>427</v>
      </c>
      <c r="F108">
        <v>0</v>
      </c>
      <c r="G108" s="13">
        <v>0.873</v>
      </c>
      <c r="H108" s="1" t="s">
        <v>12371</v>
      </c>
      <c r="I108">
        <v>1</v>
      </c>
      <c r="J108">
        <v>121</v>
      </c>
      <c r="K108" t="str">
        <f t="shared" si="1"/>
        <v>Filtered out</v>
      </c>
    </row>
    <row r="109" spans="1:11" x14ac:dyDescent="0.2">
      <c r="A109" t="s">
        <v>12526</v>
      </c>
      <c r="B109" t="s">
        <v>12373</v>
      </c>
      <c r="C109" t="s">
        <v>12373</v>
      </c>
      <c r="D109">
        <v>1341</v>
      </c>
      <c r="E109">
        <v>1342</v>
      </c>
      <c r="F109">
        <v>0</v>
      </c>
      <c r="G109" s="13">
        <v>0.94699999999999995</v>
      </c>
      <c r="H109" s="1" t="s">
        <v>12371</v>
      </c>
      <c r="I109">
        <v>1</v>
      </c>
      <c r="J109">
        <v>416</v>
      </c>
      <c r="K109" t="str">
        <f t="shared" si="1"/>
        <v>Retained</v>
      </c>
    </row>
    <row r="110" spans="1:11" x14ac:dyDescent="0.2">
      <c r="A110" t="s">
        <v>12527</v>
      </c>
      <c r="B110" t="s">
        <v>12382</v>
      </c>
      <c r="C110" t="s">
        <v>12382</v>
      </c>
      <c r="D110">
        <v>4950</v>
      </c>
      <c r="E110">
        <v>4981</v>
      </c>
      <c r="F110">
        <v>0</v>
      </c>
      <c r="G110" s="13">
        <v>0.65</v>
      </c>
      <c r="H110" s="1" t="s">
        <v>12371</v>
      </c>
      <c r="I110">
        <v>68</v>
      </c>
      <c r="J110">
        <v>402</v>
      </c>
      <c r="K110" t="str">
        <f t="shared" si="1"/>
        <v>Filtered out</v>
      </c>
    </row>
    <row r="111" spans="1:11" x14ac:dyDescent="0.2">
      <c r="A111" t="s">
        <v>12528</v>
      </c>
      <c r="B111" t="s">
        <v>12373</v>
      </c>
      <c r="C111" t="s">
        <v>12373</v>
      </c>
      <c r="D111">
        <v>1719</v>
      </c>
      <c r="E111">
        <v>1726</v>
      </c>
      <c r="F111">
        <v>0</v>
      </c>
      <c r="G111" s="13">
        <v>0.66900000000000004</v>
      </c>
      <c r="H111" s="1" t="s">
        <v>12371</v>
      </c>
      <c r="I111">
        <v>3</v>
      </c>
      <c r="J111">
        <v>328</v>
      </c>
      <c r="K111" t="str">
        <f t="shared" si="1"/>
        <v>Filtered out</v>
      </c>
    </row>
    <row r="112" spans="1:11" x14ac:dyDescent="0.2">
      <c r="A112" t="s">
        <v>12529</v>
      </c>
      <c r="B112" t="s">
        <v>12373</v>
      </c>
      <c r="C112" t="s">
        <v>12373</v>
      </c>
      <c r="D112">
        <v>326</v>
      </c>
      <c r="E112">
        <v>337</v>
      </c>
      <c r="F112">
        <v>-3</v>
      </c>
      <c r="G112" s="13">
        <v>0.98499999999999999</v>
      </c>
      <c r="H112" s="1" t="s">
        <v>12371</v>
      </c>
      <c r="I112">
        <v>1</v>
      </c>
      <c r="J112">
        <v>84</v>
      </c>
      <c r="K112" t="str">
        <f t="shared" si="1"/>
        <v>Retained</v>
      </c>
    </row>
    <row r="113" spans="1:11" x14ac:dyDescent="0.2">
      <c r="A113" t="s">
        <v>12530</v>
      </c>
      <c r="B113" t="s">
        <v>12375</v>
      </c>
      <c r="C113" t="s">
        <v>12375</v>
      </c>
      <c r="D113">
        <v>1230</v>
      </c>
      <c r="E113">
        <v>1230</v>
      </c>
      <c r="F113">
        <v>0</v>
      </c>
      <c r="G113" s="13">
        <v>0.97299999999999998</v>
      </c>
      <c r="H113" s="1" t="s">
        <v>12437</v>
      </c>
      <c r="I113">
        <v>0</v>
      </c>
      <c r="J113" t="s">
        <v>12438</v>
      </c>
      <c r="K113" t="str">
        <f t="shared" si="1"/>
        <v>Filtered out</v>
      </c>
    </row>
    <row r="114" spans="1:11" x14ac:dyDescent="0.2">
      <c r="A114" t="s">
        <v>12531</v>
      </c>
      <c r="B114" t="s">
        <v>12412</v>
      </c>
      <c r="C114" t="s">
        <v>12532</v>
      </c>
      <c r="D114">
        <v>1887</v>
      </c>
      <c r="E114">
        <v>3430</v>
      </c>
      <c r="F114">
        <v>-44</v>
      </c>
      <c r="G114" s="13">
        <v>0.93899999999999995</v>
      </c>
      <c r="H114" s="1" t="s">
        <v>12371</v>
      </c>
      <c r="I114">
        <v>4</v>
      </c>
      <c r="J114">
        <v>507</v>
      </c>
      <c r="K114" t="str">
        <f t="shared" si="1"/>
        <v>Filtered out</v>
      </c>
    </row>
    <row r="115" spans="1:11" x14ac:dyDescent="0.2">
      <c r="A115" t="s">
        <v>12533</v>
      </c>
      <c r="B115" t="s">
        <v>12373</v>
      </c>
      <c r="C115" t="s">
        <v>12373</v>
      </c>
      <c r="D115">
        <v>2385</v>
      </c>
      <c r="E115">
        <v>2389</v>
      </c>
      <c r="F115">
        <v>0</v>
      </c>
      <c r="G115" s="13">
        <v>0.92200000000000004</v>
      </c>
      <c r="H115" s="1" t="s">
        <v>12371</v>
      </c>
      <c r="I115">
        <v>35</v>
      </c>
      <c r="J115">
        <v>330</v>
      </c>
      <c r="K115" t="str">
        <f t="shared" si="1"/>
        <v>Retained</v>
      </c>
    </row>
    <row r="116" spans="1:11" x14ac:dyDescent="0.2">
      <c r="A116" t="s">
        <v>12534</v>
      </c>
      <c r="B116" t="s">
        <v>12468</v>
      </c>
      <c r="C116" t="s">
        <v>12373</v>
      </c>
      <c r="D116">
        <v>2336</v>
      </c>
      <c r="E116">
        <v>2386</v>
      </c>
      <c r="F116">
        <v>-2</v>
      </c>
      <c r="G116" s="13">
        <v>0.443</v>
      </c>
      <c r="H116" s="1" t="s">
        <v>12371</v>
      </c>
      <c r="I116">
        <v>17</v>
      </c>
      <c r="J116">
        <v>416</v>
      </c>
      <c r="K116" t="str">
        <f t="shared" si="1"/>
        <v>Filtered out</v>
      </c>
    </row>
    <row r="117" spans="1:11" x14ac:dyDescent="0.2">
      <c r="A117" t="s">
        <v>12535</v>
      </c>
      <c r="B117" t="s">
        <v>12453</v>
      </c>
      <c r="C117" t="s">
        <v>12536</v>
      </c>
      <c r="D117">
        <v>822</v>
      </c>
      <c r="E117">
        <v>844</v>
      </c>
      <c r="F117">
        <v>-2</v>
      </c>
      <c r="G117" s="13">
        <v>0.65700000000000003</v>
      </c>
      <c r="H117" s="1" t="s">
        <v>12371</v>
      </c>
      <c r="I117">
        <v>7</v>
      </c>
      <c r="J117">
        <v>111</v>
      </c>
      <c r="K117" t="str">
        <f t="shared" si="1"/>
        <v>Filtered out</v>
      </c>
    </row>
    <row r="118" spans="1:11" x14ac:dyDescent="0.2">
      <c r="A118" t="s">
        <v>12537</v>
      </c>
      <c r="B118" t="s">
        <v>12436</v>
      </c>
      <c r="C118" t="s">
        <v>12436</v>
      </c>
      <c r="D118">
        <v>1815</v>
      </c>
      <c r="E118">
        <v>1813</v>
      </c>
      <c r="F118">
        <v>0</v>
      </c>
      <c r="G118" s="13">
        <v>0.91200000000000003</v>
      </c>
      <c r="H118" s="1" t="s">
        <v>12371</v>
      </c>
      <c r="I118">
        <v>17</v>
      </c>
      <c r="J118">
        <v>37</v>
      </c>
      <c r="K118" t="str">
        <f t="shared" si="1"/>
        <v>Retained</v>
      </c>
    </row>
    <row r="119" spans="1:11" x14ac:dyDescent="0.2">
      <c r="A119" t="s">
        <v>12538</v>
      </c>
      <c r="B119" t="s">
        <v>12539</v>
      </c>
      <c r="C119" t="s">
        <v>12539</v>
      </c>
      <c r="D119">
        <v>1776</v>
      </c>
      <c r="E119">
        <v>1779</v>
      </c>
      <c r="F119">
        <v>0</v>
      </c>
      <c r="G119" s="13">
        <v>0.98</v>
      </c>
      <c r="H119" s="1" t="s">
        <v>12371</v>
      </c>
      <c r="I119">
        <v>28</v>
      </c>
      <c r="J119">
        <v>71</v>
      </c>
      <c r="K119" t="str">
        <f t="shared" si="1"/>
        <v>Retained</v>
      </c>
    </row>
    <row r="120" spans="1:11" x14ac:dyDescent="0.2">
      <c r="A120" t="s">
        <v>12540</v>
      </c>
      <c r="B120" t="s">
        <v>12373</v>
      </c>
      <c r="C120" t="s">
        <v>12373</v>
      </c>
      <c r="D120">
        <v>189</v>
      </c>
      <c r="E120">
        <v>208</v>
      </c>
      <c r="F120">
        <v>-9</v>
      </c>
      <c r="G120" s="13">
        <v>0.96299999999999997</v>
      </c>
      <c r="H120" s="1" t="s">
        <v>12371</v>
      </c>
      <c r="I120">
        <v>4</v>
      </c>
      <c r="J120">
        <v>34</v>
      </c>
      <c r="K120" t="str">
        <f t="shared" si="1"/>
        <v>Retained</v>
      </c>
    </row>
    <row r="121" spans="1:11" x14ac:dyDescent="0.2">
      <c r="A121" t="s">
        <v>12541</v>
      </c>
      <c r="B121" t="s">
        <v>12373</v>
      </c>
      <c r="C121" t="s">
        <v>12373</v>
      </c>
      <c r="D121">
        <v>6203</v>
      </c>
      <c r="E121">
        <v>6238</v>
      </c>
      <c r="F121">
        <v>0</v>
      </c>
      <c r="G121" s="13">
        <v>0.47</v>
      </c>
      <c r="H121" s="1" t="s">
        <v>12371</v>
      </c>
      <c r="I121">
        <v>83</v>
      </c>
      <c r="J121">
        <v>448</v>
      </c>
      <c r="K121" t="str">
        <f t="shared" si="1"/>
        <v>Filtered out</v>
      </c>
    </row>
    <row r="122" spans="1:11" x14ac:dyDescent="0.2">
      <c r="A122" t="s">
        <v>12542</v>
      </c>
      <c r="B122" t="s">
        <v>12468</v>
      </c>
      <c r="C122" t="s">
        <v>12434</v>
      </c>
      <c r="D122">
        <v>536</v>
      </c>
      <c r="E122">
        <v>1411</v>
      </c>
      <c r="F122">
        <v>-62</v>
      </c>
      <c r="G122" s="13">
        <v>0.33200000000000002</v>
      </c>
      <c r="H122" s="1" t="s">
        <v>12371</v>
      </c>
      <c r="I122">
        <v>6</v>
      </c>
      <c r="J122">
        <v>42</v>
      </c>
      <c r="K122" t="str">
        <f t="shared" si="1"/>
        <v>Filtered out</v>
      </c>
    </row>
    <row r="123" spans="1:11" x14ac:dyDescent="0.2">
      <c r="A123" t="s">
        <v>12543</v>
      </c>
      <c r="B123" t="s">
        <v>12375</v>
      </c>
      <c r="C123" t="s">
        <v>12375</v>
      </c>
      <c r="D123">
        <v>980</v>
      </c>
      <c r="E123">
        <v>985</v>
      </c>
      <c r="F123">
        <v>0</v>
      </c>
      <c r="G123" s="13">
        <v>0.433</v>
      </c>
      <c r="H123" s="1" t="s">
        <v>12371</v>
      </c>
      <c r="I123">
        <v>6</v>
      </c>
      <c r="J123">
        <v>119</v>
      </c>
      <c r="K123" t="str">
        <f t="shared" si="1"/>
        <v>Filtered out</v>
      </c>
    </row>
    <row r="124" spans="1:11" x14ac:dyDescent="0.2">
      <c r="A124" t="s">
        <v>12544</v>
      </c>
      <c r="B124" t="s">
        <v>12373</v>
      </c>
      <c r="C124" t="s">
        <v>12373</v>
      </c>
      <c r="D124">
        <v>3489</v>
      </c>
      <c r="E124">
        <v>3481</v>
      </c>
      <c r="F124">
        <v>0</v>
      </c>
      <c r="G124" s="13">
        <v>0.99299999999999999</v>
      </c>
      <c r="H124" s="1" t="s">
        <v>12371</v>
      </c>
      <c r="I124">
        <v>10</v>
      </c>
      <c r="J124">
        <v>882</v>
      </c>
      <c r="K124" t="str">
        <f t="shared" si="1"/>
        <v>Retained</v>
      </c>
    </row>
    <row r="125" spans="1:11" x14ac:dyDescent="0.2">
      <c r="A125" t="s">
        <v>12545</v>
      </c>
      <c r="B125" t="s">
        <v>12379</v>
      </c>
      <c r="C125" t="s">
        <v>12379</v>
      </c>
      <c r="D125">
        <v>752</v>
      </c>
      <c r="E125">
        <v>754</v>
      </c>
      <c r="F125">
        <v>0</v>
      </c>
      <c r="G125" s="13">
        <v>0.97399999999999998</v>
      </c>
      <c r="H125" s="1" t="s">
        <v>12371</v>
      </c>
      <c r="I125">
        <v>2</v>
      </c>
      <c r="J125">
        <v>225</v>
      </c>
      <c r="K125" t="str">
        <f t="shared" si="1"/>
        <v>Retained</v>
      </c>
    </row>
    <row r="126" spans="1:11" x14ac:dyDescent="0.2">
      <c r="A126" t="s">
        <v>12546</v>
      </c>
      <c r="B126" t="s">
        <v>12413</v>
      </c>
      <c r="C126" t="s">
        <v>12413</v>
      </c>
      <c r="D126">
        <v>2555</v>
      </c>
      <c r="E126">
        <v>3748</v>
      </c>
      <c r="F126">
        <v>-31</v>
      </c>
      <c r="G126" s="13">
        <v>0.96599999999999997</v>
      </c>
      <c r="H126" s="1" t="s">
        <v>12371</v>
      </c>
      <c r="I126">
        <v>8</v>
      </c>
      <c r="J126">
        <v>635</v>
      </c>
      <c r="K126" t="str">
        <f t="shared" si="1"/>
        <v>Filtered out</v>
      </c>
    </row>
    <row r="127" spans="1:11" x14ac:dyDescent="0.2">
      <c r="A127" t="s">
        <v>12547</v>
      </c>
      <c r="B127" t="s">
        <v>12431</v>
      </c>
      <c r="C127" t="s">
        <v>12548</v>
      </c>
      <c r="D127">
        <v>1217</v>
      </c>
      <c r="E127">
        <v>1670</v>
      </c>
      <c r="F127">
        <v>-27</v>
      </c>
      <c r="G127" s="13">
        <v>0.85</v>
      </c>
      <c r="H127" s="1" t="s">
        <v>12371</v>
      </c>
      <c r="I127">
        <v>7</v>
      </c>
      <c r="J127">
        <v>108</v>
      </c>
      <c r="K127" t="str">
        <f t="shared" si="1"/>
        <v>Filtered out</v>
      </c>
    </row>
    <row r="128" spans="1:11" x14ac:dyDescent="0.2">
      <c r="A128" t="s">
        <v>12549</v>
      </c>
      <c r="B128" t="s">
        <v>12373</v>
      </c>
      <c r="C128" t="s">
        <v>12373</v>
      </c>
      <c r="D128">
        <v>2150</v>
      </c>
      <c r="E128">
        <v>2146</v>
      </c>
      <c r="F128">
        <v>0</v>
      </c>
      <c r="G128" s="13">
        <v>0.438</v>
      </c>
      <c r="H128" s="1" t="s">
        <v>12371</v>
      </c>
      <c r="I128">
        <v>29</v>
      </c>
      <c r="J128">
        <v>190</v>
      </c>
      <c r="K128" t="str">
        <f t="shared" si="1"/>
        <v>Filtered out</v>
      </c>
    </row>
    <row r="129" spans="1:11" x14ac:dyDescent="0.2">
      <c r="A129" t="s">
        <v>12550</v>
      </c>
      <c r="B129" t="s">
        <v>12373</v>
      </c>
      <c r="C129" t="s">
        <v>12373</v>
      </c>
      <c r="D129">
        <v>765</v>
      </c>
      <c r="E129">
        <v>1555</v>
      </c>
      <c r="F129">
        <v>-50</v>
      </c>
      <c r="G129" s="13">
        <v>0.312</v>
      </c>
      <c r="H129" s="1" t="s">
        <v>12371</v>
      </c>
      <c r="I129">
        <v>2</v>
      </c>
      <c r="J129">
        <v>124</v>
      </c>
      <c r="K129" t="str">
        <f t="shared" si="1"/>
        <v>Filtered out</v>
      </c>
    </row>
    <row r="130" spans="1:11" x14ac:dyDescent="0.2">
      <c r="A130" t="s">
        <v>12551</v>
      </c>
      <c r="B130" t="s">
        <v>12373</v>
      </c>
      <c r="C130" t="s">
        <v>12373</v>
      </c>
      <c r="D130">
        <v>6663</v>
      </c>
      <c r="E130">
        <v>6685</v>
      </c>
      <c r="F130">
        <v>0</v>
      </c>
      <c r="G130" s="13">
        <v>0.96299999999999997</v>
      </c>
      <c r="H130" s="1" t="s">
        <v>12371</v>
      </c>
      <c r="I130">
        <v>44</v>
      </c>
      <c r="J130">
        <v>764</v>
      </c>
      <c r="K130" t="str">
        <f t="shared" si="1"/>
        <v>Retained</v>
      </c>
    </row>
    <row r="131" spans="1:11" x14ac:dyDescent="0.2">
      <c r="A131" t="s">
        <v>12552</v>
      </c>
      <c r="B131" t="s">
        <v>12553</v>
      </c>
      <c r="C131" t="s">
        <v>12373</v>
      </c>
      <c r="D131">
        <v>1965</v>
      </c>
      <c r="E131">
        <v>2143</v>
      </c>
      <c r="F131">
        <v>-8</v>
      </c>
      <c r="G131" s="13">
        <v>0.89300000000000002</v>
      </c>
      <c r="H131" s="1" t="s">
        <v>12371</v>
      </c>
      <c r="I131">
        <v>3</v>
      </c>
      <c r="J131">
        <v>4</v>
      </c>
      <c r="K131" t="str">
        <f t="shared" si="1"/>
        <v>Filtered out</v>
      </c>
    </row>
    <row r="132" spans="1:11" x14ac:dyDescent="0.2">
      <c r="A132" t="s">
        <v>12554</v>
      </c>
      <c r="B132" t="s">
        <v>12373</v>
      </c>
      <c r="C132" t="s">
        <v>12373</v>
      </c>
      <c r="D132">
        <v>2186</v>
      </c>
      <c r="E132">
        <v>2179</v>
      </c>
      <c r="F132">
        <v>0</v>
      </c>
      <c r="G132" s="13">
        <v>0.86099999999999999</v>
      </c>
      <c r="H132" s="1" t="s">
        <v>12371</v>
      </c>
      <c r="I132">
        <v>26</v>
      </c>
      <c r="J132">
        <v>364</v>
      </c>
      <c r="K132" t="str">
        <f t="shared" si="1"/>
        <v>Filtered out</v>
      </c>
    </row>
    <row r="133" spans="1:11" x14ac:dyDescent="0.2">
      <c r="A133" t="s">
        <v>12555</v>
      </c>
      <c r="B133" t="s">
        <v>12413</v>
      </c>
      <c r="C133" t="s">
        <v>12373</v>
      </c>
      <c r="D133">
        <v>1436</v>
      </c>
      <c r="E133">
        <v>1546</v>
      </c>
      <c r="F133">
        <v>-7</v>
      </c>
      <c r="G133" s="13">
        <v>0.94599999999999995</v>
      </c>
      <c r="H133" s="1" t="s">
        <v>12371</v>
      </c>
      <c r="I133">
        <v>6</v>
      </c>
      <c r="J133">
        <v>415</v>
      </c>
      <c r="K133" t="str">
        <f t="shared" si="1"/>
        <v>Filtered out</v>
      </c>
    </row>
    <row r="134" spans="1:11" x14ac:dyDescent="0.2">
      <c r="A134" t="s">
        <v>12556</v>
      </c>
      <c r="B134" t="s">
        <v>12373</v>
      </c>
      <c r="C134" t="s">
        <v>12373</v>
      </c>
      <c r="D134">
        <v>725</v>
      </c>
      <c r="E134">
        <v>910</v>
      </c>
      <c r="F134">
        <v>-20</v>
      </c>
      <c r="G134" s="13">
        <v>0.58899999999999997</v>
      </c>
      <c r="H134" s="1" t="s">
        <v>12371</v>
      </c>
      <c r="I134">
        <v>2</v>
      </c>
      <c r="J134">
        <v>156</v>
      </c>
      <c r="K134" t="str">
        <f t="shared" si="1"/>
        <v>Filtered out</v>
      </c>
    </row>
    <row r="135" spans="1:11" x14ac:dyDescent="0.2">
      <c r="A135" t="s">
        <v>12557</v>
      </c>
      <c r="B135" t="s">
        <v>12428</v>
      </c>
      <c r="C135" t="s">
        <v>12428</v>
      </c>
      <c r="D135">
        <v>1397</v>
      </c>
      <c r="E135">
        <v>1398</v>
      </c>
      <c r="F135">
        <v>0</v>
      </c>
      <c r="G135" s="13">
        <v>0.48099999999999998</v>
      </c>
      <c r="H135" s="1" t="s">
        <v>12371</v>
      </c>
      <c r="I135">
        <v>17</v>
      </c>
      <c r="J135">
        <v>193</v>
      </c>
      <c r="K135" t="str">
        <f t="shared" si="1"/>
        <v>Filtered out</v>
      </c>
    </row>
    <row r="136" spans="1:11" x14ac:dyDescent="0.2">
      <c r="A136" t="s">
        <v>12558</v>
      </c>
      <c r="B136" t="s">
        <v>12423</v>
      </c>
      <c r="C136" t="s">
        <v>12559</v>
      </c>
      <c r="D136">
        <v>173</v>
      </c>
      <c r="E136">
        <v>292</v>
      </c>
      <c r="F136">
        <v>-40</v>
      </c>
      <c r="G136" s="13">
        <v>0.35299999999999998</v>
      </c>
      <c r="H136" s="1" t="s">
        <v>12371</v>
      </c>
      <c r="I136">
        <v>2</v>
      </c>
      <c r="J136">
        <v>23</v>
      </c>
      <c r="K136" t="str">
        <f t="shared" si="1"/>
        <v>Filtered out</v>
      </c>
    </row>
    <row r="137" spans="1:11" x14ac:dyDescent="0.2">
      <c r="A137" t="s">
        <v>12560</v>
      </c>
      <c r="B137" t="s">
        <v>12373</v>
      </c>
      <c r="C137" t="s">
        <v>12373</v>
      </c>
      <c r="D137">
        <v>1154</v>
      </c>
      <c r="E137">
        <v>1159</v>
      </c>
      <c r="F137">
        <v>0</v>
      </c>
      <c r="G137" s="13">
        <v>0.68899999999999995</v>
      </c>
      <c r="H137" s="1" t="s">
        <v>12371</v>
      </c>
      <c r="I137">
        <v>2</v>
      </c>
      <c r="J137">
        <v>315</v>
      </c>
      <c r="K137" t="str">
        <f t="shared" ref="K137:K200" si="2">IF(AND(B137=C137,F137&lt;10,F137&gt;-10,I137&gt;0,G137&gt;90%,G137&lt;100%),"Retained","Filtered out")</f>
        <v>Filtered out</v>
      </c>
    </row>
    <row r="138" spans="1:11" x14ac:dyDescent="0.2">
      <c r="A138" t="s">
        <v>12561</v>
      </c>
      <c r="B138" t="s">
        <v>12373</v>
      </c>
      <c r="C138" t="s">
        <v>12373</v>
      </c>
      <c r="D138">
        <v>1949</v>
      </c>
      <c r="E138">
        <v>922</v>
      </c>
      <c r="F138">
        <v>111</v>
      </c>
      <c r="G138" s="13">
        <v>0.997</v>
      </c>
      <c r="H138" s="1" t="s">
        <v>12371</v>
      </c>
      <c r="I138">
        <v>12</v>
      </c>
      <c r="J138">
        <v>496</v>
      </c>
      <c r="K138" t="str">
        <f t="shared" si="2"/>
        <v>Filtered out</v>
      </c>
    </row>
    <row r="139" spans="1:11" x14ac:dyDescent="0.2">
      <c r="A139" t="s">
        <v>12562</v>
      </c>
      <c r="B139" t="s">
        <v>12563</v>
      </c>
      <c r="C139" t="s">
        <v>12563</v>
      </c>
      <c r="D139">
        <v>2088</v>
      </c>
      <c r="E139">
        <v>2089</v>
      </c>
      <c r="F139">
        <v>0</v>
      </c>
      <c r="G139" s="13">
        <v>0.91500000000000004</v>
      </c>
      <c r="H139" s="1" t="s">
        <v>12371</v>
      </c>
      <c r="I139">
        <v>6</v>
      </c>
      <c r="J139">
        <v>575</v>
      </c>
      <c r="K139" t="str">
        <f t="shared" si="2"/>
        <v>Retained</v>
      </c>
    </row>
    <row r="140" spans="1:11" x14ac:dyDescent="0.2">
      <c r="A140" t="s">
        <v>12564</v>
      </c>
      <c r="B140" t="s">
        <v>12565</v>
      </c>
      <c r="C140" t="s">
        <v>12565</v>
      </c>
      <c r="D140">
        <v>1971</v>
      </c>
      <c r="E140">
        <v>3153</v>
      </c>
      <c r="F140">
        <v>-37</v>
      </c>
      <c r="G140" s="13">
        <v>0.96799999999999997</v>
      </c>
      <c r="H140" s="1" t="s">
        <v>12371</v>
      </c>
      <c r="I140">
        <v>7</v>
      </c>
      <c r="J140">
        <v>418</v>
      </c>
      <c r="K140" t="str">
        <f t="shared" si="2"/>
        <v>Filtered out</v>
      </c>
    </row>
    <row r="141" spans="1:11" x14ac:dyDescent="0.2">
      <c r="A141" t="s">
        <v>12566</v>
      </c>
      <c r="B141" t="s">
        <v>12373</v>
      </c>
      <c r="C141" t="s">
        <v>12373</v>
      </c>
      <c r="D141">
        <v>1286</v>
      </c>
      <c r="E141">
        <v>1285</v>
      </c>
      <c r="F141">
        <v>0</v>
      </c>
      <c r="G141" s="13">
        <v>0.90500000000000003</v>
      </c>
      <c r="H141" s="1" t="s">
        <v>12371</v>
      </c>
      <c r="I141">
        <v>7</v>
      </c>
      <c r="J141">
        <v>131</v>
      </c>
      <c r="K141" t="str">
        <f t="shared" si="2"/>
        <v>Retained</v>
      </c>
    </row>
    <row r="142" spans="1:11" x14ac:dyDescent="0.2">
      <c r="A142" t="s">
        <v>12567</v>
      </c>
      <c r="B142" t="s">
        <v>12373</v>
      </c>
      <c r="C142" t="s">
        <v>12373</v>
      </c>
      <c r="D142">
        <v>2129</v>
      </c>
      <c r="E142">
        <v>2128</v>
      </c>
      <c r="F142">
        <v>0</v>
      </c>
      <c r="G142" s="13">
        <v>0.90100000000000002</v>
      </c>
      <c r="H142" s="1" t="s">
        <v>12371</v>
      </c>
      <c r="I142">
        <v>24</v>
      </c>
      <c r="J142">
        <v>174</v>
      </c>
      <c r="K142" t="str">
        <f t="shared" si="2"/>
        <v>Retained</v>
      </c>
    </row>
    <row r="143" spans="1:11" x14ac:dyDescent="0.2">
      <c r="A143" t="s">
        <v>12568</v>
      </c>
      <c r="B143" t="s">
        <v>12455</v>
      </c>
      <c r="C143" t="s">
        <v>12455</v>
      </c>
      <c r="D143">
        <v>3707</v>
      </c>
      <c r="E143">
        <v>3700</v>
      </c>
      <c r="F143">
        <v>0</v>
      </c>
      <c r="G143" s="13">
        <v>0.98099999999999998</v>
      </c>
      <c r="H143" s="1" t="s">
        <v>12371</v>
      </c>
      <c r="I143">
        <v>13</v>
      </c>
      <c r="J143">
        <v>964</v>
      </c>
      <c r="K143" t="str">
        <f t="shared" si="2"/>
        <v>Retained</v>
      </c>
    </row>
    <row r="144" spans="1:11" x14ac:dyDescent="0.2">
      <c r="A144" t="s">
        <v>12569</v>
      </c>
      <c r="B144" t="s">
        <v>12384</v>
      </c>
      <c r="C144" t="s">
        <v>12384</v>
      </c>
      <c r="D144">
        <v>468</v>
      </c>
      <c r="E144">
        <v>472</v>
      </c>
      <c r="F144">
        <v>0</v>
      </c>
      <c r="G144" s="13">
        <v>0.42599999999999999</v>
      </c>
      <c r="H144" s="1" t="s">
        <v>12371</v>
      </c>
      <c r="I144">
        <v>5</v>
      </c>
      <c r="J144">
        <v>82</v>
      </c>
      <c r="K144" t="str">
        <f t="shared" si="2"/>
        <v>Filtered out</v>
      </c>
    </row>
    <row r="145" spans="1:11" x14ac:dyDescent="0.2">
      <c r="A145" t="s">
        <v>12570</v>
      </c>
      <c r="B145" t="s">
        <v>12375</v>
      </c>
      <c r="C145" t="s">
        <v>12375</v>
      </c>
      <c r="D145">
        <v>650</v>
      </c>
      <c r="E145">
        <v>1087</v>
      </c>
      <c r="F145">
        <v>-40</v>
      </c>
      <c r="G145" s="13">
        <v>0.621</v>
      </c>
      <c r="H145" s="1" t="s">
        <v>12371</v>
      </c>
      <c r="I145">
        <v>1</v>
      </c>
      <c r="J145">
        <v>191</v>
      </c>
      <c r="K145" t="str">
        <f t="shared" si="2"/>
        <v>Filtered out</v>
      </c>
    </row>
    <row r="146" spans="1:11" x14ac:dyDescent="0.2">
      <c r="A146" t="s">
        <v>12571</v>
      </c>
      <c r="B146" t="s">
        <v>12572</v>
      </c>
      <c r="C146" t="s">
        <v>12572</v>
      </c>
      <c r="D146">
        <v>1037</v>
      </c>
      <c r="E146">
        <v>1042</v>
      </c>
      <c r="F146">
        <v>0</v>
      </c>
      <c r="G146" s="13">
        <v>0.94399999999999995</v>
      </c>
      <c r="H146" s="1" t="s">
        <v>12371</v>
      </c>
      <c r="I146">
        <v>8</v>
      </c>
      <c r="J146">
        <v>128</v>
      </c>
      <c r="K146" t="str">
        <f t="shared" si="2"/>
        <v>Retained</v>
      </c>
    </row>
    <row r="147" spans="1:11" x14ac:dyDescent="0.2">
      <c r="A147" t="s">
        <v>12573</v>
      </c>
      <c r="B147" t="s">
        <v>12574</v>
      </c>
      <c r="C147" t="s">
        <v>12575</v>
      </c>
      <c r="D147">
        <v>1061</v>
      </c>
      <c r="E147">
        <v>1081</v>
      </c>
      <c r="F147">
        <v>-1</v>
      </c>
      <c r="G147" s="13">
        <v>0.95299999999999996</v>
      </c>
      <c r="H147" s="1" t="s">
        <v>12371</v>
      </c>
      <c r="I147">
        <v>17</v>
      </c>
      <c r="J147">
        <v>71</v>
      </c>
      <c r="K147" t="str">
        <f t="shared" si="2"/>
        <v>Filtered out</v>
      </c>
    </row>
    <row r="148" spans="1:11" x14ac:dyDescent="0.2">
      <c r="A148" t="s">
        <v>12576</v>
      </c>
      <c r="B148" t="s">
        <v>12574</v>
      </c>
      <c r="C148" t="s">
        <v>12575</v>
      </c>
      <c r="D148">
        <v>290</v>
      </c>
      <c r="E148">
        <v>310</v>
      </c>
      <c r="F148">
        <v>-6</v>
      </c>
      <c r="G148" s="13">
        <v>0.95299999999999996</v>
      </c>
      <c r="H148" s="1" t="s">
        <v>12371</v>
      </c>
      <c r="I148">
        <v>1</v>
      </c>
      <c r="J148">
        <v>71</v>
      </c>
      <c r="K148" t="str">
        <f t="shared" si="2"/>
        <v>Filtered out</v>
      </c>
    </row>
    <row r="149" spans="1:11" x14ac:dyDescent="0.2">
      <c r="A149" t="s">
        <v>12577</v>
      </c>
      <c r="B149" t="s">
        <v>12373</v>
      </c>
      <c r="C149" t="s">
        <v>12373</v>
      </c>
      <c r="D149">
        <v>1154</v>
      </c>
      <c r="E149">
        <v>1153</v>
      </c>
      <c r="F149">
        <v>0</v>
      </c>
      <c r="G149" s="13">
        <v>0.88900000000000001</v>
      </c>
      <c r="H149" s="1" t="s">
        <v>12371</v>
      </c>
      <c r="I149">
        <v>3</v>
      </c>
      <c r="J149">
        <v>343</v>
      </c>
      <c r="K149" t="str">
        <f t="shared" si="2"/>
        <v>Filtered out</v>
      </c>
    </row>
    <row r="150" spans="1:11" x14ac:dyDescent="0.2">
      <c r="A150" t="s">
        <v>12578</v>
      </c>
      <c r="B150" t="s">
        <v>12373</v>
      </c>
      <c r="C150" t="s">
        <v>12373</v>
      </c>
      <c r="D150">
        <v>1035</v>
      </c>
      <c r="E150">
        <v>1036</v>
      </c>
      <c r="F150">
        <v>0</v>
      </c>
      <c r="G150" s="13">
        <v>0.96199999999999997</v>
      </c>
      <c r="H150" s="1" t="s">
        <v>12371</v>
      </c>
      <c r="I150">
        <v>3</v>
      </c>
      <c r="J150">
        <v>322</v>
      </c>
      <c r="K150" t="str">
        <f t="shared" si="2"/>
        <v>Retained</v>
      </c>
    </row>
    <row r="151" spans="1:11" x14ac:dyDescent="0.2">
      <c r="A151" t="s">
        <v>12579</v>
      </c>
      <c r="B151" t="s">
        <v>12373</v>
      </c>
      <c r="C151" t="s">
        <v>12373</v>
      </c>
      <c r="D151">
        <v>1262</v>
      </c>
      <c r="E151">
        <v>1267</v>
      </c>
      <c r="F151">
        <v>0</v>
      </c>
      <c r="G151" s="13">
        <v>1</v>
      </c>
      <c r="H151" s="1" t="s">
        <v>12371</v>
      </c>
      <c r="I151">
        <v>4</v>
      </c>
      <c r="J151">
        <v>161</v>
      </c>
      <c r="K151" t="str">
        <f t="shared" si="2"/>
        <v>Filtered out</v>
      </c>
    </row>
    <row r="152" spans="1:11" x14ac:dyDescent="0.2">
      <c r="A152" t="s">
        <v>12580</v>
      </c>
      <c r="B152" t="s">
        <v>12405</v>
      </c>
      <c r="C152" t="s">
        <v>12405</v>
      </c>
      <c r="D152">
        <v>1241</v>
      </c>
      <c r="E152">
        <v>1432</v>
      </c>
      <c r="F152">
        <v>-13</v>
      </c>
      <c r="G152" s="13">
        <v>0.98399999999999999</v>
      </c>
      <c r="H152" s="1" t="s">
        <v>12371</v>
      </c>
      <c r="I152">
        <v>1</v>
      </c>
      <c r="J152">
        <v>387</v>
      </c>
      <c r="K152" t="str">
        <f t="shared" si="2"/>
        <v>Filtered out</v>
      </c>
    </row>
    <row r="153" spans="1:11" x14ac:dyDescent="0.2">
      <c r="A153" t="s">
        <v>12581</v>
      </c>
      <c r="B153" t="s">
        <v>12373</v>
      </c>
      <c r="C153" t="s">
        <v>12373</v>
      </c>
      <c r="D153">
        <v>2133</v>
      </c>
      <c r="E153">
        <v>2134</v>
      </c>
      <c r="F153">
        <v>0</v>
      </c>
      <c r="G153" s="13">
        <v>0.99199999999999999</v>
      </c>
      <c r="H153" s="1" t="s">
        <v>12371</v>
      </c>
      <c r="I153">
        <v>22</v>
      </c>
      <c r="J153">
        <v>387</v>
      </c>
      <c r="K153" t="str">
        <f t="shared" si="2"/>
        <v>Retained</v>
      </c>
    </row>
    <row r="154" spans="1:11" x14ac:dyDescent="0.2">
      <c r="A154" t="s">
        <v>12582</v>
      </c>
      <c r="B154" t="s">
        <v>12373</v>
      </c>
      <c r="C154" t="s">
        <v>12373</v>
      </c>
      <c r="D154">
        <v>995</v>
      </c>
      <c r="E154">
        <v>995</v>
      </c>
      <c r="F154">
        <v>0</v>
      </c>
      <c r="G154" s="13">
        <v>0.97899999999999998</v>
      </c>
      <c r="H154" s="1" t="s">
        <v>12371</v>
      </c>
      <c r="I154">
        <v>11</v>
      </c>
      <c r="J154">
        <v>36</v>
      </c>
      <c r="K154" t="str">
        <f t="shared" si="2"/>
        <v>Retained</v>
      </c>
    </row>
    <row r="155" spans="1:11" x14ac:dyDescent="0.2">
      <c r="A155" t="s">
        <v>12583</v>
      </c>
      <c r="B155" t="s">
        <v>12572</v>
      </c>
      <c r="C155" t="s">
        <v>12572</v>
      </c>
      <c r="D155">
        <v>2289</v>
      </c>
      <c r="E155">
        <v>3208</v>
      </c>
      <c r="F155">
        <v>-28</v>
      </c>
      <c r="G155" s="13">
        <v>0.98399999999999999</v>
      </c>
      <c r="H155" s="1" t="s">
        <v>12371</v>
      </c>
      <c r="I155">
        <v>9</v>
      </c>
      <c r="J155">
        <v>575</v>
      </c>
      <c r="K155" t="str">
        <f t="shared" si="2"/>
        <v>Filtered out</v>
      </c>
    </row>
    <row r="156" spans="1:11" x14ac:dyDescent="0.2">
      <c r="A156" t="s">
        <v>12584</v>
      </c>
      <c r="B156" t="s">
        <v>12373</v>
      </c>
      <c r="C156" t="s">
        <v>12373</v>
      </c>
      <c r="D156">
        <v>1298</v>
      </c>
      <c r="E156">
        <v>1294</v>
      </c>
      <c r="F156">
        <v>0</v>
      </c>
      <c r="G156" s="13">
        <v>0.82799999999999996</v>
      </c>
      <c r="H156" s="1" t="s">
        <v>12371</v>
      </c>
      <c r="I156">
        <v>15</v>
      </c>
      <c r="J156">
        <v>179</v>
      </c>
      <c r="K156" t="str">
        <f t="shared" si="2"/>
        <v>Filtered out</v>
      </c>
    </row>
    <row r="157" spans="1:11" x14ac:dyDescent="0.2">
      <c r="A157" t="s">
        <v>12585</v>
      </c>
      <c r="B157" t="s">
        <v>12572</v>
      </c>
      <c r="C157" t="s">
        <v>12373</v>
      </c>
      <c r="D157">
        <v>779</v>
      </c>
      <c r="E157">
        <v>1561</v>
      </c>
      <c r="F157">
        <v>-50</v>
      </c>
      <c r="G157" s="13">
        <v>0.94399999999999995</v>
      </c>
      <c r="H157" s="1" t="s">
        <v>12371</v>
      </c>
      <c r="I157">
        <v>3</v>
      </c>
      <c r="J157">
        <v>203</v>
      </c>
      <c r="K157" t="str">
        <f t="shared" si="2"/>
        <v>Filtered out</v>
      </c>
    </row>
    <row r="158" spans="1:11" x14ac:dyDescent="0.2">
      <c r="A158" t="s">
        <v>12586</v>
      </c>
      <c r="B158" t="s">
        <v>12373</v>
      </c>
      <c r="C158" t="s">
        <v>12373</v>
      </c>
      <c r="D158">
        <v>1338</v>
      </c>
      <c r="E158">
        <v>2395</v>
      </c>
      <c r="F158">
        <v>-44</v>
      </c>
      <c r="G158" s="13">
        <v>0.61799999999999999</v>
      </c>
      <c r="H158" s="1" t="s">
        <v>12371</v>
      </c>
      <c r="I158">
        <v>2</v>
      </c>
      <c r="J158">
        <v>375</v>
      </c>
      <c r="K158" t="str">
        <f t="shared" si="2"/>
        <v>Filtered out</v>
      </c>
    </row>
    <row r="159" spans="1:11" x14ac:dyDescent="0.2">
      <c r="A159" t="s">
        <v>12587</v>
      </c>
      <c r="B159" t="s">
        <v>12373</v>
      </c>
      <c r="C159" t="s">
        <v>12373</v>
      </c>
      <c r="D159">
        <v>1085</v>
      </c>
      <c r="E159">
        <v>1081</v>
      </c>
      <c r="F159">
        <v>0</v>
      </c>
      <c r="G159" s="13">
        <v>0.53800000000000003</v>
      </c>
      <c r="H159" s="1" t="s">
        <v>12371</v>
      </c>
      <c r="I159">
        <v>8</v>
      </c>
      <c r="J159">
        <v>131</v>
      </c>
      <c r="K159" t="str">
        <f t="shared" si="2"/>
        <v>Filtered out</v>
      </c>
    </row>
    <row r="160" spans="1:11" x14ac:dyDescent="0.2">
      <c r="A160" t="s">
        <v>12588</v>
      </c>
      <c r="B160" t="s">
        <v>12373</v>
      </c>
      <c r="C160" t="s">
        <v>12373</v>
      </c>
      <c r="D160">
        <v>1011</v>
      </c>
      <c r="E160">
        <v>1006</v>
      </c>
      <c r="F160">
        <v>0</v>
      </c>
      <c r="G160" s="13">
        <v>0.89900000000000002</v>
      </c>
      <c r="H160" s="1" t="s">
        <v>12371</v>
      </c>
      <c r="I160">
        <v>2</v>
      </c>
      <c r="J160">
        <v>169</v>
      </c>
      <c r="K160" t="str">
        <f t="shared" si="2"/>
        <v>Filtered out</v>
      </c>
    </row>
    <row r="161" spans="1:11" x14ac:dyDescent="0.2">
      <c r="A161" t="s">
        <v>12589</v>
      </c>
      <c r="B161" t="s">
        <v>12416</v>
      </c>
      <c r="C161" t="s">
        <v>12373</v>
      </c>
      <c r="D161">
        <v>1028</v>
      </c>
      <c r="E161">
        <v>1132</v>
      </c>
      <c r="F161">
        <v>-9</v>
      </c>
      <c r="G161" s="13">
        <v>0.94199999999999995</v>
      </c>
      <c r="H161" s="1" t="s">
        <v>12371</v>
      </c>
      <c r="I161">
        <v>1</v>
      </c>
      <c r="J161">
        <v>253</v>
      </c>
      <c r="K161" t="str">
        <f t="shared" si="2"/>
        <v>Filtered out</v>
      </c>
    </row>
    <row r="162" spans="1:11" x14ac:dyDescent="0.2">
      <c r="A162" t="s">
        <v>12590</v>
      </c>
      <c r="B162" t="s">
        <v>12591</v>
      </c>
      <c r="C162" t="s">
        <v>69</v>
      </c>
      <c r="D162">
        <v>135</v>
      </c>
      <c r="E162">
        <v>1</v>
      </c>
      <c r="F162">
        <v>13400</v>
      </c>
      <c r="G162" t="s">
        <v>69</v>
      </c>
      <c r="H162" s="1" t="s">
        <v>12437</v>
      </c>
      <c r="I162">
        <v>0</v>
      </c>
      <c r="J162" t="s">
        <v>12438</v>
      </c>
      <c r="K162" t="str">
        <f t="shared" si="2"/>
        <v>Filtered out</v>
      </c>
    </row>
    <row r="163" spans="1:11" x14ac:dyDescent="0.2">
      <c r="A163" t="s">
        <v>12592</v>
      </c>
      <c r="B163" t="s">
        <v>12373</v>
      </c>
      <c r="C163" t="s">
        <v>12373</v>
      </c>
      <c r="D163">
        <v>797</v>
      </c>
      <c r="E163">
        <v>793</v>
      </c>
      <c r="F163">
        <v>0</v>
      </c>
      <c r="G163" s="13">
        <v>0.51700000000000002</v>
      </c>
      <c r="H163" s="1" t="s">
        <v>12371</v>
      </c>
      <c r="I163">
        <v>4</v>
      </c>
      <c r="J163">
        <v>54</v>
      </c>
      <c r="K163" t="str">
        <f t="shared" si="2"/>
        <v>Filtered out</v>
      </c>
    </row>
    <row r="164" spans="1:11" x14ac:dyDescent="0.2">
      <c r="A164" t="s">
        <v>12593</v>
      </c>
      <c r="B164" t="s">
        <v>12591</v>
      </c>
      <c r="C164" t="s">
        <v>69</v>
      </c>
      <c r="D164">
        <v>135</v>
      </c>
      <c r="E164">
        <v>1</v>
      </c>
      <c r="F164">
        <v>13400</v>
      </c>
      <c r="G164" t="s">
        <v>69</v>
      </c>
      <c r="H164" s="1" t="s">
        <v>12437</v>
      </c>
      <c r="I164">
        <v>0</v>
      </c>
      <c r="J164" t="s">
        <v>12438</v>
      </c>
      <c r="K164" t="str">
        <f t="shared" si="2"/>
        <v>Filtered out</v>
      </c>
    </row>
    <row r="165" spans="1:11" x14ac:dyDescent="0.2">
      <c r="A165" t="s">
        <v>12594</v>
      </c>
      <c r="B165" t="s">
        <v>12373</v>
      </c>
      <c r="C165" t="s">
        <v>12373</v>
      </c>
      <c r="D165">
        <v>2039</v>
      </c>
      <c r="E165">
        <v>1918</v>
      </c>
      <c r="F165">
        <v>6</v>
      </c>
      <c r="G165" s="13">
        <v>0.81200000000000006</v>
      </c>
      <c r="H165" s="1" t="s">
        <v>12371</v>
      </c>
      <c r="I165">
        <v>14</v>
      </c>
      <c r="J165">
        <v>257</v>
      </c>
      <c r="K165" t="str">
        <f t="shared" si="2"/>
        <v>Filtered out</v>
      </c>
    </row>
    <row r="166" spans="1:11" x14ac:dyDescent="0.2">
      <c r="A166" t="s">
        <v>12595</v>
      </c>
      <c r="B166" t="s">
        <v>12373</v>
      </c>
      <c r="C166" t="s">
        <v>12373</v>
      </c>
      <c r="D166">
        <v>848</v>
      </c>
      <c r="E166">
        <v>1966</v>
      </c>
      <c r="F166">
        <v>-56</v>
      </c>
      <c r="G166" s="13">
        <v>0.98699999999999999</v>
      </c>
      <c r="H166" s="1" t="s">
        <v>12371</v>
      </c>
      <c r="I166">
        <v>4</v>
      </c>
      <c r="J166">
        <v>168</v>
      </c>
      <c r="K166" t="str">
        <f t="shared" si="2"/>
        <v>Filtered out</v>
      </c>
    </row>
    <row r="167" spans="1:11" x14ac:dyDescent="0.2">
      <c r="A167" t="s">
        <v>12596</v>
      </c>
      <c r="B167" t="s">
        <v>12375</v>
      </c>
      <c r="C167" t="s">
        <v>12373</v>
      </c>
      <c r="D167">
        <v>3684</v>
      </c>
      <c r="E167">
        <v>5404</v>
      </c>
      <c r="F167">
        <v>-31</v>
      </c>
      <c r="G167" s="13">
        <v>0.97099999999999997</v>
      </c>
      <c r="H167" s="1" t="s">
        <v>12371</v>
      </c>
      <c r="I167">
        <v>36</v>
      </c>
      <c r="J167">
        <v>318</v>
      </c>
      <c r="K167" t="str">
        <f t="shared" si="2"/>
        <v>Filtered out</v>
      </c>
    </row>
    <row r="168" spans="1:11" x14ac:dyDescent="0.2">
      <c r="A168" t="s">
        <v>12597</v>
      </c>
      <c r="B168" t="s">
        <v>12598</v>
      </c>
      <c r="C168" t="s">
        <v>12373</v>
      </c>
      <c r="D168">
        <v>1286</v>
      </c>
      <c r="E168">
        <v>1282</v>
      </c>
      <c r="F168">
        <v>0</v>
      </c>
      <c r="G168" s="13">
        <v>0.94699999999999995</v>
      </c>
      <c r="H168" s="1" t="s">
        <v>12371</v>
      </c>
      <c r="I168">
        <v>1</v>
      </c>
      <c r="J168">
        <v>412</v>
      </c>
      <c r="K168" t="str">
        <f t="shared" si="2"/>
        <v>Retained</v>
      </c>
    </row>
    <row r="169" spans="1:11" x14ac:dyDescent="0.2">
      <c r="A169" t="s">
        <v>12599</v>
      </c>
      <c r="B169" t="s">
        <v>12436</v>
      </c>
      <c r="C169" t="s">
        <v>12373</v>
      </c>
      <c r="D169">
        <v>1349</v>
      </c>
      <c r="E169">
        <v>1392</v>
      </c>
      <c r="F169">
        <v>-3</v>
      </c>
      <c r="G169" s="13">
        <v>0.95699999999999996</v>
      </c>
      <c r="H169" s="1" t="s">
        <v>12371</v>
      </c>
      <c r="I169">
        <v>2</v>
      </c>
      <c r="J169">
        <v>362</v>
      </c>
      <c r="K169" t="str">
        <f t="shared" si="2"/>
        <v>Filtered out</v>
      </c>
    </row>
    <row r="170" spans="1:11" x14ac:dyDescent="0.2">
      <c r="A170" t="s">
        <v>12600</v>
      </c>
      <c r="B170" t="s">
        <v>12601</v>
      </c>
      <c r="C170" t="s">
        <v>12373</v>
      </c>
      <c r="D170">
        <v>947</v>
      </c>
      <c r="E170">
        <v>1357</v>
      </c>
      <c r="F170">
        <v>-30</v>
      </c>
      <c r="G170" s="13">
        <v>0.79400000000000004</v>
      </c>
      <c r="H170" s="1" t="s">
        <v>12371</v>
      </c>
      <c r="I170">
        <v>1</v>
      </c>
      <c r="J170">
        <v>303</v>
      </c>
      <c r="K170" t="str">
        <f t="shared" si="2"/>
        <v>Filtered out</v>
      </c>
    </row>
    <row r="171" spans="1:11" x14ac:dyDescent="0.2">
      <c r="A171" t="s">
        <v>12602</v>
      </c>
      <c r="B171" t="s">
        <v>12468</v>
      </c>
      <c r="C171" t="s">
        <v>12468</v>
      </c>
      <c r="D171">
        <v>2093</v>
      </c>
      <c r="E171">
        <v>2098</v>
      </c>
      <c r="F171">
        <v>0</v>
      </c>
      <c r="G171" s="13">
        <v>0.99399999999999999</v>
      </c>
      <c r="H171" s="1" t="s">
        <v>12371</v>
      </c>
      <c r="I171">
        <v>29</v>
      </c>
      <c r="J171">
        <v>164</v>
      </c>
      <c r="K171" t="str">
        <f t="shared" si="2"/>
        <v>Retained</v>
      </c>
    </row>
    <row r="172" spans="1:11" x14ac:dyDescent="0.2">
      <c r="A172" t="s">
        <v>12603</v>
      </c>
      <c r="B172" t="s">
        <v>12604</v>
      </c>
      <c r="C172" t="s">
        <v>12373</v>
      </c>
      <c r="D172">
        <v>4221</v>
      </c>
      <c r="E172">
        <v>6106</v>
      </c>
      <c r="F172">
        <v>-30</v>
      </c>
      <c r="G172" s="13">
        <v>0.91</v>
      </c>
      <c r="H172" s="1" t="s">
        <v>12371</v>
      </c>
      <c r="I172">
        <v>30</v>
      </c>
      <c r="J172">
        <v>97</v>
      </c>
      <c r="K172" t="str">
        <f t="shared" si="2"/>
        <v>Filtered out</v>
      </c>
    </row>
    <row r="173" spans="1:11" x14ac:dyDescent="0.2">
      <c r="A173" t="s">
        <v>12605</v>
      </c>
      <c r="B173" t="s">
        <v>12406</v>
      </c>
      <c r="C173" t="s">
        <v>12559</v>
      </c>
      <c r="D173">
        <v>932</v>
      </c>
      <c r="E173">
        <v>874</v>
      </c>
      <c r="F173">
        <v>6</v>
      </c>
      <c r="G173" s="13">
        <v>0.76700000000000002</v>
      </c>
      <c r="H173" s="1" t="s">
        <v>12371</v>
      </c>
      <c r="I173">
        <v>1</v>
      </c>
      <c r="J173">
        <v>267</v>
      </c>
      <c r="K173" t="str">
        <f t="shared" si="2"/>
        <v>Filtered out</v>
      </c>
    </row>
    <row r="174" spans="1:11" x14ac:dyDescent="0.2">
      <c r="A174" t="s">
        <v>12606</v>
      </c>
      <c r="B174" t="s">
        <v>12373</v>
      </c>
      <c r="C174" t="s">
        <v>12565</v>
      </c>
      <c r="D174">
        <v>3641</v>
      </c>
      <c r="E174">
        <v>3604</v>
      </c>
      <c r="F174">
        <v>1</v>
      </c>
      <c r="G174" s="13">
        <v>0.20100000000000001</v>
      </c>
      <c r="H174" s="1" t="s">
        <v>12371</v>
      </c>
      <c r="I174">
        <v>70</v>
      </c>
      <c r="J174">
        <v>26</v>
      </c>
      <c r="K174" t="str">
        <f t="shared" si="2"/>
        <v>Filtered out</v>
      </c>
    </row>
    <row r="175" spans="1:11" x14ac:dyDescent="0.2">
      <c r="A175" t="s">
        <v>12607</v>
      </c>
      <c r="B175" t="s">
        <v>12393</v>
      </c>
      <c r="C175" t="s">
        <v>12608</v>
      </c>
      <c r="D175">
        <v>1250</v>
      </c>
      <c r="E175">
        <v>1930</v>
      </c>
      <c r="F175">
        <v>-35</v>
      </c>
      <c r="G175" s="13">
        <v>0.98899999999999999</v>
      </c>
      <c r="H175" s="1" t="s">
        <v>12437</v>
      </c>
      <c r="I175">
        <v>0</v>
      </c>
      <c r="J175" t="s">
        <v>12438</v>
      </c>
      <c r="K175" t="str">
        <f t="shared" si="2"/>
        <v>Filtered out</v>
      </c>
    </row>
    <row r="176" spans="1:11" x14ac:dyDescent="0.2">
      <c r="A176" t="s">
        <v>12609</v>
      </c>
      <c r="B176" t="s">
        <v>12610</v>
      </c>
      <c r="C176" t="s">
        <v>12375</v>
      </c>
      <c r="D176">
        <v>855</v>
      </c>
      <c r="E176">
        <v>1321</v>
      </c>
      <c r="F176">
        <v>-35</v>
      </c>
      <c r="G176" s="13">
        <v>0.17899999999999999</v>
      </c>
      <c r="H176" s="1" t="s">
        <v>12371</v>
      </c>
      <c r="I176">
        <v>3</v>
      </c>
      <c r="J176">
        <v>245</v>
      </c>
      <c r="K176" t="str">
        <f t="shared" si="2"/>
        <v>Filtered out</v>
      </c>
    </row>
    <row r="177" spans="1:11" x14ac:dyDescent="0.2">
      <c r="A177" t="s">
        <v>12611</v>
      </c>
      <c r="B177" t="s">
        <v>12612</v>
      </c>
      <c r="C177" t="s">
        <v>12373</v>
      </c>
      <c r="D177">
        <v>4901</v>
      </c>
      <c r="E177">
        <v>8161</v>
      </c>
      <c r="F177">
        <v>-39</v>
      </c>
      <c r="G177" s="13">
        <v>0.8</v>
      </c>
      <c r="H177" s="1" t="s">
        <v>12371</v>
      </c>
      <c r="I177">
        <v>25</v>
      </c>
      <c r="J177">
        <v>874</v>
      </c>
      <c r="K177" t="str">
        <f t="shared" si="2"/>
        <v>Filtered out</v>
      </c>
    </row>
    <row r="178" spans="1:11" x14ac:dyDescent="0.2">
      <c r="A178" t="s">
        <v>12613</v>
      </c>
      <c r="B178" t="s">
        <v>12412</v>
      </c>
      <c r="C178" t="s">
        <v>12373</v>
      </c>
      <c r="D178">
        <v>5429</v>
      </c>
      <c r="E178">
        <v>7753</v>
      </c>
      <c r="F178">
        <v>-29</v>
      </c>
      <c r="G178" s="13">
        <v>0.28999999999999998</v>
      </c>
      <c r="H178" s="1" t="s">
        <v>12371</v>
      </c>
      <c r="I178">
        <v>26</v>
      </c>
      <c r="J178">
        <v>376</v>
      </c>
      <c r="K178" t="str">
        <f t="shared" si="2"/>
        <v>Filtered out</v>
      </c>
    </row>
    <row r="179" spans="1:11" x14ac:dyDescent="0.2">
      <c r="A179" t="s">
        <v>12614</v>
      </c>
      <c r="B179" t="s">
        <v>12373</v>
      </c>
      <c r="C179" t="s">
        <v>12373</v>
      </c>
      <c r="D179">
        <v>2460</v>
      </c>
      <c r="E179">
        <v>2872</v>
      </c>
      <c r="F179">
        <v>-14</v>
      </c>
      <c r="G179" s="13">
        <v>0.97899999999999998</v>
      </c>
      <c r="H179" s="1" t="s">
        <v>12371</v>
      </c>
      <c r="I179">
        <v>27</v>
      </c>
      <c r="J179">
        <v>216</v>
      </c>
      <c r="K179" t="str">
        <f t="shared" si="2"/>
        <v>Filtered out</v>
      </c>
    </row>
    <row r="180" spans="1:11" x14ac:dyDescent="0.2">
      <c r="A180" t="s">
        <v>12615</v>
      </c>
      <c r="B180" t="s">
        <v>12601</v>
      </c>
      <c r="C180" t="s">
        <v>12375</v>
      </c>
      <c r="D180">
        <v>2855</v>
      </c>
      <c r="E180">
        <v>5089</v>
      </c>
      <c r="F180">
        <v>-43</v>
      </c>
      <c r="G180" s="13">
        <v>0.93300000000000005</v>
      </c>
      <c r="H180" s="1" t="s">
        <v>12371</v>
      </c>
      <c r="I180">
        <v>2</v>
      </c>
      <c r="J180">
        <v>640</v>
      </c>
      <c r="K180" t="str">
        <f t="shared" si="2"/>
        <v>Filtered out</v>
      </c>
    </row>
    <row r="181" spans="1:11" x14ac:dyDescent="0.2">
      <c r="A181" t="s">
        <v>12616</v>
      </c>
      <c r="B181" t="s">
        <v>12373</v>
      </c>
      <c r="C181" t="s">
        <v>12373</v>
      </c>
      <c r="D181">
        <v>354</v>
      </c>
      <c r="E181">
        <v>904</v>
      </c>
      <c r="F181">
        <v>-60</v>
      </c>
      <c r="G181" s="13">
        <v>0.97399999999999998</v>
      </c>
      <c r="H181" s="1" t="s">
        <v>12437</v>
      </c>
      <c r="I181">
        <v>0</v>
      </c>
      <c r="J181" t="s">
        <v>12438</v>
      </c>
      <c r="K181" t="str">
        <f t="shared" si="2"/>
        <v>Filtered out</v>
      </c>
    </row>
    <row r="182" spans="1:11" x14ac:dyDescent="0.2">
      <c r="A182" t="s">
        <v>12617</v>
      </c>
      <c r="B182" t="s">
        <v>12373</v>
      </c>
      <c r="C182" t="s">
        <v>12373</v>
      </c>
      <c r="D182">
        <v>1272</v>
      </c>
      <c r="E182">
        <v>1411</v>
      </c>
      <c r="F182">
        <v>-9</v>
      </c>
      <c r="G182" s="13">
        <v>0.98199999999999998</v>
      </c>
      <c r="H182" s="1" t="s">
        <v>12371</v>
      </c>
      <c r="I182">
        <v>2</v>
      </c>
      <c r="J182">
        <v>394</v>
      </c>
      <c r="K182" t="str">
        <f t="shared" si="2"/>
        <v>Retained</v>
      </c>
    </row>
    <row r="183" spans="1:11" x14ac:dyDescent="0.2">
      <c r="A183" t="s">
        <v>12618</v>
      </c>
      <c r="B183" t="s">
        <v>12373</v>
      </c>
      <c r="C183" t="s">
        <v>12373</v>
      </c>
      <c r="D183">
        <v>2171</v>
      </c>
      <c r="E183">
        <v>2170</v>
      </c>
      <c r="F183">
        <v>0</v>
      </c>
      <c r="G183" s="13">
        <v>0.7</v>
      </c>
      <c r="H183" s="1" t="s">
        <v>12371</v>
      </c>
      <c r="I183">
        <v>42</v>
      </c>
      <c r="J183">
        <v>62</v>
      </c>
      <c r="K183" t="str">
        <f t="shared" si="2"/>
        <v>Filtered out</v>
      </c>
    </row>
    <row r="184" spans="1:11" x14ac:dyDescent="0.2">
      <c r="A184" t="s">
        <v>12619</v>
      </c>
      <c r="B184" t="s">
        <v>12373</v>
      </c>
      <c r="C184" t="s">
        <v>12373</v>
      </c>
      <c r="D184">
        <v>560</v>
      </c>
      <c r="E184">
        <v>559</v>
      </c>
      <c r="F184">
        <v>0</v>
      </c>
      <c r="G184" s="13">
        <v>0.745</v>
      </c>
      <c r="H184" s="1" t="s">
        <v>12437</v>
      </c>
      <c r="I184">
        <v>0</v>
      </c>
      <c r="J184" t="s">
        <v>12438</v>
      </c>
      <c r="K184" t="str">
        <f t="shared" si="2"/>
        <v>Filtered out</v>
      </c>
    </row>
    <row r="185" spans="1:11" x14ac:dyDescent="0.2">
      <c r="A185" t="s">
        <v>12620</v>
      </c>
      <c r="B185" t="s">
        <v>12621</v>
      </c>
      <c r="C185" t="s">
        <v>12621</v>
      </c>
      <c r="D185">
        <v>438</v>
      </c>
      <c r="E185">
        <v>433</v>
      </c>
      <c r="F185">
        <v>1</v>
      </c>
      <c r="G185" s="13">
        <v>0.65500000000000003</v>
      </c>
      <c r="H185" s="1" t="s">
        <v>12371</v>
      </c>
      <c r="I185">
        <v>5</v>
      </c>
      <c r="J185">
        <v>78</v>
      </c>
      <c r="K185" t="str">
        <f t="shared" si="2"/>
        <v>Filtered out</v>
      </c>
    </row>
    <row r="186" spans="1:11" x14ac:dyDescent="0.2">
      <c r="A186" t="s">
        <v>12622</v>
      </c>
      <c r="B186" t="s">
        <v>12373</v>
      </c>
      <c r="C186" t="s">
        <v>12373</v>
      </c>
      <c r="D186">
        <v>3407</v>
      </c>
      <c r="E186">
        <v>3412</v>
      </c>
      <c r="F186">
        <v>0</v>
      </c>
      <c r="G186" s="13">
        <v>0.86199999999999999</v>
      </c>
      <c r="H186" s="1" t="s">
        <v>12371</v>
      </c>
      <c r="I186">
        <v>8</v>
      </c>
      <c r="J186">
        <v>980</v>
      </c>
      <c r="K186" t="str">
        <f t="shared" si="2"/>
        <v>Filtered out</v>
      </c>
    </row>
    <row r="187" spans="1:11" x14ac:dyDescent="0.2">
      <c r="A187" t="s">
        <v>12623</v>
      </c>
      <c r="B187" t="s">
        <v>12375</v>
      </c>
      <c r="C187" t="s">
        <v>12375</v>
      </c>
      <c r="D187">
        <v>3005</v>
      </c>
      <c r="E187">
        <v>3523</v>
      </c>
      <c r="F187">
        <v>-14</v>
      </c>
      <c r="G187" s="13">
        <v>0.97699999999999998</v>
      </c>
      <c r="H187" s="1" t="s">
        <v>12371</v>
      </c>
      <c r="I187">
        <v>18</v>
      </c>
      <c r="J187">
        <v>665</v>
      </c>
      <c r="K187" t="str">
        <f t="shared" si="2"/>
        <v>Filtered out</v>
      </c>
    </row>
    <row r="188" spans="1:11" x14ac:dyDescent="0.2">
      <c r="A188" t="s">
        <v>12624</v>
      </c>
      <c r="B188" t="s">
        <v>12413</v>
      </c>
      <c r="C188" t="s">
        <v>12413</v>
      </c>
      <c r="D188">
        <v>1835</v>
      </c>
      <c r="E188">
        <v>1834</v>
      </c>
      <c r="F188">
        <v>0</v>
      </c>
      <c r="G188" s="13">
        <v>0.79300000000000004</v>
      </c>
      <c r="H188" s="1" t="s">
        <v>12371</v>
      </c>
      <c r="I188">
        <v>6</v>
      </c>
      <c r="J188">
        <v>478</v>
      </c>
      <c r="K188" t="str">
        <f t="shared" si="2"/>
        <v>Filtered out</v>
      </c>
    </row>
    <row r="189" spans="1:11" x14ac:dyDescent="0.2">
      <c r="A189" t="s">
        <v>12625</v>
      </c>
      <c r="B189" t="s">
        <v>12382</v>
      </c>
      <c r="C189" t="s">
        <v>12382</v>
      </c>
      <c r="D189">
        <v>1025</v>
      </c>
      <c r="E189">
        <v>1027</v>
      </c>
      <c r="F189">
        <v>0</v>
      </c>
      <c r="G189" s="13">
        <v>0.33</v>
      </c>
      <c r="H189" s="1" t="s">
        <v>12371</v>
      </c>
      <c r="I189">
        <v>10</v>
      </c>
      <c r="J189">
        <v>103</v>
      </c>
      <c r="K189" t="str">
        <f t="shared" si="2"/>
        <v>Filtered out</v>
      </c>
    </row>
    <row r="190" spans="1:11" x14ac:dyDescent="0.2">
      <c r="A190" t="s">
        <v>12626</v>
      </c>
      <c r="B190" t="s">
        <v>12375</v>
      </c>
      <c r="C190" t="s">
        <v>12406</v>
      </c>
      <c r="D190">
        <v>6363</v>
      </c>
      <c r="E190">
        <v>6622</v>
      </c>
      <c r="F190">
        <v>-3</v>
      </c>
      <c r="G190" s="13">
        <v>0.95</v>
      </c>
      <c r="H190" s="1" t="s">
        <v>12371</v>
      </c>
      <c r="I190">
        <v>34</v>
      </c>
      <c r="J190">
        <v>1617</v>
      </c>
      <c r="K190" t="str">
        <f t="shared" si="2"/>
        <v>Filtered out</v>
      </c>
    </row>
    <row r="191" spans="1:11" x14ac:dyDescent="0.2">
      <c r="A191" t="s">
        <v>12627</v>
      </c>
      <c r="B191" t="s">
        <v>12373</v>
      </c>
      <c r="C191" t="s">
        <v>12373</v>
      </c>
      <c r="D191">
        <v>3611</v>
      </c>
      <c r="E191">
        <v>3610</v>
      </c>
      <c r="F191">
        <v>0</v>
      </c>
      <c r="G191" s="13">
        <v>0.98699999999999999</v>
      </c>
      <c r="H191" s="1" t="s">
        <v>12371</v>
      </c>
      <c r="I191">
        <v>12</v>
      </c>
      <c r="J191">
        <v>981</v>
      </c>
      <c r="K191" t="str">
        <f t="shared" si="2"/>
        <v>Retained</v>
      </c>
    </row>
    <row r="192" spans="1:11" x14ac:dyDescent="0.2">
      <c r="A192" t="s">
        <v>12628</v>
      </c>
      <c r="B192" t="s">
        <v>12406</v>
      </c>
      <c r="C192" t="s">
        <v>12373</v>
      </c>
      <c r="D192">
        <v>611</v>
      </c>
      <c r="E192">
        <v>1447</v>
      </c>
      <c r="F192">
        <v>-57</v>
      </c>
      <c r="G192" s="13">
        <v>0.79500000000000004</v>
      </c>
      <c r="H192" s="1" t="s">
        <v>12371</v>
      </c>
      <c r="I192">
        <v>5</v>
      </c>
      <c r="J192">
        <v>46</v>
      </c>
      <c r="K192" t="str">
        <f t="shared" si="2"/>
        <v>Filtered out</v>
      </c>
    </row>
    <row r="193" spans="1:11" x14ac:dyDescent="0.2">
      <c r="A193" t="s">
        <v>12629</v>
      </c>
      <c r="B193" t="s">
        <v>12373</v>
      </c>
      <c r="C193" t="s">
        <v>12373</v>
      </c>
      <c r="D193">
        <v>1451</v>
      </c>
      <c r="E193">
        <v>1452</v>
      </c>
      <c r="F193">
        <v>0</v>
      </c>
      <c r="G193" s="13">
        <v>0.68799999999999994</v>
      </c>
      <c r="H193" s="1" t="s">
        <v>12371</v>
      </c>
      <c r="I193">
        <v>12</v>
      </c>
      <c r="J193">
        <v>96</v>
      </c>
      <c r="K193" t="str">
        <f t="shared" si="2"/>
        <v>Filtered out</v>
      </c>
    </row>
    <row r="194" spans="1:11" x14ac:dyDescent="0.2">
      <c r="A194" t="s">
        <v>12630</v>
      </c>
      <c r="B194" t="s">
        <v>12559</v>
      </c>
      <c r="C194" t="s">
        <v>12373</v>
      </c>
      <c r="D194">
        <v>2642</v>
      </c>
      <c r="E194">
        <v>2923</v>
      </c>
      <c r="F194">
        <v>-9</v>
      </c>
      <c r="G194" s="13">
        <v>0.84799999999999998</v>
      </c>
      <c r="H194" s="1" t="s">
        <v>12371</v>
      </c>
      <c r="I194">
        <v>9</v>
      </c>
      <c r="J194">
        <v>760</v>
      </c>
      <c r="K194" t="str">
        <f t="shared" si="2"/>
        <v>Filtered out</v>
      </c>
    </row>
    <row r="195" spans="1:11" x14ac:dyDescent="0.2">
      <c r="A195" t="s">
        <v>12631</v>
      </c>
      <c r="B195" t="s">
        <v>12373</v>
      </c>
      <c r="C195" t="s">
        <v>12373</v>
      </c>
      <c r="D195">
        <v>2280</v>
      </c>
      <c r="E195">
        <v>2282</v>
      </c>
      <c r="F195">
        <v>0</v>
      </c>
      <c r="G195" s="13">
        <v>0.88100000000000001</v>
      </c>
      <c r="H195" s="1" t="s">
        <v>12371</v>
      </c>
      <c r="I195">
        <v>20</v>
      </c>
      <c r="J195">
        <v>368</v>
      </c>
      <c r="K195" t="str">
        <f t="shared" si="2"/>
        <v>Filtered out</v>
      </c>
    </row>
    <row r="196" spans="1:11" x14ac:dyDescent="0.2">
      <c r="A196" t="s">
        <v>12632</v>
      </c>
      <c r="B196" t="s">
        <v>12633</v>
      </c>
      <c r="C196" t="s">
        <v>12633</v>
      </c>
      <c r="D196">
        <v>5597</v>
      </c>
      <c r="E196">
        <v>5599</v>
      </c>
      <c r="F196">
        <v>0</v>
      </c>
      <c r="G196" s="13">
        <v>1</v>
      </c>
      <c r="H196" s="1" t="s">
        <v>12371</v>
      </c>
      <c r="I196">
        <v>22</v>
      </c>
      <c r="J196">
        <v>1728</v>
      </c>
      <c r="K196" t="str">
        <f t="shared" si="2"/>
        <v>Filtered out</v>
      </c>
    </row>
    <row r="197" spans="1:11" x14ac:dyDescent="0.2">
      <c r="A197" t="s">
        <v>12634</v>
      </c>
      <c r="B197" t="s">
        <v>12601</v>
      </c>
      <c r="C197" t="s">
        <v>12601</v>
      </c>
      <c r="D197">
        <v>2234</v>
      </c>
      <c r="E197">
        <v>4501</v>
      </c>
      <c r="F197">
        <v>-50</v>
      </c>
      <c r="G197" s="13">
        <v>1</v>
      </c>
      <c r="H197" s="1" t="s">
        <v>12371</v>
      </c>
      <c r="I197">
        <v>14</v>
      </c>
      <c r="J197">
        <v>589</v>
      </c>
      <c r="K197" t="str">
        <f t="shared" si="2"/>
        <v>Filtered out</v>
      </c>
    </row>
    <row r="198" spans="1:11" x14ac:dyDescent="0.2">
      <c r="A198" t="s">
        <v>12635</v>
      </c>
      <c r="B198" t="s">
        <v>12539</v>
      </c>
      <c r="C198" t="s">
        <v>12463</v>
      </c>
      <c r="D198">
        <v>6480</v>
      </c>
      <c r="E198">
        <v>6532</v>
      </c>
      <c r="F198">
        <v>0</v>
      </c>
      <c r="G198" s="13">
        <v>0.88400000000000001</v>
      </c>
      <c r="H198" s="1" t="s">
        <v>12371</v>
      </c>
      <c r="I198">
        <v>84</v>
      </c>
      <c r="J198">
        <v>257</v>
      </c>
      <c r="K198" t="str">
        <f t="shared" si="2"/>
        <v>Filtered out</v>
      </c>
    </row>
    <row r="199" spans="1:11" x14ac:dyDescent="0.2">
      <c r="A199" t="s">
        <v>12636</v>
      </c>
      <c r="B199" t="s">
        <v>12637</v>
      </c>
      <c r="C199" t="s">
        <v>12637</v>
      </c>
      <c r="D199">
        <v>18932</v>
      </c>
      <c r="E199">
        <v>18922</v>
      </c>
      <c r="F199">
        <v>0</v>
      </c>
      <c r="G199" s="13">
        <v>0.99299999999999999</v>
      </c>
      <c r="H199" s="1" t="s">
        <v>12371</v>
      </c>
      <c r="I199">
        <v>438</v>
      </c>
      <c r="J199">
        <v>565</v>
      </c>
      <c r="K199" t="str">
        <f t="shared" si="2"/>
        <v>Retained</v>
      </c>
    </row>
    <row r="200" spans="1:11" x14ac:dyDescent="0.2">
      <c r="A200" t="s">
        <v>12638</v>
      </c>
      <c r="B200" t="s">
        <v>12375</v>
      </c>
      <c r="C200" t="s">
        <v>12373</v>
      </c>
      <c r="D200">
        <v>1335</v>
      </c>
      <c r="E200">
        <v>1357</v>
      </c>
      <c r="F200">
        <v>-1</v>
      </c>
      <c r="G200" s="13">
        <v>0.76800000000000002</v>
      </c>
      <c r="H200" s="1" t="s">
        <v>12371</v>
      </c>
      <c r="I200">
        <v>11</v>
      </c>
      <c r="J200">
        <v>258</v>
      </c>
      <c r="K200" t="str">
        <f t="shared" si="2"/>
        <v>Filtered out</v>
      </c>
    </row>
    <row r="201" spans="1:11" x14ac:dyDescent="0.2">
      <c r="A201" t="s">
        <v>12639</v>
      </c>
      <c r="B201" t="s">
        <v>12436</v>
      </c>
      <c r="C201" t="s">
        <v>12640</v>
      </c>
      <c r="D201">
        <v>749</v>
      </c>
      <c r="E201">
        <v>628</v>
      </c>
      <c r="F201">
        <v>19</v>
      </c>
      <c r="G201" s="13">
        <v>0.25600000000000001</v>
      </c>
      <c r="H201" s="1" t="s">
        <v>12371</v>
      </c>
      <c r="I201">
        <v>2</v>
      </c>
      <c r="J201">
        <v>80</v>
      </c>
      <c r="K201" t="str">
        <f t="shared" ref="K201:K264" si="3">IF(AND(B201=C201,F201&lt;10,F201&gt;-10,I201&gt;0,G201&gt;90%,G201&lt;100%),"Retained","Filtered out")</f>
        <v>Filtered out</v>
      </c>
    </row>
    <row r="202" spans="1:11" x14ac:dyDescent="0.2">
      <c r="A202" t="s">
        <v>12641</v>
      </c>
      <c r="B202" t="s">
        <v>12601</v>
      </c>
      <c r="C202" t="s">
        <v>12373</v>
      </c>
      <c r="D202">
        <v>641</v>
      </c>
      <c r="E202">
        <v>1759</v>
      </c>
      <c r="F202">
        <v>-63</v>
      </c>
      <c r="G202" s="13">
        <v>0.95899999999999996</v>
      </c>
      <c r="H202" s="1" t="s">
        <v>12371</v>
      </c>
      <c r="I202">
        <v>1</v>
      </c>
      <c r="J202">
        <v>183</v>
      </c>
      <c r="K202" t="str">
        <f t="shared" si="3"/>
        <v>Filtered out</v>
      </c>
    </row>
    <row r="203" spans="1:11" x14ac:dyDescent="0.2">
      <c r="A203" t="s">
        <v>12642</v>
      </c>
      <c r="B203" t="s">
        <v>12461</v>
      </c>
      <c r="C203" t="s">
        <v>12405</v>
      </c>
      <c r="D203">
        <v>3491</v>
      </c>
      <c r="E203">
        <v>3616</v>
      </c>
      <c r="F203">
        <v>-3</v>
      </c>
      <c r="G203" s="13">
        <v>0.95099999999999996</v>
      </c>
      <c r="H203" s="1" t="s">
        <v>12371</v>
      </c>
      <c r="I203">
        <v>38</v>
      </c>
      <c r="J203">
        <v>214</v>
      </c>
      <c r="K203" t="str">
        <f t="shared" si="3"/>
        <v>Filtered out</v>
      </c>
    </row>
    <row r="204" spans="1:11" x14ac:dyDescent="0.2">
      <c r="A204" t="s">
        <v>12643</v>
      </c>
      <c r="B204" t="s">
        <v>12644</v>
      </c>
      <c r="C204" t="s">
        <v>12373</v>
      </c>
      <c r="D204">
        <v>6161</v>
      </c>
      <c r="E204">
        <v>7580</v>
      </c>
      <c r="F204">
        <v>-18</v>
      </c>
      <c r="G204" s="13">
        <v>0.38300000000000001</v>
      </c>
      <c r="H204" s="1" t="s">
        <v>12371</v>
      </c>
      <c r="I204">
        <v>11</v>
      </c>
      <c r="J204">
        <v>1048</v>
      </c>
      <c r="K204" t="str">
        <f t="shared" si="3"/>
        <v>Filtered out</v>
      </c>
    </row>
    <row r="205" spans="1:11" x14ac:dyDescent="0.2">
      <c r="A205" t="s">
        <v>12645</v>
      </c>
      <c r="B205" t="s">
        <v>12646</v>
      </c>
      <c r="C205" t="s">
        <v>12373</v>
      </c>
      <c r="D205">
        <v>3929</v>
      </c>
      <c r="E205">
        <v>3691</v>
      </c>
      <c r="F205">
        <v>6</v>
      </c>
      <c r="G205" s="13">
        <v>0.47599999999999998</v>
      </c>
      <c r="H205" s="1" t="s">
        <v>12371</v>
      </c>
      <c r="I205">
        <v>6</v>
      </c>
      <c r="J205">
        <v>942</v>
      </c>
      <c r="K205" t="str">
        <f t="shared" si="3"/>
        <v>Filtered out</v>
      </c>
    </row>
    <row r="206" spans="1:11" x14ac:dyDescent="0.2">
      <c r="A206" t="s">
        <v>12647</v>
      </c>
      <c r="B206" t="s">
        <v>12428</v>
      </c>
      <c r="C206" t="s">
        <v>12375</v>
      </c>
      <c r="D206">
        <v>938</v>
      </c>
      <c r="E206">
        <v>946</v>
      </c>
      <c r="F206">
        <v>0</v>
      </c>
      <c r="G206" s="13">
        <v>0.98599999999999999</v>
      </c>
      <c r="H206" s="1" t="s">
        <v>12437</v>
      </c>
      <c r="I206">
        <v>0</v>
      </c>
      <c r="J206" t="s">
        <v>12438</v>
      </c>
      <c r="K206" t="str">
        <f t="shared" si="3"/>
        <v>Filtered out</v>
      </c>
    </row>
    <row r="207" spans="1:11" x14ac:dyDescent="0.2">
      <c r="A207" t="s">
        <v>12648</v>
      </c>
      <c r="B207" t="s">
        <v>12646</v>
      </c>
      <c r="C207" t="s">
        <v>12646</v>
      </c>
      <c r="D207">
        <v>1217</v>
      </c>
      <c r="E207">
        <v>1216</v>
      </c>
      <c r="F207">
        <v>0</v>
      </c>
      <c r="G207" s="13">
        <v>0.995</v>
      </c>
      <c r="H207" s="1" t="s">
        <v>12371</v>
      </c>
      <c r="I207">
        <v>2</v>
      </c>
      <c r="J207">
        <v>398</v>
      </c>
      <c r="K207" t="str">
        <f t="shared" si="3"/>
        <v>Retained</v>
      </c>
    </row>
    <row r="208" spans="1:11" x14ac:dyDescent="0.2">
      <c r="A208" t="s">
        <v>12649</v>
      </c>
      <c r="B208" t="s">
        <v>12373</v>
      </c>
      <c r="C208" t="s">
        <v>12373</v>
      </c>
      <c r="D208">
        <v>6351</v>
      </c>
      <c r="E208">
        <v>16660</v>
      </c>
      <c r="F208">
        <v>-61</v>
      </c>
      <c r="G208" s="13">
        <v>0.70499999999999996</v>
      </c>
      <c r="H208" s="1" t="s">
        <v>12371</v>
      </c>
      <c r="I208">
        <v>35</v>
      </c>
      <c r="J208">
        <v>422</v>
      </c>
      <c r="K208" t="str">
        <f t="shared" si="3"/>
        <v>Filtered out</v>
      </c>
    </row>
    <row r="209" spans="1:11" x14ac:dyDescent="0.2">
      <c r="A209" t="s">
        <v>12650</v>
      </c>
      <c r="B209" t="s">
        <v>12373</v>
      </c>
      <c r="C209" t="s">
        <v>12373</v>
      </c>
      <c r="D209">
        <v>2343</v>
      </c>
      <c r="E209">
        <v>1735</v>
      </c>
      <c r="F209">
        <v>35</v>
      </c>
      <c r="G209" s="13">
        <v>0.86499999999999999</v>
      </c>
      <c r="H209" s="1" t="s">
        <v>12371</v>
      </c>
      <c r="I209">
        <v>34</v>
      </c>
      <c r="J209">
        <v>208</v>
      </c>
      <c r="K209" t="str">
        <f t="shared" si="3"/>
        <v>Filtered out</v>
      </c>
    </row>
    <row r="210" spans="1:11" x14ac:dyDescent="0.2">
      <c r="A210" t="s">
        <v>12651</v>
      </c>
      <c r="B210" t="s">
        <v>12428</v>
      </c>
      <c r="C210" t="s">
        <v>12428</v>
      </c>
      <c r="D210">
        <v>1488</v>
      </c>
      <c r="E210">
        <v>1492</v>
      </c>
      <c r="F210">
        <v>0</v>
      </c>
      <c r="G210" s="13">
        <v>0.55000000000000004</v>
      </c>
      <c r="H210" s="1" t="s">
        <v>12371</v>
      </c>
      <c r="I210">
        <v>7</v>
      </c>
      <c r="J210">
        <v>262</v>
      </c>
      <c r="K210" t="str">
        <f t="shared" si="3"/>
        <v>Filtered out</v>
      </c>
    </row>
    <row r="211" spans="1:11" x14ac:dyDescent="0.2">
      <c r="A211" t="s">
        <v>12652</v>
      </c>
      <c r="B211" t="s">
        <v>12375</v>
      </c>
      <c r="C211" t="s">
        <v>12375</v>
      </c>
      <c r="D211">
        <v>2285</v>
      </c>
      <c r="E211">
        <v>2287</v>
      </c>
      <c r="F211">
        <v>0</v>
      </c>
      <c r="G211" s="13">
        <v>1</v>
      </c>
      <c r="H211" s="1" t="s">
        <v>12371</v>
      </c>
      <c r="I211">
        <v>20</v>
      </c>
      <c r="J211">
        <v>456</v>
      </c>
      <c r="K211" t="str">
        <f t="shared" si="3"/>
        <v>Filtered out</v>
      </c>
    </row>
    <row r="212" spans="1:11" x14ac:dyDescent="0.2">
      <c r="A212" t="s">
        <v>12653</v>
      </c>
      <c r="B212" t="s">
        <v>12373</v>
      </c>
      <c r="C212" t="s">
        <v>12373</v>
      </c>
      <c r="D212">
        <v>1416</v>
      </c>
      <c r="E212">
        <v>1420</v>
      </c>
      <c r="F212">
        <v>0</v>
      </c>
      <c r="G212" s="13">
        <v>0.91500000000000004</v>
      </c>
      <c r="H212" s="1" t="s">
        <v>12371</v>
      </c>
      <c r="I212">
        <v>9</v>
      </c>
      <c r="J212">
        <v>393</v>
      </c>
      <c r="K212" t="str">
        <f t="shared" si="3"/>
        <v>Retained</v>
      </c>
    </row>
    <row r="213" spans="1:11" x14ac:dyDescent="0.2">
      <c r="A213" t="s">
        <v>12654</v>
      </c>
      <c r="B213" t="s">
        <v>12601</v>
      </c>
      <c r="C213" t="s">
        <v>12655</v>
      </c>
      <c r="D213">
        <v>3303</v>
      </c>
      <c r="E213">
        <v>3319</v>
      </c>
      <c r="F213">
        <v>0</v>
      </c>
      <c r="G213" s="13">
        <v>0.84899999999999998</v>
      </c>
      <c r="H213" s="1" t="s">
        <v>12371</v>
      </c>
      <c r="I213">
        <v>5</v>
      </c>
      <c r="J213">
        <v>932</v>
      </c>
      <c r="K213" t="str">
        <f t="shared" si="3"/>
        <v>Filtered out</v>
      </c>
    </row>
    <row r="214" spans="1:11" x14ac:dyDescent="0.2">
      <c r="A214" t="s">
        <v>12656</v>
      </c>
      <c r="B214" t="s">
        <v>12370</v>
      </c>
      <c r="C214" t="s">
        <v>12373</v>
      </c>
      <c r="D214">
        <v>2762</v>
      </c>
      <c r="E214">
        <v>2773</v>
      </c>
      <c r="F214">
        <v>0</v>
      </c>
      <c r="G214" s="13">
        <v>0.66600000000000004</v>
      </c>
      <c r="H214" s="1" t="s">
        <v>12371</v>
      </c>
      <c r="I214">
        <v>14</v>
      </c>
      <c r="J214">
        <v>676</v>
      </c>
      <c r="K214" t="str">
        <f t="shared" si="3"/>
        <v>Filtered out</v>
      </c>
    </row>
    <row r="215" spans="1:11" x14ac:dyDescent="0.2">
      <c r="A215" t="s">
        <v>12657</v>
      </c>
      <c r="B215" t="s">
        <v>12373</v>
      </c>
      <c r="C215" t="s">
        <v>12373</v>
      </c>
      <c r="D215">
        <v>2454</v>
      </c>
      <c r="E215">
        <v>2455</v>
      </c>
      <c r="F215">
        <v>0</v>
      </c>
      <c r="G215" s="13">
        <v>0.72299999999999998</v>
      </c>
      <c r="H215" s="1" t="s">
        <v>12371</v>
      </c>
      <c r="I215">
        <v>33</v>
      </c>
      <c r="J215">
        <v>56</v>
      </c>
      <c r="K215" t="str">
        <f t="shared" si="3"/>
        <v>Filtered out</v>
      </c>
    </row>
    <row r="216" spans="1:11" x14ac:dyDescent="0.2">
      <c r="A216" t="s">
        <v>12658</v>
      </c>
      <c r="B216" t="s">
        <v>12412</v>
      </c>
      <c r="C216" t="s">
        <v>12375</v>
      </c>
      <c r="D216">
        <v>1208</v>
      </c>
      <c r="E216">
        <v>2449</v>
      </c>
      <c r="F216">
        <v>-50</v>
      </c>
      <c r="G216" s="13">
        <v>0.72799999999999998</v>
      </c>
      <c r="H216" s="1" t="s">
        <v>12437</v>
      </c>
      <c r="I216">
        <v>0</v>
      </c>
      <c r="J216" t="s">
        <v>12438</v>
      </c>
      <c r="K216" t="str">
        <f t="shared" si="3"/>
        <v>Filtered out</v>
      </c>
    </row>
    <row r="217" spans="1:11" x14ac:dyDescent="0.2">
      <c r="A217" t="s">
        <v>12659</v>
      </c>
      <c r="B217" t="s">
        <v>12660</v>
      </c>
      <c r="C217" t="s">
        <v>12660</v>
      </c>
      <c r="D217">
        <v>1073</v>
      </c>
      <c r="E217">
        <v>1069</v>
      </c>
      <c r="F217">
        <v>0</v>
      </c>
      <c r="G217" s="13">
        <v>0.97099999999999997</v>
      </c>
      <c r="H217" s="1" t="s">
        <v>12371</v>
      </c>
      <c r="I217">
        <v>4</v>
      </c>
      <c r="J217">
        <v>12</v>
      </c>
      <c r="K217" t="str">
        <f t="shared" si="3"/>
        <v>Retained</v>
      </c>
    </row>
    <row r="218" spans="1:11" x14ac:dyDescent="0.2">
      <c r="A218" t="s">
        <v>12661</v>
      </c>
      <c r="B218" t="s">
        <v>12553</v>
      </c>
      <c r="C218" t="s">
        <v>12373</v>
      </c>
      <c r="D218">
        <v>1056</v>
      </c>
      <c r="E218">
        <v>1081</v>
      </c>
      <c r="F218">
        <v>-2</v>
      </c>
      <c r="G218" s="13">
        <v>0.27800000000000002</v>
      </c>
      <c r="H218" s="1" t="s">
        <v>12371</v>
      </c>
      <c r="I218">
        <v>4</v>
      </c>
      <c r="J218">
        <v>65</v>
      </c>
      <c r="K218" t="str">
        <f t="shared" si="3"/>
        <v>Filtered out</v>
      </c>
    </row>
    <row r="219" spans="1:11" x14ac:dyDescent="0.2">
      <c r="A219" t="s">
        <v>12662</v>
      </c>
      <c r="B219" t="s">
        <v>12373</v>
      </c>
      <c r="C219" t="s">
        <v>12373</v>
      </c>
      <c r="D219">
        <v>1832</v>
      </c>
      <c r="E219">
        <v>1834</v>
      </c>
      <c r="F219">
        <v>0</v>
      </c>
      <c r="G219" s="13">
        <v>0.46700000000000003</v>
      </c>
      <c r="H219" s="1" t="s">
        <v>12371</v>
      </c>
      <c r="I219">
        <v>13</v>
      </c>
      <c r="J219">
        <v>208</v>
      </c>
      <c r="K219" t="str">
        <f t="shared" si="3"/>
        <v>Filtered out</v>
      </c>
    </row>
    <row r="220" spans="1:11" x14ac:dyDescent="0.2">
      <c r="A220" t="s">
        <v>12663</v>
      </c>
      <c r="B220" t="s">
        <v>12574</v>
      </c>
      <c r="C220" t="s">
        <v>12373</v>
      </c>
      <c r="D220">
        <v>1926</v>
      </c>
      <c r="E220">
        <v>2023</v>
      </c>
      <c r="F220">
        <v>-4</v>
      </c>
      <c r="G220" s="13">
        <v>0.82299999999999995</v>
      </c>
      <c r="H220" s="1" t="s">
        <v>12371</v>
      </c>
      <c r="I220">
        <v>2</v>
      </c>
      <c r="J220">
        <v>567</v>
      </c>
      <c r="K220" t="str">
        <f t="shared" si="3"/>
        <v>Filtered out</v>
      </c>
    </row>
    <row r="221" spans="1:11" x14ac:dyDescent="0.2">
      <c r="A221" t="s">
        <v>12664</v>
      </c>
      <c r="B221" t="s">
        <v>12373</v>
      </c>
      <c r="C221" t="s">
        <v>12373</v>
      </c>
      <c r="D221">
        <v>714</v>
      </c>
      <c r="E221">
        <v>721</v>
      </c>
      <c r="F221">
        <v>0</v>
      </c>
      <c r="G221" s="13">
        <v>0.78</v>
      </c>
      <c r="H221" s="1" t="s">
        <v>12371</v>
      </c>
      <c r="I221">
        <v>2</v>
      </c>
      <c r="J221">
        <v>222</v>
      </c>
      <c r="K221" t="str">
        <f t="shared" si="3"/>
        <v>Filtered out</v>
      </c>
    </row>
    <row r="222" spans="1:11" x14ac:dyDescent="0.2">
      <c r="A222" t="s">
        <v>12665</v>
      </c>
      <c r="B222" t="s">
        <v>12373</v>
      </c>
      <c r="C222" t="s">
        <v>12373</v>
      </c>
      <c r="D222">
        <v>644</v>
      </c>
      <c r="E222">
        <v>652</v>
      </c>
      <c r="F222">
        <v>-1</v>
      </c>
      <c r="G222" s="13">
        <v>0.98699999999999999</v>
      </c>
      <c r="H222" s="1" t="s">
        <v>12437</v>
      </c>
      <c r="I222">
        <v>0</v>
      </c>
      <c r="J222" t="s">
        <v>12438</v>
      </c>
      <c r="K222" t="str">
        <f t="shared" si="3"/>
        <v>Filtered out</v>
      </c>
    </row>
    <row r="223" spans="1:11" x14ac:dyDescent="0.2">
      <c r="A223" t="s">
        <v>12666</v>
      </c>
      <c r="B223" t="s">
        <v>12373</v>
      </c>
      <c r="C223" t="s">
        <v>12373</v>
      </c>
      <c r="D223">
        <v>3422</v>
      </c>
      <c r="E223">
        <v>3421</v>
      </c>
      <c r="F223">
        <v>0</v>
      </c>
      <c r="G223" s="13">
        <v>0.98699999999999999</v>
      </c>
      <c r="H223" s="1" t="s">
        <v>12371</v>
      </c>
      <c r="I223">
        <v>32</v>
      </c>
      <c r="J223">
        <v>453</v>
      </c>
      <c r="K223" t="str">
        <f t="shared" si="3"/>
        <v>Retained</v>
      </c>
    </row>
    <row r="224" spans="1:11" x14ac:dyDescent="0.2">
      <c r="A224" t="s">
        <v>12667</v>
      </c>
      <c r="B224" t="s">
        <v>12373</v>
      </c>
      <c r="C224" t="s">
        <v>12668</v>
      </c>
      <c r="D224">
        <v>1133</v>
      </c>
      <c r="E224">
        <v>1444</v>
      </c>
      <c r="F224">
        <v>-21</v>
      </c>
      <c r="G224" s="13">
        <v>0.219</v>
      </c>
      <c r="H224" s="1" t="s">
        <v>12371</v>
      </c>
      <c r="I224">
        <v>5</v>
      </c>
      <c r="J224">
        <v>231</v>
      </c>
      <c r="K224" t="str">
        <f t="shared" si="3"/>
        <v>Filtered out</v>
      </c>
    </row>
    <row r="225" spans="1:11" x14ac:dyDescent="0.2">
      <c r="A225" t="s">
        <v>12669</v>
      </c>
      <c r="B225" t="s">
        <v>12428</v>
      </c>
      <c r="C225" t="s">
        <v>12393</v>
      </c>
      <c r="D225">
        <v>974</v>
      </c>
      <c r="E225">
        <v>1072</v>
      </c>
      <c r="F225">
        <v>-9</v>
      </c>
      <c r="G225" s="13">
        <v>0.89600000000000002</v>
      </c>
      <c r="H225" s="1" t="s">
        <v>12371</v>
      </c>
      <c r="I225">
        <v>23</v>
      </c>
      <c r="J225">
        <v>103</v>
      </c>
      <c r="K225" t="str">
        <f t="shared" si="3"/>
        <v>Filtered out</v>
      </c>
    </row>
    <row r="226" spans="1:11" x14ac:dyDescent="0.2">
      <c r="A226" t="s">
        <v>12670</v>
      </c>
      <c r="B226" t="s">
        <v>12671</v>
      </c>
      <c r="C226" t="s">
        <v>12671</v>
      </c>
      <c r="D226">
        <v>2876</v>
      </c>
      <c r="E226">
        <v>2878</v>
      </c>
      <c r="F226">
        <v>0</v>
      </c>
      <c r="G226" s="13">
        <v>0.997</v>
      </c>
      <c r="H226" s="1" t="s">
        <v>12371</v>
      </c>
      <c r="I226">
        <v>11</v>
      </c>
      <c r="J226">
        <v>680</v>
      </c>
      <c r="K226" t="str">
        <f t="shared" si="3"/>
        <v>Retained</v>
      </c>
    </row>
    <row r="227" spans="1:11" x14ac:dyDescent="0.2">
      <c r="A227" t="s">
        <v>12672</v>
      </c>
      <c r="B227" t="s">
        <v>12373</v>
      </c>
      <c r="C227" t="s">
        <v>12373</v>
      </c>
      <c r="D227">
        <v>8168</v>
      </c>
      <c r="E227">
        <v>10063</v>
      </c>
      <c r="F227">
        <v>-18</v>
      </c>
      <c r="G227" s="13">
        <v>0.97499999999999998</v>
      </c>
      <c r="H227" s="1" t="s">
        <v>12371</v>
      </c>
      <c r="I227">
        <v>5</v>
      </c>
      <c r="J227">
        <v>595</v>
      </c>
      <c r="K227" t="str">
        <f t="shared" si="3"/>
        <v>Filtered out</v>
      </c>
    </row>
    <row r="228" spans="1:11" x14ac:dyDescent="0.2">
      <c r="A228" t="s">
        <v>12673</v>
      </c>
      <c r="B228" t="s">
        <v>12373</v>
      </c>
      <c r="C228" t="s">
        <v>12373</v>
      </c>
      <c r="D228">
        <v>1188</v>
      </c>
      <c r="E228">
        <v>1189</v>
      </c>
      <c r="F228">
        <v>0</v>
      </c>
      <c r="G228" s="13">
        <v>0.92500000000000004</v>
      </c>
      <c r="H228" s="1" t="s">
        <v>12371</v>
      </c>
      <c r="I228">
        <v>8</v>
      </c>
      <c r="J228">
        <v>178</v>
      </c>
      <c r="K228" t="str">
        <f t="shared" si="3"/>
        <v>Retained</v>
      </c>
    </row>
    <row r="229" spans="1:11" x14ac:dyDescent="0.2">
      <c r="A229" t="s">
        <v>12674</v>
      </c>
      <c r="B229" t="s">
        <v>12373</v>
      </c>
      <c r="C229" t="s">
        <v>12373</v>
      </c>
      <c r="D229">
        <v>3365</v>
      </c>
      <c r="E229">
        <v>3361</v>
      </c>
      <c r="F229">
        <v>0</v>
      </c>
      <c r="G229" s="13">
        <v>0.98299999999999998</v>
      </c>
      <c r="H229" s="1" t="s">
        <v>12371</v>
      </c>
      <c r="I229">
        <v>22</v>
      </c>
      <c r="J229">
        <v>550</v>
      </c>
      <c r="K229" t="str">
        <f t="shared" si="3"/>
        <v>Retained</v>
      </c>
    </row>
    <row r="230" spans="1:11" x14ac:dyDescent="0.2">
      <c r="A230" t="s">
        <v>12675</v>
      </c>
      <c r="B230" t="s">
        <v>12468</v>
      </c>
      <c r="C230" t="s">
        <v>12468</v>
      </c>
      <c r="D230">
        <v>6027</v>
      </c>
      <c r="E230">
        <v>6040</v>
      </c>
      <c r="F230">
        <v>0</v>
      </c>
      <c r="G230" s="13">
        <v>0.89600000000000002</v>
      </c>
      <c r="H230" s="1" t="s">
        <v>12371</v>
      </c>
      <c r="I230">
        <v>13</v>
      </c>
      <c r="J230">
        <v>1847</v>
      </c>
      <c r="K230" t="str">
        <f t="shared" si="3"/>
        <v>Filtered out</v>
      </c>
    </row>
    <row r="231" spans="1:11" x14ac:dyDescent="0.2">
      <c r="A231" t="s">
        <v>12676</v>
      </c>
      <c r="B231" t="s">
        <v>12373</v>
      </c>
      <c r="C231" t="s">
        <v>12373</v>
      </c>
      <c r="D231">
        <v>2546</v>
      </c>
      <c r="E231">
        <v>2546</v>
      </c>
      <c r="F231">
        <v>0</v>
      </c>
      <c r="G231" s="13">
        <v>0.97599999999999998</v>
      </c>
      <c r="H231" s="1" t="s">
        <v>12371</v>
      </c>
      <c r="I231">
        <v>65</v>
      </c>
      <c r="J231">
        <v>67</v>
      </c>
      <c r="K231" t="str">
        <f t="shared" si="3"/>
        <v>Retained</v>
      </c>
    </row>
    <row r="232" spans="1:11" x14ac:dyDescent="0.2">
      <c r="A232" t="s">
        <v>12677</v>
      </c>
      <c r="B232" t="s">
        <v>12497</v>
      </c>
      <c r="C232" t="s">
        <v>12678</v>
      </c>
      <c r="D232">
        <v>1827</v>
      </c>
      <c r="E232">
        <v>1829</v>
      </c>
      <c r="F232">
        <v>0</v>
      </c>
      <c r="G232" s="13">
        <v>0.26300000000000001</v>
      </c>
      <c r="H232" s="1" t="s">
        <v>12371</v>
      </c>
      <c r="I232">
        <v>17</v>
      </c>
      <c r="J232">
        <v>58</v>
      </c>
      <c r="K232" t="str">
        <f t="shared" si="3"/>
        <v>Filtered out</v>
      </c>
    </row>
    <row r="233" spans="1:11" x14ac:dyDescent="0.2">
      <c r="A233" t="s">
        <v>12679</v>
      </c>
      <c r="B233" t="s">
        <v>12373</v>
      </c>
      <c r="C233" t="s">
        <v>12373</v>
      </c>
      <c r="D233">
        <v>1073</v>
      </c>
      <c r="E233">
        <v>1672</v>
      </c>
      <c r="F233">
        <v>-35</v>
      </c>
      <c r="G233" s="13">
        <v>0.214</v>
      </c>
      <c r="H233" s="1" t="s">
        <v>12371</v>
      </c>
      <c r="I233">
        <v>15</v>
      </c>
      <c r="J233">
        <v>84</v>
      </c>
      <c r="K233" t="str">
        <f t="shared" si="3"/>
        <v>Filtered out</v>
      </c>
    </row>
    <row r="234" spans="1:11" x14ac:dyDescent="0.2">
      <c r="A234" t="s">
        <v>12680</v>
      </c>
      <c r="B234" t="s">
        <v>12375</v>
      </c>
      <c r="C234" t="s">
        <v>12375</v>
      </c>
      <c r="D234">
        <v>3269</v>
      </c>
      <c r="E234">
        <v>4471</v>
      </c>
      <c r="F234">
        <v>-26</v>
      </c>
      <c r="G234" s="13">
        <v>0.24399999999999999</v>
      </c>
      <c r="H234" s="1" t="s">
        <v>12371</v>
      </c>
      <c r="I234">
        <v>22</v>
      </c>
      <c r="J234">
        <v>130</v>
      </c>
      <c r="K234" t="str">
        <f t="shared" si="3"/>
        <v>Filtered out</v>
      </c>
    </row>
    <row r="235" spans="1:11" x14ac:dyDescent="0.2">
      <c r="A235" t="s">
        <v>12681</v>
      </c>
      <c r="B235" t="s">
        <v>12682</v>
      </c>
      <c r="C235" t="s">
        <v>12682</v>
      </c>
      <c r="D235">
        <v>3101</v>
      </c>
      <c r="E235">
        <v>5716</v>
      </c>
      <c r="F235">
        <v>-45</v>
      </c>
      <c r="G235" s="13">
        <v>0.33700000000000002</v>
      </c>
      <c r="H235" s="1" t="s">
        <v>12371</v>
      </c>
      <c r="I235">
        <v>25</v>
      </c>
      <c r="J235">
        <v>241</v>
      </c>
      <c r="K235" t="str">
        <f t="shared" si="3"/>
        <v>Filtered out</v>
      </c>
    </row>
    <row r="236" spans="1:11" x14ac:dyDescent="0.2">
      <c r="A236" t="s">
        <v>12683</v>
      </c>
      <c r="B236" t="s">
        <v>12373</v>
      </c>
      <c r="C236" t="s">
        <v>12373</v>
      </c>
      <c r="D236">
        <v>2076</v>
      </c>
      <c r="E236">
        <v>2071</v>
      </c>
      <c r="F236">
        <v>0</v>
      </c>
      <c r="G236" s="13">
        <v>0.623</v>
      </c>
      <c r="H236" s="1" t="s">
        <v>12371</v>
      </c>
      <c r="I236">
        <v>26</v>
      </c>
      <c r="J236">
        <v>202</v>
      </c>
      <c r="K236" t="str">
        <f t="shared" si="3"/>
        <v>Filtered out</v>
      </c>
    </row>
    <row r="237" spans="1:11" x14ac:dyDescent="0.2">
      <c r="A237" t="s">
        <v>12684</v>
      </c>
      <c r="B237" t="s">
        <v>12373</v>
      </c>
      <c r="C237" t="s">
        <v>12373</v>
      </c>
      <c r="D237">
        <v>1082</v>
      </c>
      <c r="E237">
        <v>1082</v>
      </c>
      <c r="F237">
        <v>0</v>
      </c>
      <c r="G237" s="13">
        <v>0.997</v>
      </c>
      <c r="H237" s="1" t="s">
        <v>12371</v>
      </c>
      <c r="I237">
        <v>13</v>
      </c>
      <c r="J237">
        <v>40</v>
      </c>
      <c r="K237" t="str">
        <f t="shared" si="3"/>
        <v>Retained</v>
      </c>
    </row>
    <row r="238" spans="1:11" x14ac:dyDescent="0.2">
      <c r="A238" t="s">
        <v>12685</v>
      </c>
      <c r="B238" t="s">
        <v>12409</v>
      </c>
      <c r="C238" t="s">
        <v>12409</v>
      </c>
      <c r="D238">
        <v>939</v>
      </c>
      <c r="E238">
        <v>934</v>
      </c>
      <c r="F238">
        <v>0</v>
      </c>
      <c r="G238" s="13">
        <v>0.995</v>
      </c>
      <c r="H238" s="1" t="s">
        <v>12371</v>
      </c>
      <c r="I238">
        <v>3</v>
      </c>
      <c r="J238">
        <v>208</v>
      </c>
      <c r="K238" t="str">
        <f t="shared" si="3"/>
        <v>Retained</v>
      </c>
    </row>
    <row r="239" spans="1:11" x14ac:dyDescent="0.2">
      <c r="A239" t="s">
        <v>12686</v>
      </c>
      <c r="B239" t="s">
        <v>12373</v>
      </c>
      <c r="C239" t="s">
        <v>12382</v>
      </c>
      <c r="D239">
        <v>927</v>
      </c>
      <c r="E239">
        <v>928</v>
      </c>
      <c r="F239">
        <v>0</v>
      </c>
      <c r="G239" s="13">
        <v>0.38</v>
      </c>
      <c r="H239" s="1" t="s">
        <v>12371</v>
      </c>
      <c r="I239">
        <v>15</v>
      </c>
      <c r="J239">
        <v>25</v>
      </c>
      <c r="K239" t="str">
        <f t="shared" si="3"/>
        <v>Filtered out</v>
      </c>
    </row>
    <row r="240" spans="1:11" x14ac:dyDescent="0.2">
      <c r="A240" t="s">
        <v>12687</v>
      </c>
      <c r="B240" t="s">
        <v>12373</v>
      </c>
      <c r="C240" t="s">
        <v>12373</v>
      </c>
      <c r="D240">
        <v>941</v>
      </c>
      <c r="E240">
        <v>943</v>
      </c>
      <c r="F240">
        <v>0</v>
      </c>
      <c r="G240" s="13">
        <v>0.497</v>
      </c>
      <c r="H240" s="1" t="s">
        <v>12371</v>
      </c>
      <c r="I240">
        <v>6</v>
      </c>
      <c r="J240">
        <v>84</v>
      </c>
      <c r="K240" t="str">
        <f t="shared" si="3"/>
        <v>Filtered out</v>
      </c>
    </row>
    <row r="241" spans="1:11" x14ac:dyDescent="0.2">
      <c r="A241" t="s">
        <v>12688</v>
      </c>
      <c r="B241" t="s">
        <v>12373</v>
      </c>
      <c r="C241" t="s">
        <v>12373</v>
      </c>
      <c r="D241">
        <v>939</v>
      </c>
      <c r="E241">
        <v>940</v>
      </c>
      <c r="F241">
        <v>0</v>
      </c>
      <c r="G241" s="13">
        <v>0.57499999999999996</v>
      </c>
      <c r="H241" s="1" t="s">
        <v>12371</v>
      </c>
      <c r="I241">
        <v>12</v>
      </c>
      <c r="J241">
        <v>114</v>
      </c>
      <c r="K241" t="str">
        <f t="shared" si="3"/>
        <v>Filtered out</v>
      </c>
    </row>
    <row r="242" spans="1:11" x14ac:dyDescent="0.2">
      <c r="A242" t="s">
        <v>12689</v>
      </c>
      <c r="B242" t="s">
        <v>12373</v>
      </c>
      <c r="C242" t="s">
        <v>12373</v>
      </c>
      <c r="D242">
        <v>932</v>
      </c>
      <c r="E242">
        <v>934</v>
      </c>
      <c r="F242">
        <v>0</v>
      </c>
      <c r="G242" s="13">
        <v>0.98399999999999999</v>
      </c>
      <c r="H242" s="1" t="s">
        <v>12371</v>
      </c>
      <c r="I242">
        <v>12</v>
      </c>
      <c r="J242">
        <v>83</v>
      </c>
      <c r="K242" t="str">
        <f t="shared" si="3"/>
        <v>Retained</v>
      </c>
    </row>
    <row r="243" spans="1:11" x14ac:dyDescent="0.2">
      <c r="A243" t="s">
        <v>12690</v>
      </c>
      <c r="B243" t="s">
        <v>12373</v>
      </c>
      <c r="C243" t="s">
        <v>12373</v>
      </c>
      <c r="D243">
        <v>932</v>
      </c>
      <c r="E243">
        <v>932</v>
      </c>
      <c r="F243">
        <v>0</v>
      </c>
      <c r="G243" s="13">
        <v>0.94499999999999995</v>
      </c>
      <c r="H243" s="1" t="s">
        <v>12371</v>
      </c>
      <c r="I243">
        <v>7</v>
      </c>
      <c r="J243">
        <v>124</v>
      </c>
      <c r="K243" t="str">
        <f t="shared" si="3"/>
        <v>Retained</v>
      </c>
    </row>
    <row r="244" spans="1:11" x14ac:dyDescent="0.2">
      <c r="A244" t="s">
        <v>12691</v>
      </c>
      <c r="B244" t="s">
        <v>12382</v>
      </c>
      <c r="C244" t="s">
        <v>12382</v>
      </c>
      <c r="D244">
        <v>930</v>
      </c>
      <c r="E244">
        <v>925</v>
      </c>
      <c r="F244">
        <v>0</v>
      </c>
      <c r="G244" s="13">
        <v>0.97699999999999998</v>
      </c>
      <c r="H244" s="1" t="s">
        <v>12371</v>
      </c>
      <c r="I244">
        <v>6</v>
      </c>
      <c r="J244">
        <v>273</v>
      </c>
      <c r="K244" t="str">
        <f t="shared" si="3"/>
        <v>Retained</v>
      </c>
    </row>
    <row r="245" spans="1:11" x14ac:dyDescent="0.2">
      <c r="A245" t="s">
        <v>12692</v>
      </c>
      <c r="B245" t="s">
        <v>12373</v>
      </c>
      <c r="C245" t="s">
        <v>12373</v>
      </c>
      <c r="D245">
        <v>932</v>
      </c>
      <c r="E245">
        <v>931</v>
      </c>
      <c r="F245">
        <v>0</v>
      </c>
      <c r="G245" s="13">
        <v>0.85199999999999998</v>
      </c>
      <c r="H245" s="1" t="s">
        <v>12371</v>
      </c>
      <c r="I245">
        <v>3</v>
      </c>
      <c r="J245">
        <v>207</v>
      </c>
      <c r="K245" t="str">
        <f t="shared" si="3"/>
        <v>Filtered out</v>
      </c>
    </row>
    <row r="246" spans="1:11" x14ac:dyDescent="0.2">
      <c r="A246" t="s">
        <v>12693</v>
      </c>
      <c r="B246" t="s">
        <v>12694</v>
      </c>
      <c r="C246" t="s">
        <v>12694</v>
      </c>
      <c r="D246">
        <v>962</v>
      </c>
      <c r="E246">
        <v>961</v>
      </c>
      <c r="F246">
        <v>0</v>
      </c>
      <c r="G246" s="13">
        <v>0.85799999999999998</v>
      </c>
      <c r="H246" s="1" t="s">
        <v>12371</v>
      </c>
      <c r="I246">
        <v>3</v>
      </c>
      <c r="J246">
        <v>217</v>
      </c>
      <c r="K246" t="str">
        <f t="shared" si="3"/>
        <v>Filtered out</v>
      </c>
    </row>
    <row r="247" spans="1:11" x14ac:dyDescent="0.2">
      <c r="A247" t="s">
        <v>12695</v>
      </c>
      <c r="B247" t="s">
        <v>12574</v>
      </c>
      <c r="C247" t="s">
        <v>12696</v>
      </c>
      <c r="D247">
        <v>840</v>
      </c>
      <c r="E247">
        <v>994</v>
      </c>
      <c r="F247">
        <v>-15</v>
      </c>
      <c r="G247" s="13">
        <v>1</v>
      </c>
      <c r="H247" s="1" t="s">
        <v>12371</v>
      </c>
      <c r="I247">
        <v>2</v>
      </c>
      <c r="J247">
        <v>190</v>
      </c>
      <c r="K247" t="str">
        <f t="shared" si="3"/>
        <v>Filtered out</v>
      </c>
    </row>
    <row r="248" spans="1:11" x14ac:dyDescent="0.2">
      <c r="A248" t="s">
        <v>12697</v>
      </c>
      <c r="B248" t="s">
        <v>12698</v>
      </c>
      <c r="C248" t="s">
        <v>12698</v>
      </c>
      <c r="D248">
        <v>974</v>
      </c>
      <c r="E248">
        <v>982</v>
      </c>
      <c r="F248">
        <v>0</v>
      </c>
      <c r="G248" s="13">
        <v>0.50900000000000001</v>
      </c>
      <c r="H248" s="1" t="s">
        <v>12371</v>
      </c>
      <c r="I248">
        <v>1</v>
      </c>
      <c r="J248">
        <v>233</v>
      </c>
      <c r="K248" t="str">
        <f t="shared" si="3"/>
        <v>Filtered out</v>
      </c>
    </row>
    <row r="249" spans="1:11" x14ac:dyDescent="0.2">
      <c r="A249" t="s">
        <v>12699</v>
      </c>
      <c r="B249" t="s">
        <v>12373</v>
      </c>
      <c r="C249" t="s">
        <v>12373</v>
      </c>
      <c r="D249">
        <v>920</v>
      </c>
      <c r="E249">
        <v>928</v>
      </c>
      <c r="F249">
        <v>0</v>
      </c>
      <c r="G249" s="13">
        <v>0.68899999999999995</v>
      </c>
      <c r="H249" s="1" t="s">
        <v>12371</v>
      </c>
      <c r="I249">
        <v>5</v>
      </c>
      <c r="J249">
        <v>120</v>
      </c>
      <c r="K249" t="str">
        <f t="shared" si="3"/>
        <v>Filtered out</v>
      </c>
    </row>
    <row r="250" spans="1:11" x14ac:dyDescent="0.2">
      <c r="A250" t="s">
        <v>12700</v>
      </c>
      <c r="B250" t="s">
        <v>12373</v>
      </c>
      <c r="C250" t="s">
        <v>12373</v>
      </c>
      <c r="D250">
        <v>962</v>
      </c>
      <c r="E250">
        <v>970</v>
      </c>
      <c r="F250">
        <v>0</v>
      </c>
      <c r="G250" s="13">
        <v>0.94</v>
      </c>
      <c r="H250" s="1" t="s">
        <v>12371</v>
      </c>
      <c r="I250">
        <v>3</v>
      </c>
      <c r="J250">
        <v>225</v>
      </c>
      <c r="K250" t="str">
        <f t="shared" si="3"/>
        <v>Retained</v>
      </c>
    </row>
    <row r="251" spans="1:11" x14ac:dyDescent="0.2">
      <c r="A251" t="s">
        <v>12701</v>
      </c>
      <c r="B251" t="s">
        <v>12412</v>
      </c>
      <c r="C251" t="s">
        <v>12412</v>
      </c>
      <c r="D251">
        <v>960</v>
      </c>
      <c r="E251">
        <v>949</v>
      </c>
      <c r="F251">
        <v>1</v>
      </c>
      <c r="G251" s="13">
        <v>0.67800000000000005</v>
      </c>
      <c r="H251" s="1" t="s">
        <v>12371</v>
      </c>
      <c r="I251">
        <v>7</v>
      </c>
      <c r="J251">
        <v>141</v>
      </c>
      <c r="K251" t="str">
        <f t="shared" si="3"/>
        <v>Filtered out</v>
      </c>
    </row>
    <row r="252" spans="1:11" x14ac:dyDescent="0.2">
      <c r="A252" t="s">
        <v>12702</v>
      </c>
      <c r="B252" t="s">
        <v>12373</v>
      </c>
      <c r="C252" t="s">
        <v>12373</v>
      </c>
      <c r="D252">
        <v>1380</v>
      </c>
      <c r="E252">
        <v>1375</v>
      </c>
      <c r="F252">
        <v>0</v>
      </c>
      <c r="G252" s="13">
        <v>1</v>
      </c>
      <c r="H252" s="1" t="s">
        <v>12371</v>
      </c>
      <c r="I252">
        <v>17</v>
      </c>
      <c r="J252">
        <v>128</v>
      </c>
      <c r="K252" t="str">
        <f t="shared" si="3"/>
        <v>Filtered out</v>
      </c>
    </row>
    <row r="253" spans="1:11" x14ac:dyDescent="0.2">
      <c r="A253" t="s">
        <v>12703</v>
      </c>
      <c r="B253" t="s">
        <v>12379</v>
      </c>
      <c r="C253" t="s">
        <v>12678</v>
      </c>
      <c r="D253">
        <v>1073</v>
      </c>
      <c r="E253">
        <v>1118</v>
      </c>
      <c r="F253">
        <v>-4</v>
      </c>
      <c r="G253" s="13">
        <v>0.83799999999999997</v>
      </c>
      <c r="H253" s="1" t="s">
        <v>12371</v>
      </c>
      <c r="I253">
        <v>3</v>
      </c>
      <c r="J253">
        <v>288</v>
      </c>
      <c r="K253" t="str">
        <f t="shared" si="3"/>
        <v>Filtered out</v>
      </c>
    </row>
    <row r="254" spans="1:11" x14ac:dyDescent="0.2">
      <c r="A254" t="s">
        <v>12704</v>
      </c>
      <c r="B254" t="s">
        <v>12565</v>
      </c>
      <c r="C254" t="s">
        <v>12373</v>
      </c>
      <c r="D254">
        <v>2076</v>
      </c>
      <c r="E254">
        <v>2242</v>
      </c>
      <c r="F254">
        <v>-7</v>
      </c>
      <c r="G254" s="13">
        <v>0.57499999999999996</v>
      </c>
      <c r="H254" s="1" t="s">
        <v>12371</v>
      </c>
      <c r="I254">
        <v>4</v>
      </c>
      <c r="J254">
        <v>277</v>
      </c>
      <c r="K254" t="str">
        <f t="shared" si="3"/>
        <v>Filtered out</v>
      </c>
    </row>
    <row r="255" spans="1:11" x14ac:dyDescent="0.2">
      <c r="A255" t="s">
        <v>12705</v>
      </c>
      <c r="B255" t="s">
        <v>12375</v>
      </c>
      <c r="C255" t="s">
        <v>12373</v>
      </c>
      <c r="D255">
        <v>1322</v>
      </c>
      <c r="E255">
        <v>1474</v>
      </c>
      <c r="F255">
        <v>-10</v>
      </c>
      <c r="G255" s="13">
        <v>0.98599999999999999</v>
      </c>
      <c r="H255" s="1" t="s">
        <v>12371</v>
      </c>
      <c r="I255">
        <v>7</v>
      </c>
      <c r="J255">
        <v>305</v>
      </c>
      <c r="K255" t="str">
        <f t="shared" si="3"/>
        <v>Filtered out</v>
      </c>
    </row>
    <row r="256" spans="1:11" x14ac:dyDescent="0.2">
      <c r="A256" t="s">
        <v>12706</v>
      </c>
      <c r="B256" t="s">
        <v>12412</v>
      </c>
      <c r="C256" t="s">
        <v>12707</v>
      </c>
      <c r="D256">
        <v>2757</v>
      </c>
      <c r="E256">
        <v>3058</v>
      </c>
      <c r="F256">
        <v>-9</v>
      </c>
      <c r="G256" s="13">
        <v>0.96799999999999997</v>
      </c>
      <c r="H256" s="1" t="s">
        <v>12371</v>
      </c>
      <c r="I256">
        <v>20</v>
      </c>
      <c r="J256">
        <v>165</v>
      </c>
      <c r="K256" t="str">
        <f t="shared" si="3"/>
        <v>Filtered out</v>
      </c>
    </row>
    <row r="257" spans="1:11" x14ac:dyDescent="0.2">
      <c r="A257" t="s">
        <v>12708</v>
      </c>
      <c r="B257" t="s">
        <v>12709</v>
      </c>
      <c r="C257" t="s">
        <v>12709</v>
      </c>
      <c r="D257">
        <v>2361</v>
      </c>
      <c r="E257">
        <v>2362</v>
      </c>
      <c r="F257">
        <v>0</v>
      </c>
      <c r="G257" s="13">
        <v>0.46300000000000002</v>
      </c>
      <c r="H257" s="1" t="s">
        <v>12371</v>
      </c>
      <c r="I257">
        <v>27</v>
      </c>
      <c r="J257">
        <v>61</v>
      </c>
      <c r="K257" t="str">
        <f t="shared" si="3"/>
        <v>Filtered out</v>
      </c>
    </row>
    <row r="258" spans="1:11" x14ac:dyDescent="0.2">
      <c r="A258" t="s">
        <v>12710</v>
      </c>
      <c r="B258" t="s">
        <v>12711</v>
      </c>
      <c r="C258" t="s">
        <v>12373</v>
      </c>
      <c r="D258">
        <v>1776</v>
      </c>
      <c r="E258">
        <v>3931</v>
      </c>
      <c r="F258">
        <v>-54</v>
      </c>
      <c r="G258" s="13">
        <v>0.77900000000000003</v>
      </c>
      <c r="H258" s="1" t="s">
        <v>12371</v>
      </c>
      <c r="I258">
        <v>5</v>
      </c>
      <c r="J258">
        <v>424</v>
      </c>
      <c r="K258" t="str">
        <f t="shared" si="3"/>
        <v>Filtered out</v>
      </c>
    </row>
    <row r="259" spans="1:11" x14ac:dyDescent="0.2">
      <c r="A259" t="s">
        <v>12712</v>
      </c>
      <c r="B259" t="s">
        <v>12373</v>
      </c>
      <c r="C259" t="s">
        <v>12373</v>
      </c>
      <c r="D259">
        <v>1214</v>
      </c>
      <c r="E259">
        <v>1285</v>
      </c>
      <c r="F259">
        <v>-5</v>
      </c>
      <c r="G259" s="13">
        <v>0.56000000000000005</v>
      </c>
      <c r="H259" s="1" t="s">
        <v>12371</v>
      </c>
      <c r="I259">
        <v>14</v>
      </c>
      <c r="J259">
        <v>68</v>
      </c>
      <c r="K259" t="str">
        <f t="shared" si="3"/>
        <v>Filtered out</v>
      </c>
    </row>
    <row r="260" spans="1:11" x14ac:dyDescent="0.2">
      <c r="A260" t="s">
        <v>12713</v>
      </c>
      <c r="B260" t="s">
        <v>12373</v>
      </c>
      <c r="C260" t="s">
        <v>12373</v>
      </c>
      <c r="D260">
        <v>1440</v>
      </c>
      <c r="E260">
        <v>1441</v>
      </c>
      <c r="F260">
        <v>0</v>
      </c>
      <c r="G260" s="13">
        <v>0.48599999999999999</v>
      </c>
      <c r="H260" s="1" t="s">
        <v>12371</v>
      </c>
      <c r="I260">
        <v>25</v>
      </c>
      <c r="J260">
        <v>27</v>
      </c>
      <c r="K260" t="str">
        <f t="shared" si="3"/>
        <v>Filtered out</v>
      </c>
    </row>
    <row r="261" spans="1:11" x14ac:dyDescent="0.2">
      <c r="A261" t="s">
        <v>12714</v>
      </c>
      <c r="B261" t="s">
        <v>12373</v>
      </c>
      <c r="C261" t="s">
        <v>12373</v>
      </c>
      <c r="D261">
        <v>2148</v>
      </c>
      <c r="E261">
        <v>2140</v>
      </c>
      <c r="F261">
        <v>0</v>
      </c>
      <c r="G261" s="13">
        <v>1</v>
      </c>
      <c r="H261" s="1" t="s">
        <v>12371</v>
      </c>
      <c r="I261">
        <v>11</v>
      </c>
      <c r="J261">
        <v>367</v>
      </c>
      <c r="K261" t="str">
        <f t="shared" si="3"/>
        <v>Filtered out</v>
      </c>
    </row>
    <row r="262" spans="1:11" x14ac:dyDescent="0.2">
      <c r="A262" t="s">
        <v>12715</v>
      </c>
      <c r="B262" t="s">
        <v>12716</v>
      </c>
      <c r="C262" t="s">
        <v>12455</v>
      </c>
      <c r="D262">
        <v>884</v>
      </c>
      <c r="E262">
        <v>922</v>
      </c>
      <c r="F262">
        <v>-4</v>
      </c>
      <c r="G262" s="13">
        <v>0.99</v>
      </c>
      <c r="H262" s="1" t="s">
        <v>12371</v>
      </c>
      <c r="I262">
        <v>5</v>
      </c>
      <c r="J262">
        <v>101</v>
      </c>
      <c r="K262" t="str">
        <f t="shared" si="3"/>
        <v>Filtered out</v>
      </c>
    </row>
    <row r="263" spans="1:11" x14ac:dyDescent="0.2">
      <c r="A263" t="s">
        <v>12717</v>
      </c>
      <c r="B263" t="s">
        <v>12601</v>
      </c>
      <c r="C263" t="s">
        <v>12718</v>
      </c>
      <c r="D263">
        <v>816</v>
      </c>
      <c r="E263">
        <v>766</v>
      </c>
      <c r="F263">
        <v>6</v>
      </c>
      <c r="G263" s="13">
        <v>0.50600000000000001</v>
      </c>
      <c r="H263" s="1" t="s">
        <v>12371</v>
      </c>
      <c r="I263">
        <v>6</v>
      </c>
      <c r="J263">
        <v>88</v>
      </c>
      <c r="K263" t="str">
        <f t="shared" si="3"/>
        <v>Filtered out</v>
      </c>
    </row>
    <row r="264" spans="1:11" x14ac:dyDescent="0.2">
      <c r="A264" t="s">
        <v>12719</v>
      </c>
      <c r="B264" t="s">
        <v>12423</v>
      </c>
      <c r="C264" t="s">
        <v>12373</v>
      </c>
      <c r="D264">
        <v>2117</v>
      </c>
      <c r="E264">
        <v>2110</v>
      </c>
      <c r="F264">
        <v>0</v>
      </c>
      <c r="G264" s="13">
        <v>0.90300000000000002</v>
      </c>
      <c r="H264" s="1" t="s">
        <v>12371</v>
      </c>
      <c r="I264">
        <v>3</v>
      </c>
      <c r="J264">
        <v>604</v>
      </c>
      <c r="K264" t="str">
        <f t="shared" si="3"/>
        <v>Filtered out</v>
      </c>
    </row>
    <row r="265" spans="1:11" x14ac:dyDescent="0.2">
      <c r="A265" t="s">
        <v>12720</v>
      </c>
      <c r="B265" t="s">
        <v>12373</v>
      </c>
      <c r="C265" t="s">
        <v>12373</v>
      </c>
      <c r="D265">
        <v>3795</v>
      </c>
      <c r="E265">
        <v>3784</v>
      </c>
      <c r="F265">
        <v>0</v>
      </c>
      <c r="G265" s="13">
        <v>0.91700000000000004</v>
      </c>
      <c r="H265" s="1" t="s">
        <v>12371</v>
      </c>
      <c r="I265">
        <v>60</v>
      </c>
      <c r="J265">
        <v>34</v>
      </c>
      <c r="K265" t="str">
        <f t="shared" ref="K265:K328" si="4">IF(AND(B265=C265,F265&lt;10,F265&gt;-10,I265&gt;0,G265&gt;90%,G265&lt;100%),"Retained","Filtered out")</f>
        <v>Retained</v>
      </c>
    </row>
    <row r="266" spans="1:11" x14ac:dyDescent="0.2">
      <c r="A266" t="s">
        <v>12721</v>
      </c>
      <c r="B266" t="s">
        <v>12722</v>
      </c>
      <c r="C266" t="s">
        <v>12373</v>
      </c>
      <c r="D266">
        <v>1394</v>
      </c>
      <c r="E266">
        <v>1474</v>
      </c>
      <c r="F266">
        <v>-5</v>
      </c>
      <c r="G266" s="13">
        <v>0.81</v>
      </c>
      <c r="H266" s="1" t="s">
        <v>12371</v>
      </c>
      <c r="I266">
        <v>14</v>
      </c>
      <c r="J266">
        <v>211</v>
      </c>
      <c r="K266" t="str">
        <f t="shared" si="4"/>
        <v>Filtered out</v>
      </c>
    </row>
    <row r="267" spans="1:11" x14ac:dyDescent="0.2">
      <c r="A267" t="s">
        <v>12723</v>
      </c>
      <c r="B267" t="s">
        <v>12724</v>
      </c>
      <c r="C267" t="s">
        <v>12724</v>
      </c>
      <c r="D267">
        <v>554</v>
      </c>
      <c r="E267">
        <v>550</v>
      </c>
      <c r="F267">
        <v>0</v>
      </c>
      <c r="G267" s="13">
        <v>0.72299999999999998</v>
      </c>
      <c r="H267" s="1" t="s">
        <v>12371</v>
      </c>
      <c r="I267">
        <v>1</v>
      </c>
      <c r="J267">
        <v>180</v>
      </c>
      <c r="K267" t="str">
        <f t="shared" si="4"/>
        <v>Filtered out</v>
      </c>
    </row>
    <row r="268" spans="1:11" x14ac:dyDescent="0.2">
      <c r="A268" t="s">
        <v>12725</v>
      </c>
      <c r="B268" t="s">
        <v>12726</v>
      </c>
      <c r="C268" t="s">
        <v>12574</v>
      </c>
      <c r="D268">
        <v>888</v>
      </c>
      <c r="E268">
        <v>1087</v>
      </c>
      <c r="F268">
        <v>-18</v>
      </c>
      <c r="G268" s="13">
        <v>0.96399999999999997</v>
      </c>
      <c r="H268" s="1" t="s">
        <v>12371</v>
      </c>
      <c r="I268">
        <v>4</v>
      </c>
      <c r="J268">
        <v>222</v>
      </c>
      <c r="K268" t="str">
        <f t="shared" si="4"/>
        <v>Filtered out</v>
      </c>
    </row>
    <row r="269" spans="1:11" x14ac:dyDescent="0.2">
      <c r="A269" t="s">
        <v>12727</v>
      </c>
      <c r="B269" t="s">
        <v>12698</v>
      </c>
      <c r="C269" t="s">
        <v>12698</v>
      </c>
      <c r="D269">
        <v>1578</v>
      </c>
      <c r="E269">
        <v>1578</v>
      </c>
      <c r="F269">
        <v>0</v>
      </c>
      <c r="G269" s="13">
        <v>0.95599999999999996</v>
      </c>
      <c r="H269" s="1" t="s">
        <v>12371</v>
      </c>
      <c r="I269">
        <v>24</v>
      </c>
      <c r="J269">
        <v>53</v>
      </c>
      <c r="K269" t="str">
        <f t="shared" si="4"/>
        <v>Retained</v>
      </c>
    </row>
    <row r="270" spans="1:11" x14ac:dyDescent="0.2">
      <c r="A270" t="s">
        <v>12728</v>
      </c>
      <c r="B270" t="s">
        <v>12373</v>
      </c>
      <c r="C270" t="s">
        <v>12373</v>
      </c>
      <c r="D270">
        <v>1607</v>
      </c>
      <c r="E270">
        <v>1597</v>
      </c>
      <c r="F270">
        <v>0</v>
      </c>
      <c r="G270" s="13">
        <v>0.60699999999999998</v>
      </c>
      <c r="H270" s="1" t="s">
        <v>12371</v>
      </c>
      <c r="I270">
        <v>24</v>
      </c>
      <c r="J270">
        <v>138</v>
      </c>
      <c r="K270" t="str">
        <f t="shared" si="4"/>
        <v>Filtered out</v>
      </c>
    </row>
    <row r="271" spans="1:11" x14ac:dyDescent="0.2">
      <c r="A271" t="s">
        <v>12729</v>
      </c>
      <c r="B271" t="s">
        <v>12461</v>
      </c>
      <c r="C271" t="s">
        <v>12646</v>
      </c>
      <c r="D271">
        <v>1355</v>
      </c>
      <c r="E271">
        <v>1354</v>
      </c>
      <c r="F271">
        <v>0</v>
      </c>
      <c r="G271" s="13">
        <v>0.92400000000000004</v>
      </c>
      <c r="H271" s="1" t="s">
        <v>12437</v>
      </c>
      <c r="I271">
        <v>0</v>
      </c>
      <c r="J271" t="s">
        <v>12438</v>
      </c>
      <c r="K271" t="str">
        <f t="shared" si="4"/>
        <v>Filtered out</v>
      </c>
    </row>
    <row r="272" spans="1:11" x14ac:dyDescent="0.2">
      <c r="A272" t="s">
        <v>12730</v>
      </c>
      <c r="B272" t="s">
        <v>12393</v>
      </c>
      <c r="C272" t="s">
        <v>12726</v>
      </c>
      <c r="D272">
        <v>306</v>
      </c>
      <c r="E272">
        <v>850</v>
      </c>
      <c r="F272">
        <v>-64</v>
      </c>
      <c r="G272" s="13">
        <v>0.91700000000000004</v>
      </c>
      <c r="H272" s="1" t="s">
        <v>12437</v>
      </c>
      <c r="I272">
        <v>0</v>
      </c>
      <c r="J272" t="s">
        <v>12438</v>
      </c>
      <c r="K272" t="str">
        <f t="shared" si="4"/>
        <v>Filtered out</v>
      </c>
    </row>
    <row r="273" spans="1:11" x14ac:dyDescent="0.2">
      <c r="A273" t="s">
        <v>12731</v>
      </c>
      <c r="B273" t="s">
        <v>12601</v>
      </c>
      <c r="C273" t="s">
        <v>12601</v>
      </c>
      <c r="D273">
        <v>1110</v>
      </c>
      <c r="E273">
        <v>1110</v>
      </c>
      <c r="F273">
        <v>0</v>
      </c>
      <c r="G273" s="13">
        <v>0.98599999999999999</v>
      </c>
      <c r="H273" s="1" t="s">
        <v>12371</v>
      </c>
      <c r="I273">
        <v>3</v>
      </c>
      <c r="J273">
        <v>362</v>
      </c>
      <c r="K273" t="str">
        <f t="shared" si="4"/>
        <v>Retained</v>
      </c>
    </row>
    <row r="274" spans="1:11" x14ac:dyDescent="0.2">
      <c r="A274" t="s">
        <v>12732</v>
      </c>
      <c r="B274" t="s">
        <v>12373</v>
      </c>
      <c r="C274" t="s">
        <v>12373</v>
      </c>
      <c r="D274">
        <v>438</v>
      </c>
      <c r="E274">
        <v>448</v>
      </c>
      <c r="F274">
        <v>-2</v>
      </c>
      <c r="G274" s="13">
        <v>0.88900000000000001</v>
      </c>
      <c r="H274" s="1" t="s">
        <v>12371</v>
      </c>
      <c r="I274">
        <v>5</v>
      </c>
      <c r="J274">
        <v>46</v>
      </c>
      <c r="K274" t="str">
        <f t="shared" si="4"/>
        <v>Filtered out</v>
      </c>
    </row>
    <row r="275" spans="1:11" x14ac:dyDescent="0.2">
      <c r="A275" t="s">
        <v>12733</v>
      </c>
      <c r="B275" t="s">
        <v>12373</v>
      </c>
      <c r="C275" t="s">
        <v>12373</v>
      </c>
      <c r="D275">
        <v>630</v>
      </c>
      <c r="E275">
        <v>630</v>
      </c>
      <c r="F275">
        <v>0</v>
      </c>
      <c r="G275" s="13">
        <v>0.94699999999999995</v>
      </c>
      <c r="H275" s="1" t="s">
        <v>12371</v>
      </c>
      <c r="I275">
        <v>2</v>
      </c>
      <c r="J275">
        <v>204</v>
      </c>
      <c r="K275" t="str">
        <f t="shared" si="4"/>
        <v>Retained</v>
      </c>
    </row>
    <row r="276" spans="1:11" x14ac:dyDescent="0.2">
      <c r="A276" t="s">
        <v>12734</v>
      </c>
      <c r="B276" t="s">
        <v>12668</v>
      </c>
      <c r="C276" t="s">
        <v>12373</v>
      </c>
      <c r="D276">
        <v>5882</v>
      </c>
      <c r="E276">
        <v>7507</v>
      </c>
      <c r="F276">
        <v>-21</v>
      </c>
      <c r="G276" s="13">
        <v>0.873</v>
      </c>
      <c r="H276" s="1" t="s">
        <v>12371</v>
      </c>
      <c r="I276">
        <v>56</v>
      </c>
      <c r="J276">
        <v>565</v>
      </c>
      <c r="K276" t="str">
        <f t="shared" si="4"/>
        <v>Filtered out</v>
      </c>
    </row>
    <row r="277" spans="1:11" x14ac:dyDescent="0.2">
      <c r="A277" t="s">
        <v>12735</v>
      </c>
      <c r="B277" t="s">
        <v>12453</v>
      </c>
      <c r="C277" t="s">
        <v>12455</v>
      </c>
      <c r="D277">
        <v>2616</v>
      </c>
      <c r="E277">
        <v>2962</v>
      </c>
      <c r="F277">
        <v>-11</v>
      </c>
      <c r="G277" s="13">
        <v>0.46700000000000003</v>
      </c>
      <c r="H277" s="1" t="s">
        <v>12371</v>
      </c>
      <c r="I277">
        <v>16</v>
      </c>
      <c r="J277">
        <v>244</v>
      </c>
      <c r="K277" t="str">
        <f t="shared" si="4"/>
        <v>Filtered out</v>
      </c>
    </row>
    <row r="278" spans="1:11" x14ac:dyDescent="0.2">
      <c r="A278" t="s">
        <v>12736</v>
      </c>
      <c r="B278" t="s">
        <v>12668</v>
      </c>
      <c r="C278" t="s">
        <v>12373</v>
      </c>
      <c r="D278">
        <v>4014</v>
      </c>
      <c r="E278">
        <v>6406</v>
      </c>
      <c r="F278">
        <v>-37</v>
      </c>
      <c r="G278" s="13">
        <v>0.97499999999999998</v>
      </c>
      <c r="H278" s="1" t="s">
        <v>12371</v>
      </c>
      <c r="I278">
        <v>4</v>
      </c>
      <c r="J278">
        <v>1186</v>
      </c>
      <c r="K278" t="str">
        <f t="shared" si="4"/>
        <v>Filtered out</v>
      </c>
    </row>
    <row r="279" spans="1:11" x14ac:dyDescent="0.2">
      <c r="A279" t="s">
        <v>12737</v>
      </c>
      <c r="B279" t="s">
        <v>12393</v>
      </c>
      <c r="C279" t="s">
        <v>12373</v>
      </c>
      <c r="D279">
        <v>741</v>
      </c>
      <c r="E279">
        <v>952</v>
      </c>
      <c r="F279">
        <v>-22</v>
      </c>
      <c r="G279" s="13">
        <v>0.82799999999999996</v>
      </c>
      <c r="H279" s="1" t="s">
        <v>12371</v>
      </c>
      <c r="I279">
        <v>3</v>
      </c>
      <c r="J279">
        <v>205</v>
      </c>
      <c r="K279" t="str">
        <f t="shared" si="4"/>
        <v>Filtered out</v>
      </c>
    </row>
    <row r="280" spans="1:11" x14ac:dyDescent="0.2">
      <c r="A280" t="s">
        <v>12738</v>
      </c>
      <c r="B280" t="s">
        <v>12563</v>
      </c>
      <c r="C280" t="s">
        <v>12563</v>
      </c>
      <c r="D280">
        <v>741</v>
      </c>
      <c r="E280">
        <v>739</v>
      </c>
      <c r="F280">
        <v>0</v>
      </c>
      <c r="G280" s="13">
        <v>0.97099999999999997</v>
      </c>
      <c r="H280" s="1" t="s">
        <v>12371</v>
      </c>
      <c r="I280">
        <v>7</v>
      </c>
      <c r="J280">
        <v>79</v>
      </c>
      <c r="K280" t="str">
        <f t="shared" si="4"/>
        <v>Retained</v>
      </c>
    </row>
    <row r="281" spans="1:11" x14ac:dyDescent="0.2">
      <c r="A281" t="s">
        <v>12739</v>
      </c>
      <c r="B281" t="s">
        <v>12565</v>
      </c>
      <c r="C281" t="s">
        <v>12373</v>
      </c>
      <c r="D281">
        <v>10361</v>
      </c>
      <c r="E281">
        <v>11392</v>
      </c>
      <c r="F281">
        <v>-9</v>
      </c>
      <c r="G281" s="13">
        <v>0.89200000000000002</v>
      </c>
      <c r="H281" s="1" t="s">
        <v>12371</v>
      </c>
      <c r="I281">
        <v>156</v>
      </c>
      <c r="J281">
        <v>1077</v>
      </c>
      <c r="K281" t="str">
        <f t="shared" si="4"/>
        <v>Filtered out</v>
      </c>
    </row>
    <row r="282" spans="1:11" x14ac:dyDescent="0.2">
      <c r="A282" t="s">
        <v>12740</v>
      </c>
      <c r="B282" t="s">
        <v>12460</v>
      </c>
      <c r="C282" t="s">
        <v>12460</v>
      </c>
      <c r="D282">
        <v>5405</v>
      </c>
      <c r="E282">
        <v>5405</v>
      </c>
      <c r="F282">
        <v>0</v>
      </c>
      <c r="G282" s="13">
        <v>0.98699999999999999</v>
      </c>
      <c r="H282" s="1" t="s">
        <v>12371</v>
      </c>
      <c r="I282">
        <v>143</v>
      </c>
      <c r="J282">
        <v>32</v>
      </c>
      <c r="K282" t="str">
        <f t="shared" si="4"/>
        <v>Retained</v>
      </c>
    </row>
    <row r="283" spans="1:11" x14ac:dyDescent="0.2">
      <c r="A283" t="s">
        <v>12741</v>
      </c>
      <c r="B283" t="s">
        <v>12565</v>
      </c>
      <c r="C283" t="s">
        <v>12373</v>
      </c>
      <c r="D283">
        <v>1466</v>
      </c>
      <c r="E283">
        <v>1594</v>
      </c>
      <c r="F283">
        <v>-8</v>
      </c>
      <c r="G283" s="13">
        <v>0.98299999999999998</v>
      </c>
      <c r="H283" s="1" t="s">
        <v>12371</v>
      </c>
      <c r="I283">
        <v>25</v>
      </c>
      <c r="J283">
        <v>241</v>
      </c>
      <c r="K283" t="str">
        <f t="shared" si="4"/>
        <v>Filtered out</v>
      </c>
    </row>
    <row r="284" spans="1:11" x14ac:dyDescent="0.2">
      <c r="A284" t="s">
        <v>12742</v>
      </c>
      <c r="B284" t="s">
        <v>12434</v>
      </c>
      <c r="C284" t="s">
        <v>12497</v>
      </c>
      <c r="D284">
        <v>3809</v>
      </c>
      <c r="E284">
        <v>3887</v>
      </c>
      <c r="F284">
        <v>-2</v>
      </c>
      <c r="G284" s="13">
        <v>0.97799999999999998</v>
      </c>
      <c r="H284" s="1" t="s">
        <v>12371</v>
      </c>
      <c r="I284">
        <v>4</v>
      </c>
      <c r="J284">
        <v>38</v>
      </c>
      <c r="K284" t="str">
        <f t="shared" si="4"/>
        <v>Filtered out</v>
      </c>
    </row>
    <row r="285" spans="1:11" x14ac:dyDescent="0.2">
      <c r="A285" t="s">
        <v>12743</v>
      </c>
      <c r="B285" t="s">
        <v>12373</v>
      </c>
      <c r="C285" t="s">
        <v>12373</v>
      </c>
      <c r="D285">
        <v>708</v>
      </c>
      <c r="E285">
        <v>709</v>
      </c>
      <c r="F285">
        <v>0</v>
      </c>
      <c r="G285" s="13">
        <v>0.875</v>
      </c>
      <c r="H285" s="1" t="s">
        <v>12371</v>
      </c>
      <c r="I285">
        <v>7</v>
      </c>
      <c r="J285">
        <v>99</v>
      </c>
      <c r="K285" t="str">
        <f t="shared" si="4"/>
        <v>Filtered out</v>
      </c>
    </row>
    <row r="286" spans="1:11" x14ac:dyDescent="0.2">
      <c r="A286" t="s">
        <v>12744</v>
      </c>
      <c r="B286" t="s">
        <v>12373</v>
      </c>
      <c r="C286" t="s">
        <v>12373</v>
      </c>
      <c r="D286">
        <v>1323</v>
      </c>
      <c r="E286">
        <v>1324</v>
      </c>
      <c r="F286">
        <v>0</v>
      </c>
      <c r="G286" s="13">
        <v>0.73099999999999998</v>
      </c>
      <c r="H286" s="1" t="s">
        <v>12371</v>
      </c>
      <c r="I286">
        <v>11</v>
      </c>
      <c r="J286">
        <v>110</v>
      </c>
      <c r="K286" t="str">
        <f t="shared" si="4"/>
        <v>Filtered out</v>
      </c>
    </row>
    <row r="287" spans="1:11" x14ac:dyDescent="0.2">
      <c r="A287" t="s">
        <v>12745</v>
      </c>
      <c r="B287" t="s">
        <v>12463</v>
      </c>
      <c r="C287" t="s">
        <v>12726</v>
      </c>
      <c r="D287">
        <v>4730</v>
      </c>
      <c r="E287">
        <v>4813</v>
      </c>
      <c r="F287">
        <v>-1</v>
      </c>
      <c r="G287" s="13">
        <v>0.94699999999999995</v>
      </c>
      <c r="H287" s="1" t="s">
        <v>12371</v>
      </c>
      <c r="I287">
        <v>49</v>
      </c>
      <c r="J287">
        <v>696</v>
      </c>
      <c r="K287" t="str">
        <f t="shared" si="4"/>
        <v>Filtered out</v>
      </c>
    </row>
    <row r="288" spans="1:11" x14ac:dyDescent="0.2">
      <c r="A288" t="s">
        <v>12746</v>
      </c>
      <c r="B288" t="s">
        <v>12591</v>
      </c>
      <c r="C288" t="s">
        <v>12373</v>
      </c>
      <c r="D288">
        <v>2718</v>
      </c>
      <c r="E288">
        <v>3013</v>
      </c>
      <c r="F288">
        <v>-9</v>
      </c>
      <c r="G288" s="13">
        <v>0.86299999999999999</v>
      </c>
      <c r="H288" s="1" t="s">
        <v>12371</v>
      </c>
      <c r="I288">
        <v>9</v>
      </c>
      <c r="J288">
        <v>385</v>
      </c>
      <c r="K288" t="str">
        <f t="shared" si="4"/>
        <v>Filtered out</v>
      </c>
    </row>
    <row r="289" spans="1:11" x14ac:dyDescent="0.2">
      <c r="A289" t="s">
        <v>12747</v>
      </c>
      <c r="B289" t="s">
        <v>12508</v>
      </c>
      <c r="C289" t="s">
        <v>12434</v>
      </c>
      <c r="D289">
        <v>1602</v>
      </c>
      <c r="E289">
        <v>1672</v>
      </c>
      <c r="F289">
        <v>-4</v>
      </c>
      <c r="G289" s="13">
        <v>0.61799999999999999</v>
      </c>
      <c r="H289" s="1" t="s">
        <v>12371</v>
      </c>
      <c r="I289">
        <v>5</v>
      </c>
      <c r="J289">
        <v>340</v>
      </c>
      <c r="K289" t="str">
        <f t="shared" si="4"/>
        <v>Filtered out</v>
      </c>
    </row>
    <row r="290" spans="1:11" x14ac:dyDescent="0.2">
      <c r="A290" t="s">
        <v>12748</v>
      </c>
      <c r="B290" t="s">
        <v>12591</v>
      </c>
      <c r="C290" t="s">
        <v>12640</v>
      </c>
      <c r="D290">
        <v>801</v>
      </c>
      <c r="E290">
        <v>625</v>
      </c>
      <c r="F290">
        <v>28</v>
      </c>
      <c r="G290" s="13">
        <v>0.35</v>
      </c>
      <c r="H290" s="1" t="s">
        <v>12371</v>
      </c>
      <c r="I290">
        <v>12</v>
      </c>
      <c r="J290">
        <v>34</v>
      </c>
      <c r="K290" t="str">
        <f t="shared" si="4"/>
        <v>Filtered out</v>
      </c>
    </row>
    <row r="291" spans="1:11" x14ac:dyDescent="0.2">
      <c r="A291" t="s">
        <v>12749</v>
      </c>
      <c r="B291" t="s">
        <v>12601</v>
      </c>
      <c r="C291" t="s">
        <v>12601</v>
      </c>
      <c r="D291">
        <v>1491</v>
      </c>
      <c r="E291">
        <v>1489</v>
      </c>
      <c r="F291">
        <v>0</v>
      </c>
      <c r="G291" s="13">
        <v>0.92300000000000004</v>
      </c>
      <c r="H291" s="1" t="s">
        <v>12437</v>
      </c>
      <c r="I291">
        <v>0</v>
      </c>
      <c r="J291" t="s">
        <v>12438</v>
      </c>
      <c r="K291" t="str">
        <f t="shared" si="4"/>
        <v>Filtered out</v>
      </c>
    </row>
    <row r="292" spans="1:11" x14ac:dyDescent="0.2">
      <c r="A292" t="s">
        <v>12750</v>
      </c>
      <c r="B292" t="s">
        <v>12497</v>
      </c>
      <c r="C292" t="s">
        <v>12463</v>
      </c>
      <c r="D292">
        <v>3012</v>
      </c>
      <c r="E292">
        <v>3730</v>
      </c>
      <c r="F292">
        <v>-19</v>
      </c>
      <c r="G292" s="13">
        <v>0.93</v>
      </c>
      <c r="H292" s="1" t="s">
        <v>12371</v>
      </c>
      <c r="I292">
        <v>32</v>
      </c>
      <c r="J292">
        <v>307</v>
      </c>
      <c r="K292" t="str">
        <f t="shared" si="4"/>
        <v>Filtered out</v>
      </c>
    </row>
    <row r="293" spans="1:11" x14ac:dyDescent="0.2">
      <c r="A293" t="s">
        <v>12751</v>
      </c>
      <c r="B293" t="s">
        <v>12375</v>
      </c>
      <c r="C293" t="s">
        <v>12393</v>
      </c>
      <c r="D293">
        <v>839</v>
      </c>
      <c r="E293">
        <v>1996</v>
      </c>
      <c r="F293">
        <v>-57</v>
      </c>
      <c r="G293" s="13">
        <v>0.85899999999999999</v>
      </c>
      <c r="H293" s="1" t="s">
        <v>12371</v>
      </c>
      <c r="I293">
        <v>14</v>
      </c>
      <c r="J293">
        <v>82</v>
      </c>
      <c r="K293" t="str">
        <f t="shared" si="4"/>
        <v>Filtered out</v>
      </c>
    </row>
    <row r="294" spans="1:11" x14ac:dyDescent="0.2">
      <c r="A294" t="s">
        <v>12752</v>
      </c>
      <c r="B294" t="s">
        <v>12373</v>
      </c>
      <c r="C294" t="s">
        <v>12373</v>
      </c>
      <c r="D294">
        <v>2610</v>
      </c>
      <c r="E294">
        <v>2603</v>
      </c>
      <c r="F294">
        <v>0</v>
      </c>
      <c r="G294" s="13">
        <v>0.86499999999999999</v>
      </c>
      <c r="H294" s="1" t="s">
        <v>12371</v>
      </c>
      <c r="I294">
        <v>32</v>
      </c>
      <c r="J294">
        <v>202</v>
      </c>
      <c r="K294" t="str">
        <f t="shared" si="4"/>
        <v>Filtered out</v>
      </c>
    </row>
    <row r="295" spans="1:11" x14ac:dyDescent="0.2">
      <c r="A295" t="s">
        <v>12753</v>
      </c>
      <c r="B295" t="s">
        <v>12376</v>
      </c>
      <c r="C295" t="s">
        <v>12373</v>
      </c>
      <c r="D295">
        <v>884</v>
      </c>
      <c r="E295">
        <v>1276</v>
      </c>
      <c r="F295">
        <v>-30</v>
      </c>
      <c r="G295" s="13">
        <v>0.93200000000000005</v>
      </c>
      <c r="H295" s="1" t="s">
        <v>12437</v>
      </c>
      <c r="I295">
        <v>0</v>
      </c>
      <c r="J295" t="s">
        <v>12438</v>
      </c>
      <c r="K295" t="str">
        <f t="shared" si="4"/>
        <v>Filtered out</v>
      </c>
    </row>
    <row r="296" spans="1:11" x14ac:dyDescent="0.2">
      <c r="A296" t="s">
        <v>12754</v>
      </c>
      <c r="B296" t="s">
        <v>12373</v>
      </c>
      <c r="C296" t="s">
        <v>12373</v>
      </c>
      <c r="D296">
        <v>2021</v>
      </c>
      <c r="E296">
        <v>2020</v>
      </c>
      <c r="F296">
        <v>0</v>
      </c>
      <c r="G296" s="13">
        <v>0.84</v>
      </c>
      <c r="H296" s="1" t="s">
        <v>12371</v>
      </c>
      <c r="I296">
        <v>11</v>
      </c>
      <c r="J296">
        <v>415</v>
      </c>
      <c r="K296" t="str">
        <f t="shared" si="4"/>
        <v>Filtered out</v>
      </c>
    </row>
    <row r="297" spans="1:11" x14ac:dyDescent="0.2">
      <c r="A297" t="s">
        <v>12755</v>
      </c>
      <c r="B297" t="s">
        <v>12373</v>
      </c>
      <c r="C297" t="s">
        <v>12373</v>
      </c>
      <c r="D297">
        <v>2589</v>
      </c>
      <c r="E297">
        <v>2584</v>
      </c>
      <c r="F297">
        <v>0</v>
      </c>
      <c r="G297" s="13">
        <v>0.92</v>
      </c>
      <c r="H297" s="1" t="s">
        <v>12371</v>
      </c>
      <c r="I297">
        <v>1</v>
      </c>
      <c r="J297">
        <v>822</v>
      </c>
      <c r="K297" t="str">
        <f t="shared" si="4"/>
        <v>Retained</v>
      </c>
    </row>
    <row r="298" spans="1:11" x14ac:dyDescent="0.2">
      <c r="A298" t="s">
        <v>12756</v>
      </c>
      <c r="B298" t="s">
        <v>12574</v>
      </c>
      <c r="C298" t="s">
        <v>12574</v>
      </c>
      <c r="D298">
        <v>2946</v>
      </c>
      <c r="E298">
        <v>3205</v>
      </c>
      <c r="F298">
        <v>-8</v>
      </c>
      <c r="G298" s="13">
        <v>0.98699999999999999</v>
      </c>
      <c r="H298" s="1" t="s">
        <v>12371</v>
      </c>
      <c r="I298">
        <v>4</v>
      </c>
      <c r="J298">
        <v>862</v>
      </c>
      <c r="K298" t="str">
        <f t="shared" si="4"/>
        <v>Retained</v>
      </c>
    </row>
    <row r="299" spans="1:11" x14ac:dyDescent="0.2">
      <c r="A299" t="s">
        <v>12757</v>
      </c>
      <c r="B299" t="s">
        <v>12501</v>
      </c>
      <c r="C299" t="s">
        <v>12574</v>
      </c>
      <c r="D299">
        <v>1320</v>
      </c>
      <c r="E299">
        <v>2269</v>
      </c>
      <c r="F299">
        <v>-41</v>
      </c>
      <c r="G299" s="13">
        <v>0.35799999999999998</v>
      </c>
      <c r="H299" s="1" t="s">
        <v>12371</v>
      </c>
      <c r="I299">
        <v>14</v>
      </c>
      <c r="J299">
        <v>70</v>
      </c>
      <c r="K299" t="str">
        <f t="shared" si="4"/>
        <v>Filtered out</v>
      </c>
    </row>
    <row r="300" spans="1:11" x14ac:dyDescent="0.2">
      <c r="A300" t="s">
        <v>12758</v>
      </c>
      <c r="B300" t="s">
        <v>12497</v>
      </c>
      <c r="C300" t="s">
        <v>12497</v>
      </c>
      <c r="D300">
        <v>1058</v>
      </c>
      <c r="E300">
        <v>1093</v>
      </c>
      <c r="F300">
        <v>-3</v>
      </c>
      <c r="G300" s="13">
        <v>0.59</v>
      </c>
      <c r="H300" s="1" t="s">
        <v>12371</v>
      </c>
      <c r="I300">
        <v>1</v>
      </c>
      <c r="J300">
        <v>203</v>
      </c>
      <c r="K300" t="str">
        <f t="shared" si="4"/>
        <v>Filtered out</v>
      </c>
    </row>
    <row r="301" spans="1:11" x14ac:dyDescent="0.2">
      <c r="A301" t="s">
        <v>12759</v>
      </c>
      <c r="B301" t="s">
        <v>12760</v>
      </c>
      <c r="C301" t="s">
        <v>12373</v>
      </c>
      <c r="D301">
        <v>173</v>
      </c>
      <c r="E301">
        <v>889</v>
      </c>
      <c r="F301">
        <v>-80</v>
      </c>
      <c r="G301" s="13">
        <v>0.8</v>
      </c>
      <c r="H301" s="1" t="s">
        <v>12371</v>
      </c>
      <c r="I301">
        <v>1</v>
      </c>
      <c r="J301">
        <v>49</v>
      </c>
      <c r="K301" t="str">
        <f t="shared" si="4"/>
        <v>Filtered out</v>
      </c>
    </row>
    <row r="302" spans="1:11" x14ac:dyDescent="0.2">
      <c r="A302" t="s">
        <v>12761</v>
      </c>
      <c r="B302" t="s">
        <v>12453</v>
      </c>
      <c r="C302" t="s">
        <v>12453</v>
      </c>
      <c r="D302">
        <v>4619</v>
      </c>
      <c r="E302">
        <v>4615</v>
      </c>
      <c r="F302">
        <v>0</v>
      </c>
      <c r="G302" s="13">
        <v>0.98799999999999999</v>
      </c>
      <c r="H302" s="1" t="s">
        <v>12371</v>
      </c>
      <c r="I302">
        <v>11</v>
      </c>
      <c r="J302">
        <v>1099</v>
      </c>
      <c r="K302" t="str">
        <f t="shared" si="4"/>
        <v>Retained</v>
      </c>
    </row>
    <row r="303" spans="1:11" x14ac:dyDescent="0.2">
      <c r="A303" t="s">
        <v>12762</v>
      </c>
      <c r="B303" t="s">
        <v>12373</v>
      </c>
      <c r="C303" t="s">
        <v>12373</v>
      </c>
      <c r="D303">
        <v>1947</v>
      </c>
      <c r="E303">
        <v>1951</v>
      </c>
      <c r="F303">
        <v>0</v>
      </c>
      <c r="G303" s="13">
        <v>0.94099999999999995</v>
      </c>
      <c r="H303" s="1" t="s">
        <v>12371</v>
      </c>
      <c r="I303">
        <v>2</v>
      </c>
      <c r="J303">
        <v>592</v>
      </c>
      <c r="K303" t="str">
        <f t="shared" si="4"/>
        <v>Retained</v>
      </c>
    </row>
    <row r="304" spans="1:11" x14ac:dyDescent="0.2">
      <c r="A304" t="s">
        <v>12763</v>
      </c>
      <c r="B304" t="s">
        <v>12373</v>
      </c>
      <c r="C304" t="s">
        <v>12373</v>
      </c>
      <c r="D304">
        <v>813</v>
      </c>
      <c r="E304">
        <v>2377</v>
      </c>
      <c r="F304">
        <v>-65</v>
      </c>
      <c r="G304" s="13">
        <v>1</v>
      </c>
      <c r="H304" s="1" t="s">
        <v>12371</v>
      </c>
      <c r="I304">
        <v>2</v>
      </c>
      <c r="J304">
        <v>178</v>
      </c>
      <c r="K304" t="str">
        <f t="shared" si="4"/>
        <v>Filtered out</v>
      </c>
    </row>
    <row r="305" spans="1:11" x14ac:dyDescent="0.2">
      <c r="A305" t="s">
        <v>12764</v>
      </c>
      <c r="B305" t="s">
        <v>12405</v>
      </c>
      <c r="C305" t="s">
        <v>12405</v>
      </c>
      <c r="D305">
        <v>2895</v>
      </c>
      <c r="E305">
        <v>2899</v>
      </c>
      <c r="F305">
        <v>0</v>
      </c>
      <c r="G305" s="13">
        <v>0.78</v>
      </c>
      <c r="H305" s="1" t="s">
        <v>12371</v>
      </c>
      <c r="I305">
        <v>10</v>
      </c>
      <c r="J305">
        <v>769</v>
      </c>
      <c r="K305" t="str">
        <f t="shared" si="4"/>
        <v>Filtered out</v>
      </c>
    </row>
    <row r="306" spans="1:11" x14ac:dyDescent="0.2">
      <c r="A306" t="s">
        <v>12765</v>
      </c>
      <c r="B306" t="s">
        <v>12373</v>
      </c>
      <c r="C306" t="s">
        <v>12373</v>
      </c>
      <c r="D306">
        <v>4619</v>
      </c>
      <c r="E306">
        <v>4627</v>
      </c>
      <c r="F306">
        <v>0</v>
      </c>
      <c r="G306" s="13">
        <v>0.45500000000000002</v>
      </c>
      <c r="H306" s="1" t="s">
        <v>12371</v>
      </c>
      <c r="I306">
        <v>34</v>
      </c>
      <c r="J306">
        <v>81</v>
      </c>
      <c r="K306" t="str">
        <f t="shared" si="4"/>
        <v>Filtered out</v>
      </c>
    </row>
    <row r="307" spans="1:11" x14ac:dyDescent="0.2">
      <c r="A307" t="s">
        <v>12766</v>
      </c>
      <c r="B307" t="s">
        <v>12376</v>
      </c>
      <c r="C307" t="s">
        <v>12373</v>
      </c>
      <c r="D307">
        <v>4029</v>
      </c>
      <c r="E307">
        <v>4321</v>
      </c>
      <c r="F307">
        <v>-6</v>
      </c>
      <c r="G307" s="13">
        <v>0.97</v>
      </c>
      <c r="H307" s="1" t="s">
        <v>12371</v>
      </c>
      <c r="I307">
        <v>16</v>
      </c>
      <c r="J307">
        <v>932</v>
      </c>
      <c r="K307" t="str">
        <f t="shared" si="4"/>
        <v>Filtered out</v>
      </c>
    </row>
    <row r="308" spans="1:11" x14ac:dyDescent="0.2">
      <c r="A308" t="s">
        <v>12767</v>
      </c>
      <c r="B308" t="s">
        <v>12413</v>
      </c>
      <c r="C308" t="s">
        <v>12373</v>
      </c>
      <c r="D308">
        <v>3186</v>
      </c>
      <c r="E308">
        <v>3253</v>
      </c>
      <c r="F308">
        <v>-2</v>
      </c>
      <c r="G308" s="13">
        <v>0.88500000000000001</v>
      </c>
      <c r="H308" s="1" t="s">
        <v>12371</v>
      </c>
      <c r="I308">
        <v>42</v>
      </c>
      <c r="J308">
        <v>50</v>
      </c>
      <c r="K308" t="str">
        <f t="shared" si="4"/>
        <v>Filtered out</v>
      </c>
    </row>
    <row r="309" spans="1:11" x14ac:dyDescent="0.2">
      <c r="A309" t="s">
        <v>12768</v>
      </c>
      <c r="B309" t="s">
        <v>12769</v>
      </c>
      <c r="C309" t="s">
        <v>12373</v>
      </c>
      <c r="D309">
        <v>1731</v>
      </c>
      <c r="E309">
        <v>1846</v>
      </c>
      <c r="F309">
        <v>-6</v>
      </c>
      <c r="G309" s="13">
        <v>0.96499999999999997</v>
      </c>
      <c r="H309" s="1" t="s">
        <v>12371</v>
      </c>
      <c r="I309">
        <v>12</v>
      </c>
      <c r="J309">
        <v>297</v>
      </c>
      <c r="K309" t="str">
        <f t="shared" si="4"/>
        <v>Filtered out</v>
      </c>
    </row>
    <row r="310" spans="1:11" x14ac:dyDescent="0.2">
      <c r="A310" t="s">
        <v>12770</v>
      </c>
      <c r="B310" t="s">
        <v>12373</v>
      </c>
      <c r="C310" t="s">
        <v>12373</v>
      </c>
      <c r="D310">
        <v>1584</v>
      </c>
      <c r="E310">
        <v>1579</v>
      </c>
      <c r="F310">
        <v>0</v>
      </c>
      <c r="G310" s="13">
        <v>0.99199999999999999</v>
      </c>
      <c r="H310" s="1" t="s">
        <v>12371</v>
      </c>
      <c r="I310">
        <v>8</v>
      </c>
      <c r="J310">
        <v>147</v>
      </c>
      <c r="K310" t="str">
        <f t="shared" si="4"/>
        <v>Retained</v>
      </c>
    </row>
    <row r="311" spans="1:11" x14ac:dyDescent="0.2">
      <c r="A311" t="s">
        <v>12771</v>
      </c>
      <c r="B311" t="s">
        <v>12373</v>
      </c>
      <c r="C311" t="s">
        <v>12373</v>
      </c>
      <c r="D311">
        <v>1161</v>
      </c>
      <c r="E311">
        <v>1648</v>
      </c>
      <c r="F311">
        <v>-29</v>
      </c>
      <c r="G311" s="13">
        <v>0.76</v>
      </c>
      <c r="H311" s="1" t="s">
        <v>12371</v>
      </c>
      <c r="I311">
        <v>18</v>
      </c>
      <c r="J311">
        <v>26</v>
      </c>
      <c r="K311" t="str">
        <f t="shared" si="4"/>
        <v>Filtered out</v>
      </c>
    </row>
    <row r="312" spans="1:11" x14ac:dyDescent="0.2">
      <c r="A312" t="s">
        <v>12772</v>
      </c>
      <c r="B312" t="s">
        <v>12375</v>
      </c>
      <c r="C312" t="s">
        <v>12373</v>
      </c>
      <c r="D312">
        <v>1026</v>
      </c>
      <c r="E312">
        <v>1060</v>
      </c>
      <c r="F312">
        <v>-3</v>
      </c>
      <c r="G312" s="13">
        <v>0.88300000000000001</v>
      </c>
      <c r="H312" s="1" t="s">
        <v>12371</v>
      </c>
      <c r="I312">
        <v>3</v>
      </c>
      <c r="J312">
        <v>125</v>
      </c>
      <c r="K312" t="str">
        <f t="shared" si="4"/>
        <v>Filtered out</v>
      </c>
    </row>
    <row r="313" spans="1:11" x14ac:dyDescent="0.2">
      <c r="A313" t="s">
        <v>12773</v>
      </c>
      <c r="B313" t="s">
        <v>12382</v>
      </c>
      <c r="C313" t="s">
        <v>12382</v>
      </c>
      <c r="D313">
        <v>5168</v>
      </c>
      <c r="E313">
        <v>5879</v>
      </c>
      <c r="F313">
        <v>-12</v>
      </c>
      <c r="G313" s="13">
        <v>0.92100000000000004</v>
      </c>
      <c r="H313" s="1" t="s">
        <v>12371</v>
      </c>
      <c r="I313">
        <v>1</v>
      </c>
      <c r="J313">
        <v>1640</v>
      </c>
      <c r="K313" t="str">
        <f t="shared" si="4"/>
        <v>Filtered out</v>
      </c>
    </row>
    <row r="314" spans="1:11" x14ac:dyDescent="0.2">
      <c r="A314" t="s">
        <v>12774</v>
      </c>
      <c r="B314" t="s">
        <v>12646</v>
      </c>
      <c r="C314" t="s">
        <v>12646</v>
      </c>
      <c r="D314">
        <v>1953</v>
      </c>
      <c r="E314">
        <v>1957</v>
      </c>
      <c r="F314">
        <v>0</v>
      </c>
      <c r="G314" s="13">
        <v>0.97199999999999998</v>
      </c>
      <c r="H314" s="1" t="s">
        <v>12371</v>
      </c>
      <c r="I314">
        <v>12</v>
      </c>
      <c r="J314">
        <v>166</v>
      </c>
      <c r="K314" t="str">
        <f t="shared" si="4"/>
        <v>Retained</v>
      </c>
    </row>
    <row r="315" spans="1:11" x14ac:dyDescent="0.2">
      <c r="A315" t="s">
        <v>12775</v>
      </c>
      <c r="B315" t="s">
        <v>12406</v>
      </c>
      <c r="C315" t="s">
        <v>12406</v>
      </c>
      <c r="D315">
        <v>1937</v>
      </c>
      <c r="E315">
        <v>2251</v>
      </c>
      <c r="F315">
        <v>-13</v>
      </c>
      <c r="G315" s="13">
        <v>0.88500000000000001</v>
      </c>
      <c r="H315" s="1" t="s">
        <v>12371</v>
      </c>
      <c r="I315">
        <v>2</v>
      </c>
      <c r="J315">
        <v>600</v>
      </c>
      <c r="K315" t="str">
        <f t="shared" si="4"/>
        <v>Filtered out</v>
      </c>
    </row>
    <row r="316" spans="1:11" x14ac:dyDescent="0.2">
      <c r="A316" t="s">
        <v>12776</v>
      </c>
      <c r="B316" t="s">
        <v>12455</v>
      </c>
      <c r="C316" t="s">
        <v>12402</v>
      </c>
      <c r="D316">
        <v>1292</v>
      </c>
      <c r="E316">
        <v>1474</v>
      </c>
      <c r="F316">
        <v>-12</v>
      </c>
      <c r="G316" s="13">
        <v>0.91400000000000003</v>
      </c>
      <c r="H316" s="1" t="s">
        <v>12371</v>
      </c>
      <c r="I316">
        <v>5</v>
      </c>
      <c r="J316">
        <v>275</v>
      </c>
      <c r="K316" t="str">
        <f t="shared" si="4"/>
        <v>Filtered out</v>
      </c>
    </row>
    <row r="317" spans="1:11" x14ac:dyDescent="0.2">
      <c r="A317" t="s">
        <v>12777</v>
      </c>
      <c r="B317" t="s">
        <v>12373</v>
      </c>
      <c r="C317" t="s">
        <v>12373</v>
      </c>
      <c r="D317">
        <v>1542</v>
      </c>
      <c r="E317">
        <v>1542</v>
      </c>
      <c r="F317">
        <v>0</v>
      </c>
      <c r="G317" s="13">
        <v>0.97899999999999998</v>
      </c>
      <c r="H317" s="1" t="s">
        <v>12371</v>
      </c>
      <c r="I317">
        <v>15</v>
      </c>
      <c r="J317">
        <v>89</v>
      </c>
      <c r="K317" t="str">
        <f t="shared" si="4"/>
        <v>Retained</v>
      </c>
    </row>
    <row r="318" spans="1:11" x14ac:dyDescent="0.2">
      <c r="A318" t="s">
        <v>12778</v>
      </c>
      <c r="B318" t="s">
        <v>12373</v>
      </c>
      <c r="C318" t="s">
        <v>12373</v>
      </c>
      <c r="D318">
        <v>4386</v>
      </c>
      <c r="E318">
        <v>4387</v>
      </c>
      <c r="F318">
        <v>0</v>
      </c>
      <c r="G318" s="13">
        <v>0.33800000000000002</v>
      </c>
      <c r="H318" s="1" t="s">
        <v>12371</v>
      </c>
      <c r="I318">
        <v>45</v>
      </c>
      <c r="J318">
        <v>72</v>
      </c>
      <c r="K318" t="str">
        <f t="shared" si="4"/>
        <v>Filtered out</v>
      </c>
    </row>
    <row r="319" spans="1:11" x14ac:dyDescent="0.2">
      <c r="A319" t="s">
        <v>12779</v>
      </c>
      <c r="B319" t="s">
        <v>12380</v>
      </c>
      <c r="C319" t="s">
        <v>12373</v>
      </c>
      <c r="D319">
        <v>1268</v>
      </c>
      <c r="E319">
        <v>1378</v>
      </c>
      <c r="F319">
        <v>-7</v>
      </c>
      <c r="G319" s="13">
        <v>0.92200000000000004</v>
      </c>
      <c r="H319" s="1" t="s">
        <v>12371</v>
      </c>
      <c r="I319">
        <v>21</v>
      </c>
      <c r="J319">
        <v>81</v>
      </c>
      <c r="K319" t="str">
        <f t="shared" si="4"/>
        <v>Filtered out</v>
      </c>
    </row>
    <row r="320" spans="1:11" x14ac:dyDescent="0.2">
      <c r="A320" t="s">
        <v>12780</v>
      </c>
      <c r="B320" t="s">
        <v>12781</v>
      </c>
      <c r="C320" t="s">
        <v>12781</v>
      </c>
      <c r="D320">
        <v>2421</v>
      </c>
      <c r="E320">
        <v>2434</v>
      </c>
      <c r="F320">
        <v>0</v>
      </c>
      <c r="G320" s="13">
        <v>0.99299999999999999</v>
      </c>
      <c r="H320" s="1" t="s">
        <v>12371</v>
      </c>
      <c r="I320">
        <v>29</v>
      </c>
      <c r="J320">
        <v>312</v>
      </c>
      <c r="K320" t="str">
        <f t="shared" si="4"/>
        <v>Retained</v>
      </c>
    </row>
    <row r="321" spans="1:11" x14ac:dyDescent="0.2">
      <c r="A321" t="s">
        <v>12782</v>
      </c>
      <c r="B321" t="s">
        <v>12553</v>
      </c>
      <c r="C321" t="s">
        <v>12373</v>
      </c>
      <c r="D321">
        <v>1583</v>
      </c>
      <c r="E321">
        <v>1654</v>
      </c>
      <c r="F321">
        <v>-4</v>
      </c>
      <c r="G321" s="13">
        <v>0.97799999999999998</v>
      </c>
      <c r="H321" s="1" t="s">
        <v>12371</v>
      </c>
      <c r="I321">
        <v>7</v>
      </c>
      <c r="J321">
        <v>464</v>
      </c>
      <c r="K321" t="str">
        <f t="shared" si="4"/>
        <v>Filtered out</v>
      </c>
    </row>
    <row r="322" spans="1:11" x14ac:dyDescent="0.2">
      <c r="A322" t="s">
        <v>12783</v>
      </c>
      <c r="B322" t="s">
        <v>12373</v>
      </c>
      <c r="C322" t="s">
        <v>12373</v>
      </c>
      <c r="D322">
        <v>2145</v>
      </c>
      <c r="E322">
        <v>2134</v>
      </c>
      <c r="F322">
        <v>0</v>
      </c>
      <c r="G322" s="13">
        <v>0.44900000000000001</v>
      </c>
      <c r="H322" s="1" t="s">
        <v>12371</v>
      </c>
      <c r="I322">
        <v>5</v>
      </c>
      <c r="J322">
        <v>320</v>
      </c>
      <c r="K322" t="str">
        <f t="shared" si="4"/>
        <v>Filtered out</v>
      </c>
    </row>
    <row r="323" spans="1:11" x14ac:dyDescent="0.2">
      <c r="A323" t="s">
        <v>12784</v>
      </c>
      <c r="B323" t="s">
        <v>12373</v>
      </c>
      <c r="C323" t="s">
        <v>12373</v>
      </c>
      <c r="D323">
        <v>3125</v>
      </c>
      <c r="E323">
        <v>3127</v>
      </c>
      <c r="F323">
        <v>0</v>
      </c>
      <c r="G323" s="13">
        <v>0.88600000000000001</v>
      </c>
      <c r="H323" s="1" t="s">
        <v>12371</v>
      </c>
      <c r="I323">
        <v>86</v>
      </c>
      <c r="J323">
        <v>171</v>
      </c>
      <c r="K323" t="str">
        <f t="shared" si="4"/>
        <v>Filtered out</v>
      </c>
    </row>
    <row r="324" spans="1:11" x14ac:dyDescent="0.2">
      <c r="A324" t="s">
        <v>12785</v>
      </c>
      <c r="B324" t="s">
        <v>12416</v>
      </c>
      <c r="C324" t="s">
        <v>12416</v>
      </c>
      <c r="D324">
        <v>1577</v>
      </c>
      <c r="E324">
        <v>1573</v>
      </c>
      <c r="F324">
        <v>0</v>
      </c>
      <c r="G324" s="13">
        <v>0.97099999999999997</v>
      </c>
      <c r="H324" s="1" t="s">
        <v>12371</v>
      </c>
      <c r="I324">
        <v>16</v>
      </c>
      <c r="J324">
        <v>259</v>
      </c>
      <c r="K324" t="str">
        <f t="shared" si="4"/>
        <v>Retained</v>
      </c>
    </row>
    <row r="325" spans="1:11" x14ac:dyDescent="0.2">
      <c r="A325" t="s">
        <v>12786</v>
      </c>
      <c r="B325" t="s">
        <v>12382</v>
      </c>
      <c r="C325" t="s">
        <v>12373</v>
      </c>
      <c r="D325">
        <v>1062</v>
      </c>
      <c r="E325">
        <v>1063</v>
      </c>
      <c r="F325">
        <v>0</v>
      </c>
      <c r="G325" s="13">
        <v>0.81</v>
      </c>
      <c r="H325" s="1" t="s">
        <v>12371</v>
      </c>
      <c r="I325">
        <v>1</v>
      </c>
      <c r="J325">
        <v>262</v>
      </c>
      <c r="K325" t="str">
        <f t="shared" si="4"/>
        <v>Filtered out</v>
      </c>
    </row>
    <row r="326" spans="1:11" x14ac:dyDescent="0.2">
      <c r="A326" t="s">
        <v>12787</v>
      </c>
      <c r="B326" t="s">
        <v>12788</v>
      </c>
      <c r="C326" t="s">
        <v>12373</v>
      </c>
      <c r="D326">
        <v>1466</v>
      </c>
      <c r="E326">
        <v>1750</v>
      </c>
      <c r="F326">
        <v>-16</v>
      </c>
      <c r="G326" s="13">
        <v>1</v>
      </c>
      <c r="H326" s="1" t="s">
        <v>12371</v>
      </c>
      <c r="I326">
        <v>26</v>
      </c>
      <c r="J326">
        <v>107</v>
      </c>
      <c r="K326" t="str">
        <f t="shared" si="4"/>
        <v>Filtered out</v>
      </c>
    </row>
    <row r="327" spans="1:11" x14ac:dyDescent="0.2">
      <c r="A327" t="s">
        <v>12789</v>
      </c>
      <c r="B327" t="s">
        <v>12431</v>
      </c>
      <c r="C327" t="s">
        <v>12431</v>
      </c>
      <c r="D327">
        <v>1332</v>
      </c>
      <c r="E327">
        <v>1330</v>
      </c>
      <c r="F327">
        <v>0</v>
      </c>
      <c r="G327" s="13">
        <v>0.96599999999999997</v>
      </c>
      <c r="H327" s="1" t="s">
        <v>12371</v>
      </c>
      <c r="I327">
        <v>18</v>
      </c>
      <c r="J327">
        <v>152</v>
      </c>
      <c r="K327" t="str">
        <f t="shared" si="4"/>
        <v>Retained</v>
      </c>
    </row>
    <row r="328" spans="1:11" x14ac:dyDescent="0.2">
      <c r="A328" t="s">
        <v>12790</v>
      </c>
      <c r="B328" t="s">
        <v>12463</v>
      </c>
      <c r="C328" t="s">
        <v>12373</v>
      </c>
      <c r="D328">
        <v>2796</v>
      </c>
      <c r="E328">
        <v>2809</v>
      </c>
      <c r="F328">
        <v>0</v>
      </c>
      <c r="G328" s="13">
        <v>0.98799999999999999</v>
      </c>
      <c r="H328" s="1" t="s">
        <v>12371</v>
      </c>
      <c r="I328">
        <v>2</v>
      </c>
      <c r="J328">
        <v>914</v>
      </c>
      <c r="K328" t="str">
        <f t="shared" si="4"/>
        <v>Filtered out</v>
      </c>
    </row>
    <row r="329" spans="1:11" x14ac:dyDescent="0.2">
      <c r="A329" t="s">
        <v>12791</v>
      </c>
      <c r="B329" t="s">
        <v>12373</v>
      </c>
      <c r="C329" t="s">
        <v>12373</v>
      </c>
      <c r="D329">
        <v>2745</v>
      </c>
      <c r="E329">
        <v>2746</v>
      </c>
      <c r="F329">
        <v>0</v>
      </c>
      <c r="G329" s="13">
        <v>0.86099999999999999</v>
      </c>
      <c r="H329" s="1" t="s">
        <v>12371</v>
      </c>
      <c r="I329">
        <v>13</v>
      </c>
      <c r="J329">
        <v>437</v>
      </c>
      <c r="K329" t="str">
        <f t="shared" ref="K329:K392" si="5">IF(AND(B329=C329,F329&lt;10,F329&gt;-10,I329&gt;0,G329&gt;90%,G329&lt;100%),"Retained","Filtered out")</f>
        <v>Filtered out</v>
      </c>
    </row>
    <row r="330" spans="1:11" x14ac:dyDescent="0.2">
      <c r="A330" t="s">
        <v>12792</v>
      </c>
      <c r="B330" t="s">
        <v>12373</v>
      </c>
      <c r="C330" t="s">
        <v>12373</v>
      </c>
      <c r="D330">
        <v>1589</v>
      </c>
      <c r="E330">
        <v>1807</v>
      </c>
      <c r="F330">
        <v>-12</v>
      </c>
      <c r="G330" s="13">
        <v>1</v>
      </c>
      <c r="H330" s="1" t="s">
        <v>12371</v>
      </c>
      <c r="I330">
        <v>10</v>
      </c>
      <c r="J330">
        <v>96</v>
      </c>
      <c r="K330" t="str">
        <f t="shared" si="5"/>
        <v>Filtered out</v>
      </c>
    </row>
    <row r="331" spans="1:11" x14ac:dyDescent="0.2">
      <c r="A331" t="s">
        <v>12793</v>
      </c>
      <c r="B331" t="s">
        <v>12446</v>
      </c>
      <c r="C331" t="s">
        <v>12373</v>
      </c>
      <c r="D331">
        <v>1775</v>
      </c>
      <c r="E331">
        <v>1834</v>
      </c>
      <c r="F331">
        <v>-3</v>
      </c>
      <c r="G331" s="13">
        <v>0.995</v>
      </c>
      <c r="H331" s="1" t="s">
        <v>12371</v>
      </c>
      <c r="I331">
        <v>6</v>
      </c>
      <c r="J331">
        <v>231</v>
      </c>
      <c r="K331" t="str">
        <f t="shared" si="5"/>
        <v>Filtered out</v>
      </c>
    </row>
    <row r="332" spans="1:11" x14ac:dyDescent="0.2">
      <c r="A332" t="s">
        <v>12794</v>
      </c>
      <c r="B332" t="s">
        <v>12373</v>
      </c>
      <c r="C332" t="s">
        <v>12373</v>
      </c>
      <c r="D332">
        <v>1550</v>
      </c>
      <c r="E332">
        <v>1543</v>
      </c>
      <c r="F332">
        <v>0</v>
      </c>
      <c r="G332" s="13">
        <v>0.55600000000000005</v>
      </c>
      <c r="H332" s="1" t="s">
        <v>12371</v>
      </c>
      <c r="I332">
        <v>24</v>
      </c>
      <c r="J332">
        <v>109</v>
      </c>
      <c r="K332" t="str">
        <f t="shared" si="5"/>
        <v>Filtered out</v>
      </c>
    </row>
    <row r="333" spans="1:11" x14ac:dyDescent="0.2">
      <c r="A333" t="s">
        <v>12795</v>
      </c>
      <c r="B333" t="s">
        <v>12796</v>
      </c>
      <c r="C333" t="s">
        <v>12373</v>
      </c>
      <c r="D333">
        <v>1058</v>
      </c>
      <c r="E333">
        <v>1129</v>
      </c>
      <c r="F333">
        <v>-6</v>
      </c>
      <c r="G333" s="13">
        <v>1</v>
      </c>
      <c r="H333" s="1" t="s">
        <v>12437</v>
      </c>
      <c r="I333">
        <v>0</v>
      </c>
      <c r="J333" t="s">
        <v>12438</v>
      </c>
      <c r="K333" t="str">
        <f t="shared" si="5"/>
        <v>Filtered out</v>
      </c>
    </row>
    <row r="334" spans="1:11" x14ac:dyDescent="0.2">
      <c r="A334" t="s">
        <v>12797</v>
      </c>
      <c r="B334" t="s">
        <v>12373</v>
      </c>
      <c r="C334" t="s">
        <v>12373</v>
      </c>
      <c r="D334">
        <v>2841</v>
      </c>
      <c r="E334">
        <v>2845</v>
      </c>
      <c r="F334">
        <v>0</v>
      </c>
      <c r="G334" s="13">
        <v>0.52500000000000002</v>
      </c>
      <c r="H334" s="1" t="s">
        <v>12371</v>
      </c>
      <c r="I334">
        <v>19</v>
      </c>
      <c r="J334">
        <v>270</v>
      </c>
      <c r="K334" t="str">
        <f t="shared" si="5"/>
        <v>Filtered out</v>
      </c>
    </row>
    <row r="335" spans="1:11" x14ac:dyDescent="0.2">
      <c r="A335" t="s">
        <v>12798</v>
      </c>
      <c r="B335" t="s">
        <v>12640</v>
      </c>
      <c r="C335" t="s">
        <v>12412</v>
      </c>
      <c r="D335">
        <v>1103</v>
      </c>
      <c r="E335">
        <v>1177</v>
      </c>
      <c r="F335">
        <v>-6</v>
      </c>
      <c r="G335" s="13">
        <v>0.80300000000000005</v>
      </c>
      <c r="H335" s="1" t="s">
        <v>12371</v>
      </c>
      <c r="I335">
        <v>2</v>
      </c>
      <c r="J335">
        <v>249</v>
      </c>
      <c r="K335" t="str">
        <f t="shared" si="5"/>
        <v>Filtered out</v>
      </c>
    </row>
    <row r="336" spans="1:11" x14ac:dyDescent="0.2">
      <c r="A336" t="s">
        <v>12799</v>
      </c>
      <c r="B336" t="s">
        <v>12373</v>
      </c>
      <c r="C336" t="s">
        <v>12373</v>
      </c>
      <c r="D336">
        <v>2211</v>
      </c>
      <c r="E336">
        <v>2215</v>
      </c>
      <c r="F336">
        <v>0</v>
      </c>
      <c r="G336" s="13">
        <v>0.97299999999999998</v>
      </c>
      <c r="H336" s="1" t="s">
        <v>12437</v>
      </c>
      <c r="I336">
        <v>0</v>
      </c>
      <c r="J336" t="s">
        <v>12438</v>
      </c>
      <c r="K336" t="str">
        <f t="shared" si="5"/>
        <v>Filtered out</v>
      </c>
    </row>
    <row r="337" spans="1:11" x14ac:dyDescent="0.2">
      <c r="A337" t="s">
        <v>12800</v>
      </c>
      <c r="B337" t="s">
        <v>12553</v>
      </c>
      <c r="C337" t="s">
        <v>12696</v>
      </c>
      <c r="D337">
        <v>1898</v>
      </c>
      <c r="E337">
        <v>2195</v>
      </c>
      <c r="F337">
        <v>-13</v>
      </c>
      <c r="G337" s="13">
        <v>0.95</v>
      </c>
      <c r="H337" s="1" t="s">
        <v>12371</v>
      </c>
      <c r="I337">
        <v>1</v>
      </c>
      <c r="J337">
        <v>632</v>
      </c>
      <c r="K337" t="str">
        <f t="shared" si="5"/>
        <v>Filtered out</v>
      </c>
    </row>
    <row r="338" spans="1:11" x14ac:dyDescent="0.2">
      <c r="A338" t="s">
        <v>12801</v>
      </c>
      <c r="B338" t="s">
        <v>12373</v>
      </c>
      <c r="C338" t="s">
        <v>12373</v>
      </c>
      <c r="D338">
        <v>1280</v>
      </c>
      <c r="E338">
        <v>1276</v>
      </c>
      <c r="F338">
        <v>0</v>
      </c>
      <c r="G338" s="13">
        <v>0.80100000000000005</v>
      </c>
      <c r="H338" s="1" t="s">
        <v>12371</v>
      </c>
      <c r="I338">
        <v>24</v>
      </c>
      <c r="J338">
        <v>159</v>
      </c>
      <c r="K338" t="str">
        <f t="shared" si="5"/>
        <v>Filtered out</v>
      </c>
    </row>
    <row r="339" spans="1:11" x14ac:dyDescent="0.2">
      <c r="A339" t="s">
        <v>12802</v>
      </c>
      <c r="B339" t="s">
        <v>12572</v>
      </c>
      <c r="C339" t="s">
        <v>12373</v>
      </c>
      <c r="D339">
        <v>3420</v>
      </c>
      <c r="E339">
        <v>6064</v>
      </c>
      <c r="F339">
        <v>-43</v>
      </c>
      <c r="G339" s="13">
        <v>0.33600000000000002</v>
      </c>
      <c r="H339" s="1" t="s">
        <v>12371</v>
      </c>
      <c r="I339">
        <v>24</v>
      </c>
      <c r="J339">
        <v>226</v>
      </c>
      <c r="K339" t="str">
        <f t="shared" si="5"/>
        <v>Filtered out</v>
      </c>
    </row>
    <row r="340" spans="1:11" x14ac:dyDescent="0.2">
      <c r="A340" t="s">
        <v>12803</v>
      </c>
      <c r="B340" t="s">
        <v>12382</v>
      </c>
      <c r="C340" t="s">
        <v>12382</v>
      </c>
      <c r="D340">
        <v>4134</v>
      </c>
      <c r="E340">
        <v>4134</v>
      </c>
      <c r="F340">
        <v>0</v>
      </c>
      <c r="G340" s="13">
        <v>0.72099999999999997</v>
      </c>
      <c r="H340" s="1" t="s">
        <v>12371</v>
      </c>
      <c r="I340">
        <v>10</v>
      </c>
      <c r="J340">
        <v>896</v>
      </c>
      <c r="K340" t="str">
        <f t="shared" si="5"/>
        <v>Filtered out</v>
      </c>
    </row>
    <row r="341" spans="1:11" x14ac:dyDescent="0.2">
      <c r="A341" t="s">
        <v>12804</v>
      </c>
      <c r="B341" t="s">
        <v>12373</v>
      </c>
      <c r="C341" t="s">
        <v>12373</v>
      </c>
      <c r="D341">
        <v>1025</v>
      </c>
      <c r="E341">
        <v>1033</v>
      </c>
      <c r="F341">
        <v>0</v>
      </c>
      <c r="G341" s="13">
        <v>1</v>
      </c>
      <c r="H341" s="1" t="s">
        <v>12437</v>
      </c>
      <c r="I341">
        <v>0</v>
      </c>
      <c r="J341" t="s">
        <v>12438</v>
      </c>
      <c r="K341" t="str">
        <f t="shared" si="5"/>
        <v>Filtered out</v>
      </c>
    </row>
    <row r="342" spans="1:11" x14ac:dyDescent="0.2">
      <c r="A342" t="s">
        <v>12805</v>
      </c>
      <c r="B342" t="s">
        <v>12463</v>
      </c>
      <c r="C342" t="s">
        <v>12373</v>
      </c>
      <c r="D342">
        <v>1829</v>
      </c>
      <c r="E342">
        <v>3880</v>
      </c>
      <c r="F342">
        <v>-52</v>
      </c>
      <c r="G342" s="13">
        <v>0.997</v>
      </c>
      <c r="H342" s="1" t="s">
        <v>12371</v>
      </c>
      <c r="I342">
        <v>4</v>
      </c>
      <c r="J342">
        <v>454</v>
      </c>
      <c r="K342" t="str">
        <f t="shared" si="5"/>
        <v>Filtered out</v>
      </c>
    </row>
    <row r="343" spans="1:11" x14ac:dyDescent="0.2">
      <c r="A343" t="s">
        <v>12806</v>
      </c>
      <c r="B343" t="s">
        <v>12373</v>
      </c>
      <c r="C343" t="s">
        <v>12373</v>
      </c>
      <c r="D343">
        <v>5826</v>
      </c>
      <c r="E343">
        <v>5818</v>
      </c>
      <c r="F343">
        <v>0</v>
      </c>
      <c r="G343" s="13">
        <v>0.98699999999999999</v>
      </c>
      <c r="H343" s="1" t="s">
        <v>12371</v>
      </c>
      <c r="I343">
        <v>30</v>
      </c>
      <c r="J343">
        <v>1170</v>
      </c>
      <c r="K343" t="str">
        <f t="shared" si="5"/>
        <v>Retained</v>
      </c>
    </row>
    <row r="344" spans="1:11" x14ac:dyDescent="0.2">
      <c r="A344" t="s">
        <v>12807</v>
      </c>
      <c r="B344" t="s">
        <v>12497</v>
      </c>
      <c r="C344" t="s">
        <v>12373</v>
      </c>
      <c r="D344">
        <v>5823</v>
      </c>
      <c r="E344">
        <v>5812</v>
      </c>
      <c r="F344">
        <v>0</v>
      </c>
      <c r="G344" s="13">
        <v>0.92600000000000005</v>
      </c>
      <c r="H344" s="1" t="s">
        <v>12371</v>
      </c>
      <c r="I344">
        <v>30</v>
      </c>
      <c r="J344">
        <v>1170</v>
      </c>
      <c r="K344" t="str">
        <f t="shared" si="5"/>
        <v>Filtered out</v>
      </c>
    </row>
    <row r="345" spans="1:11" x14ac:dyDescent="0.2">
      <c r="A345" t="s">
        <v>12808</v>
      </c>
      <c r="B345" t="s">
        <v>12591</v>
      </c>
      <c r="C345" t="s">
        <v>12373</v>
      </c>
      <c r="D345">
        <v>1532</v>
      </c>
      <c r="E345">
        <v>1576</v>
      </c>
      <c r="F345">
        <v>-2</v>
      </c>
      <c r="G345" s="13">
        <v>0.88</v>
      </c>
      <c r="H345" s="1" t="s">
        <v>12371</v>
      </c>
      <c r="I345">
        <v>27</v>
      </c>
      <c r="J345">
        <v>116</v>
      </c>
      <c r="K345" t="str">
        <f t="shared" si="5"/>
        <v>Filtered out</v>
      </c>
    </row>
    <row r="346" spans="1:11" x14ac:dyDescent="0.2">
      <c r="A346" t="s">
        <v>12809</v>
      </c>
      <c r="B346" t="s">
        <v>12497</v>
      </c>
      <c r="C346" t="s">
        <v>12373</v>
      </c>
      <c r="D346">
        <v>1205</v>
      </c>
      <c r="E346">
        <v>1369</v>
      </c>
      <c r="F346">
        <v>-11</v>
      </c>
      <c r="G346" s="13">
        <v>0.752</v>
      </c>
      <c r="H346" s="1" t="s">
        <v>12437</v>
      </c>
      <c r="I346">
        <v>0</v>
      </c>
      <c r="J346" t="s">
        <v>12438</v>
      </c>
      <c r="K346" t="str">
        <f t="shared" si="5"/>
        <v>Filtered out</v>
      </c>
    </row>
    <row r="347" spans="1:11" x14ac:dyDescent="0.2">
      <c r="A347" t="s">
        <v>12810</v>
      </c>
      <c r="B347" t="s">
        <v>12373</v>
      </c>
      <c r="C347" t="s">
        <v>12373</v>
      </c>
      <c r="D347">
        <v>1446</v>
      </c>
      <c r="E347">
        <v>1522</v>
      </c>
      <c r="F347">
        <v>-4</v>
      </c>
      <c r="G347" s="13">
        <v>0.72499999999999998</v>
      </c>
      <c r="H347" s="1" t="s">
        <v>12371</v>
      </c>
      <c r="I347">
        <v>13</v>
      </c>
      <c r="J347">
        <v>207</v>
      </c>
      <c r="K347" t="str">
        <f t="shared" si="5"/>
        <v>Filtered out</v>
      </c>
    </row>
    <row r="348" spans="1:11" x14ac:dyDescent="0.2">
      <c r="A348" t="s">
        <v>12811</v>
      </c>
      <c r="B348" t="s">
        <v>12812</v>
      </c>
      <c r="C348" t="s">
        <v>12373</v>
      </c>
      <c r="D348">
        <v>1268</v>
      </c>
      <c r="E348">
        <v>1438</v>
      </c>
      <c r="F348">
        <v>-11</v>
      </c>
      <c r="G348" s="13">
        <v>0.78</v>
      </c>
      <c r="H348" s="1" t="s">
        <v>12371</v>
      </c>
      <c r="I348">
        <v>10</v>
      </c>
      <c r="J348">
        <v>137</v>
      </c>
      <c r="K348" t="str">
        <f t="shared" si="5"/>
        <v>Filtered out</v>
      </c>
    </row>
    <row r="349" spans="1:11" x14ac:dyDescent="0.2">
      <c r="A349" t="s">
        <v>12813</v>
      </c>
      <c r="B349" t="s">
        <v>12812</v>
      </c>
      <c r="C349" t="s">
        <v>12373</v>
      </c>
      <c r="D349">
        <v>1346</v>
      </c>
      <c r="E349">
        <v>1522</v>
      </c>
      <c r="F349">
        <v>-11</v>
      </c>
      <c r="G349" s="13">
        <v>0.78</v>
      </c>
      <c r="H349" s="1" t="s">
        <v>12371</v>
      </c>
      <c r="I349">
        <v>10</v>
      </c>
      <c r="J349">
        <v>137</v>
      </c>
      <c r="K349" t="str">
        <f t="shared" si="5"/>
        <v>Filtered out</v>
      </c>
    </row>
    <row r="350" spans="1:11" x14ac:dyDescent="0.2">
      <c r="A350" t="s">
        <v>12814</v>
      </c>
      <c r="B350" t="s">
        <v>12373</v>
      </c>
      <c r="C350" t="s">
        <v>12373</v>
      </c>
      <c r="D350">
        <v>1626</v>
      </c>
      <c r="E350">
        <v>1621</v>
      </c>
      <c r="F350">
        <v>0</v>
      </c>
      <c r="G350" s="13">
        <v>0.32700000000000001</v>
      </c>
      <c r="H350" s="1" t="s">
        <v>12371</v>
      </c>
      <c r="I350">
        <v>14</v>
      </c>
      <c r="J350">
        <v>141</v>
      </c>
      <c r="K350" t="str">
        <f t="shared" si="5"/>
        <v>Filtered out</v>
      </c>
    </row>
    <row r="351" spans="1:11" x14ac:dyDescent="0.2">
      <c r="A351" t="s">
        <v>12815</v>
      </c>
      <c r="B351" t="s">
        <v>12816</v>
      </c>
      <c r="C351" t="s">
        <v>12434</v>
      </c>
      <c r="D351">
        <v>1265</v>
      </c>
      <c r="E351">
        <v>1456</v>
      </c>
      <c r="F351">
        <v>-13</v>
      </c>
      <c r="G351" s="13">
        <v>0.89400000000000002</v>
      </c>
      <c r="H351" s="1" t="s">
        <v>12371</v>
      </c>
      <c r="I351">
        <v>3</v>
      </c>
      <c r="J351">
        <v>354</v>
      </c>
      <c r="K351" t="str">
        <f t="shared" si="5"/>
        <v>Filtered out</v>
      </c>
    </row>
    <row r="352" spans="1:11" x14ac:dyDescent="0.2">
      <c r="A352" t="s">
        <v>12817</v>
      </c>
      <c r="B352" t="s">
        <v>12373</v>
      </c>
      <c r="C352" t="s">
        <v>12373</v>
      </c>
      <c r="D352">
        <v>1436</v>
      </c>
      <c r="E352">
        <v>1723</v>
      </c>
      <c r="F352">
        <v>-16</v>
      </c>
      <c r="G352" s="13">
        <v>0.97099999999999997</v>
      </c>
      <c r="H352" s="1" t="s">
        <v>12371</v>
      </c>
      <c r="I352">
        <v>12</v>
      </c>
      <c r="J352">
        <v>122</v>
      </c>
      <c r="K352" t="str">
        <f t="shared" si="5"/>
        <v>Filtered out</v>
      </c>
    </row>
    <row r="353" spans="1:11" x14ac:dyDescent="0.2">
      <c r="A353" t="s">
        <v>12818</v>
      </c>
      <c r="B353" t="s">
        <v>12423</v>
      </c>
      <c r="C353" t="s">
        <v>12373</v>
      </c>
      <c r="D353">
        <v>3120</v>
      </c>
      <c r="E353">
        <v>3940</v>
      </c>
      <c r="F353">
        <v>-20</v>
      </c>
      <c r="G353" s="13">
        <v>0.59599999999999997</v>
      </c>
      <c r="H353" s="1" t="s">
        <v>12371</v>
      </c>
      <c r="I353">
        <v>4</v>
      </c>
      <c r="J353">
        <v>627</v>
      </c>
      <c r="K353" t="str">
        <f t="shared" si="5"/>
        <v>Filtered out</v>
      </c>
    </row>
    <row r="354" spans="1:11" x14ac:dyDescent="0.2">
      <c r="A354" t="s">
        <v>12819</v>
      </c>
      <c r="B354" t="s">
        <v>12373</v>
      </c>
      <c r="C354" t="s">
        <v>12373</v>
      </c>
      <c r="D354">
        <v>2939</v>
      </c>
      <c r="E354">
        <v>5881</v>
      </c>
      <c r="F354">
        <v>-50</v>
      </c>
      <c r="G354" s="13">
        <v>0.95899999999999996</v>
      </c>
      <c r="H354" s="1" t="s">
        <v>12371</v>
      </c>
      <c r="I354">
        <v>6</v>
      </c>
      <c r="J354">
        <v>344</v>
      </c>
      <c r="K354" t="str">
        <f t="shared" si="5"/>
        <v>Filtered out</v>
      </c>
    </row>
    <row r="355" spans="1:11" x14ac:dyDescent="0.2">
      <c r="A355" t="s">
        <v>12820</v>
      </c>
      <c r="B355" t="s">
        <v>12373</v>
      </c>
      <c r="C355" t="s">
        <v>12373</v>
      </c>
      <c r="D355">
        <v>1500</v>
      </c>
      <c r="E355">
        <v>1495</v>
      </c>
      <c r="F355">
        <v>0</v>
      </c>
      <c r="G355" s="13">
        <v>0.54300000000000004</v>
      </c>
      <c r="H355" s="1" t="s">
        <v>12371</v>
      </c>
      <c r="I355">
        <v>4</v>
      </c>
      <c r="J355">
        <v>243</v>
      </c>
      <c r="K355" t="str">
        <f t="shared" si="5"/>
        <v>Filtered out</v>
      </c>
    </row>
    <row r="356" spans="1:11" x14ac:dyDescent="0.2">
      <c r="A356" t="s">
        <v>12821</v>
      </c>
      <c r="B356" t="s">
        <v>12591</v>
      </c>
      <c r="C356" t="s">
        <v>12453</v>
      </c>
      <c r="D356">
        <v>8186</v>
      </c>
      <c r="E356">
        <v>8156</v>
      </c>
      <c r="F356">
        <v>0</v>
      </c>
      <c r="G356" s="13">
        <v>0.38600000000000001</v>
      </c>
      <c r="H356" s="1" t="s">
        <v>12371</v>
      </c>
      <c r="I356">
        <v>22</v>
      </c>
      <c r="J356">
        <v>2471</v>
      </c>
      <c r="K356" t="str">
        <f t="shared" si="5"/>
        <v>Filtered out</v>
      </c>
    </row>
    <row r="357" spans="1:11" x14ac:dyDescent="0.2">
      <c r="A357" t="s">
        <v>12822</v>
      </c>
      <c r="B357" t="s">
        <v>12591</v>
      </c>
      <c r="C357" t="s">
        <v>12461</v>
      </c>
      <c r="D357">
        <v>1716</v>
      </c>
      <c r="E357">
        <v>3055</v>
      </c>
      <c r="F357">
        <v>-43</v>
      </c>
      <c r="G357" s="13">
        <v>0.71299999999999997</v>
      </c>
      <c r="H357" s="1" t="s">
        <v>12371</v>
      </c>
      <c r="I357">
        <v>6</v>
      </c>
      <c r="J357">
        <v>431</v>
      </c>
      <c r="K357" t="str">
        <f t="shared" si="5"/>
        <v>Filtered out</v>
      </c>
    </row>
    <row r="358" spans="1:11" x14ac:dyDescent="0.2">
      <c r="A358" t="s">
        <v>12823</v>
      </c>
      <c r="B358" t="s">
        <v>12375</v>
      </c>
      <c r="C358" t="s">
        <v>12461</v>
      </c>
      <c r="D358">
        <v>957</v>
      </c>
      <c r="E358">
        <v>2581</v>
      </c>
      <c r="F358">
        <v>-62</v>
      </c>
      <c r="G358" s="13">
        <v>0.56399999999999995</v>
      </c>
      <c r="H358" s="1" t="s">
        <v>12371</v>
      </c>
      <c r="I358">
        <v>6</v>
      </c>
      <c r="J358">
        <v>137</v>
      </c>
      <c r="K358" t="str">
        <f t="shared" si="5"/>
        <v>Filtered out</v>
      </c>
    </row>
    <row r="359" spans="1:11" x14ac:dyDescent="0.2">
      <c r="A359" t="s">
        <v>12824</v>
      </c>
      <c r="B359" t="s">
        <v>12446</v>
      </c>
      <c r="C359" t="s">
        <v>12467</v>
      </c>
      <c r="D359">
        <v>1907</v>
      </c>
      <c r="E359">
        <v>4085</v>
      </c>
      <c r="F359">
        <v>-53</v>
      </c>
      <c r="G359" s="13">
        <v>0.81399999999999995</v>
      </c>
      <c r="H359" s="1" t="s">
        <v>12371</v>
      </c>
      <c r="I359">
        <v>15</v>
      </c>
      <c r="J359">
        <v>254</v>
      </c>
      <c r="K359" t="str">
        <f t="shared" si="5"/>
        <v>Filtered out</v>
      </c>
    </row>
    <row r="360" spans="1:11" x14ac:dyDescent="0.2">
      <c r="A360" t="s">
        <v>12825</v>
      </c>
      <c r="B360" t="s">
        <v>12574</v>
      </c>
      <c r="C360" t="s">
        <v>12373</v>
      </c>
      <c r="D360">
        <v>8783</v>
      </c>
      <c r="E360">
        <v>8911</v>
      </c>
      <c r="F360">
        <v>-1</v>
      </c>
      <c r="G360" s="13">
        <v>0.83499999999999996</v>
      </c>
      <c r="H360" s="1" t="s">
        <v>12371</v>
      </c>
      <c r="I360">
        <v>65</v>
      </c>
      <c r="J360">
        <v>12</v>
      </c>
      <c r="K360" t="str">
        <f t="shared" si="5"/>
        <v>Filtered out</v>
      </c>
    </row>
    <row r="361" spans="1:11" x14ac:dyDescent="0.2">
      <c r="A361" t="s">
        <v>12826</v>
      </c>
      <c r="B361" t="s">
        <v>12373</v>
      </c>
      <c r="C361" t="s">
        <v>12373</v>
      </c>
      <c r="D361">
        <v>1788</v>
      </c>
      <c r="E361">
        <v>1777</v>
      </c>
      <c r="F361">
        <v>0</v>
      </c>
      <c r="G361" s="13">
        <v>0.57699999999999996</v>
      </c>
      <c r="H361" s="1" t="s">
        <v>12371</v>
      </c>
      <c r="I361">
        <v>9</v>
      </c>
      <c r="J361">
        <v>285</v>
      </c>
      <c r="K361" t="str">
        <f t="shared" si="5"/>
        <v>Filtered out</v>
      </c>
    </row>
    <row r="362" spans="1:11" x14ac:dyDescent="0.2">
      <c r="A362" t="s">
        <v>12827</v>
      </c>
      <c r="B362" t="s">
        <v>12373</v>
      </c>
      <c r="C362" t="s">
        <v>12373</v>
      </c>
      <c r="D362">
        <v>4209</v>
      </c>
      <c r="E362">
        <v>4510</v>
      </c>
      <c r="F362">
        <v>-6</v>
      </c>
      <c r="G362" s="13">
        <v>0.69299999999999995</v>
      </c>
      <c r="H362" s="1" t="s">
        <v>12371</v>
      </c>
      <c r="I362">
        <v>10</v>
      </c>
      <c r="J362">
        <v>1096</v>
      </c>
      <c r="K362" t="str">
        <f t="shared" si="5"/>
        <v>Filtered out</v>
      </c>
    </row>
    <row r="363" spans="1:11" x14ac:dyDescent="0.2">
      <c r="A363" t="s">
        <v>12828</v>
      </c>
      <c r="B363" t="s">
        <v>12484</v>
      </c>
      <c r="C363" t="s">
        <v>12484</v>
      </c>
      <c r="D363">
        <v>782</v>
      </c>
      <c r="E363">
        <v>775</v>
      </c>
      <c r="F363">
        <v>0</v>
      </c>
      <c r="G363" s="13">
        <v>0.95199999999999996</v>
      </c>
      <c r="H363" s="1" t="s">
        <v>12371</v>
      </c>
      <c r="I363">
        <v>4</v>
      </c>
      <c r="J363">
        <v>170</v>
      </c>
      <c r="K363" t="str">
        <f t="shared" si="5"/>
        <v>Retained</v>
      </c>
    </row>
    <row r="364" spans="1:11" x14ac:dyDescent="0.2">
      <c r="A364" t="s">
        <v>12829</v>
      </c>
      <c r="B364" t="s">
        <v>12426</v>
      </c>
      <c r="C364" t="s">
        <v>12373</v>
      </c>
      <c r="D364">
        <v>1935</v>
      </c>
      <c r="E364">
        <v>2842</v>
      </c>
      <c r="F364">
        <v>-31</v>
      </c>
      <c r="G364" s="13">
        <v>0.80400000000000005</v>
      </c>
      <c r="H364" s="1" t="s">
        <v>12371</v>
      </c>
      <c r="I364">
        <v>7</v>
      </c>
      <c r="J364">
        <v>390</v>
      </c>
      <c r="K364" t="str">
        <f t="shared" si="5"/>
        <v>Filtered out</v>
      </c>
    </row>
    <row r="365" spans="1:11" x14ac:dyDescent="0.2">
      <c r="A365" t="s">
        <v>12830</v>
      </c>
      <c r="B365" t="s">
        <v>12412</v>
      </c>
      <c r="C365" t="s">
        <v>12831</v>
      </c>
      <c r="D365">
        <v>483</v>
      </c>
      <c r="E365">
        <v>484</v>
      </c>
      <c r="F365">
        <v>0</v>
      </c>
      <c r="G365" s="13">
        <v>0.94699999999999995</v>
      </c>
      <c r="H365" s="1" t="s">
        <v>12371</v>
      </c>
      <c r="I365">
        <v>6</v>
      </c>
      <c r="J365">
        <v>33</v>
      </c>
      <c r="K365" t="str">
        <f t="shared" si="5"/>
        <v>Filtered out</v>
      </c>
    </row>
    <row r="366" spans="1:11" x14ac:dyDescent="0.2">
      <c r="A366" t="s">
        <v>12832</v>
      </c>
      <c r="B366" t="s">
        <v>12833</v>
      </c>
      <c r="C366" t="s">
        <v>12373</v>
      </c>
      <c r="D366">
        <v>14249</v>
      </c>
      <c r="E366">
        <v>14599</v>
      </c>
      <c r="F366">
        <v>-2</v>
      </c>
      <c r="G366" s="13">
        <v>0.996</v>
      </c>
      <c r="H366" s="1" t="s">
        <v>12371</v>
      </c>
      <c r="I366">
        <v>110</v>
      </c>
      <c r="J366">
        <v>3349</v>
      </c>
      <c r="K366" t="str">
        <f t="shared" si="5"/>
        <v>Filtered out</v>
      </c>
    </row>
    <row r="367" spans="1:11" x14ac:dyDescent="0.2">
      <c r="A367" t="s">
        <v>12834</v>
      </c>
      <c r="B367" t="s">
        <v>12382</v>
      </c>
      <c r="C367" t="s">
        <v>12382</v>
      </c>
      <c r="D367">
        <v>1007</v>
      </c>
      <c r="E367">
        <v>1003</v>
      </c>
      <c r="F367">
        <v>0</v>
      </c>
      <c r="G367" s="13">
        <v>1</v>
      </c>
      <c r="H367" s="1" t="s">
        <v>12437</v>
      </c>
      <c r="I367">
        <v>0</v>
      </c>
      <c r="J367" t="s">
        <v>12438</v>
      </c>
      <c r="K367" t="str">
        <f t="shared" si="5"/>
        <v>Filtered out</v>
      </c>
    </row>
    <row r="368" spans="1:11" x14ac:dyDescent="0.2">
      <c r="A368" t="s">
        <v>12835</v>
      </c>
      <c r="B368" t="s">
        <v>12446</v>
      </c>
      <c r="C368" t="s">
        <v>12418</v>
      </c>
      <c r="D368">
        <v>1136</v>
      </c>
      <c r="E368">
        <v>1396</v>
      </c>
      <c r="F368">
        <v>-18</v>
      </c>
      <c r="G368" s="13">
        <v>0.95199999999999996</v>
      </c>
      <c r="H368" s="1" t="s">
        <v>12371</v>
      </c>
      <c r="I368">
        <v>4</v>
      </c>
      <c r="J368">
        <v>251</v>
      </c>
      <c r="K368" t="str">
        <f t="shared" si="5"/>
        <v>Filtered out</v>
      </c>
    </row>
    <row r="369" spans="1:11" x14ac:dyDescent="0.2">
      <c r="A369" t="s">
        <v>12836</v>
      </c>
      <c r="B369" t="s">
        <v>12373</v>
      </c>
      <c r="C369" t="s">
        <v>12373</v>
      </c>
      <c r="D369">
        <v>594</v>
      </c>
      <c r="E369">
        <v>766</v>
      </c>
      <c r="F369">
        <v>-22</v>
      </c>
      <c r="G369" s="13">
        <v>0.873</v>
      </c>
      <c r="H369" s="1" t="s">
        <v>12371</v>
      </c>
      <c r="I369">
        <v>4</v>
      </c>
      <c r="J369">
        <v>147</v>
      </c>
      <c r="K369" t="str">
        <f t="shared" si="5"/>
        <v>Filtered out</v>
      </c>
    </row>
    <row r="370" spans="1:11" x14ac:dyDescent="0.2">
      <c r="A370" t="s">
        <v>12837</v>
      </c>
      <c r="B370" t="s">
        <v>12838</v>
      </c>
      <c r="C370" t="s">
        <v>12678</v>
      </c>
      <c r="D370">
        <v>1851</v>
      </c>
      <c r="E370">
        <v>3517</v>
      </c>
      <c r="F370">
        <v>-47</v>
      </c>
      <c r="G370" s="13">
        <v>0.98199999999999998</v>
      </c>
      <c r="H370" s="1" t="s">
        <v>12371</v>
      </c>
      <c r="I370">
        <v>3</v>
      </c>
      <c r="J370">
        <v>415</v>
      </c>
      <c r="K370" t="str">
        <f t="shared" si="5"/>
        <v>Filtered out</v>
      </c>
    </row>
    <row r="371" spans="1:11" x14ac:dyDescent="0.2">
      <c r="A371" t="s">
        <v>12839</v>
      </c>
      <c r="B371" t="s">
        <v>12373</v>
      </c>
      <c r="C371" t="s">
        <v>12373</v>
      </c>
      <c r="D371">
        <v>1335</v>
      </c>
      <c r="E371">
        <v>1333</v>
      </c>
      <c r="F371">
        <v>0</v>
      </c>
      <c r="G371" s="13">
        <v>0.81</v>
      </c>
      <c r="H371" s="1" t="s">
        <v>12371</v>
      </c>
      <c r="I371">
        <v>30</v>
      </c>
      <c r="J371">
        <v>36</v>
      </c>
      <c r="K371" t="str">
        <f t="shared" si="5"/>
        <v>Filtered out</v>
      </c>
    </row>
    <row r="372" spans="1:11" x14ac:dyDescent="0.2">
      <c r="A372" t="s">
        <v>12840</v>
      </c>
      <c r="B372" t="s">
        <v>12373</v>
      </c>
      <c r="C372" t="s">
        <v>12373</v>
      </c>
      <c r="D372">
        <v>1422</v>
      </c>
      <c r="E372">
        <v>1414</v>
      </c>
      <c r="F372">
        <v>0</v>
      </c>
      <c r="G372" s="13">
        <v>0.60099999999999998</v>
      </c>
      <c r="H372" s="1" t="s">
        <v>12371</v>
      </c>
      <c r="I372">
        <v>6</v>
      </c>
      <c r="J372">
        <v>201</v>
      </c>
      <c r="K372" t="str">
        <f t="shared" si="5"/>
        <v>Filtered out</v>
      </c>
    </row>
    <row r="373" spans="1:11" x14ac:dyDescent="0.2">
      <c r="A373" t="s">
        <v>12841</v>
      </c>
      <c r="B373" t="s">
        <v>12382</v>
      </c>
      <c r="C373" t="s">
        <v>12382</v>
      </c>
      <c r="D373">
        <v>5877</v>
      </c>
      <c r="E373">
        <v>5869</v>
      </c>
      <c r="F373">
        <v>0</v>
      </c>
      <c r="G373" s="13">
        <v>0.97499999999999998</v>
      </c>
      <c r="H373" s="1" t="s">
        <v>12371</v>
      </c>
      <c r="I373">
        <v>6</v>
      </c>
      <c r="J373">
        <v>1723</v>
      </c>
      <c r="K373" t="str">
        <f t="shared" si="5"/>
        <v>Retained</v>
      </c>
    </row>
    <row r="374" spans="1:11" x14ac:dyDescent="0.2">
      <c r="A374" t="s">
        <v>12842</v>
      </c>
      <c r="B374" t="s">
        <v>12373</v>
      </c>
      <c r="C374" t="s">
        <v>12373</v>
      </c>
      <c r="D374">
        <v>5214</v>
      </c>
      <c r="E374">
        <v>5214</v>
      </c>
      <c r="F374">
        <v>0</v>
      </c>
      <c r="G374" s="13">
        <v>0.90300000000000002</v>
      </c>
      <c r="H374" s="1" t="s">
        <v>12371</v>
      </c>
      <c r="I374">
        <v>15</v>
      </c>
      <c r="J374">
        <v>1494</v>
      </c>
      <c r="K374" t="str">
        <f t="shared" si="5"/>
        <v>Retained</v>
      </c>
    </row>
    <row r="375" spans="1:11" x14ac:dyDescent="0.2">
      <c r="A375" t="s">
        <v>12843</v>
      </c>
      <c r="B375" t="s">
        <v>12678</v>
      </c>
      <c r="C375" t="s">
        <v>12508</v>
      </c>
      <c r="D375">
        <v>957</v>
      </c>
      <c r="E375">
        <v>3442</v>
      </c>
      <c r="F375">
        <v>-72</v>
      </c>
      <c r="G375" s="13">
        <v>0.38200000000000001</v>
      </c>
      <c r="H375" s="1" t="s">
        <v>12371</v>
      </c>
      <c r="I375">
        <v>2</v>
      </c>
      <c r="J375">
        <v>286</v>
      </c>
      <c r="K375" t="str">
        <f t="shared" si="5"/>
        <v>Filtered out</v>
      </c>
    </row>
    <row r="376" spans="1:11" x14ac:dyDescent="0.2">
      <c r="A376" t="s">
        <v>12844</v>
      </c>
      <c r="B376" t="s">
        <v>12373</v>
      </c>
      <c r="C376" t="s">
        <v>12373</v>
      </c>
      <c r="D376">
        <v>843</v>
      </c>
      <c r="E376">
        <v>844</v>
      </c>
      <c r="F376">
        <v>0</v>
      </c>
      <c r="G376" s="13">
        <v>0.78500000000000003</v>
      </c>
      <c r="H376" s="1" t="s">
        <v>12371</v>
      </c>
      <c r="I376">
        <v>2</v>
      </c>
      <c r="J376">
        <v>229</v>
      </c>
      <c r="K376" t="str">
        <f t="shared" si="5"/>
        <v>Filtered out</v>
      </c>
    </row>
    <row r="377" spans="1:11" x14ac:dyDescent="0.2">
      <c r="A377" t="s">
        <v>12845</v>
      </c>
      <c r="B377" t="s">
        <v>12373</v>
      </c>
      <c r="C377" t="s">
        <v>12373</v>
      </c>
      <c r="D377">
        <v>1058</v>
      </c>
      <c r="E377">
        <v>1057</v>
      </c>
      <c r="F377">
        <v>0</v>
      </c>
      <c r="G377" s="13">
        <v>0.89600000000000002</v>
      </c>
      <c r="H377" s="1" t="s">
        <v>12371</v>
      </c>
      <c r="I377">
        <v>1</v>
      </c>
      <c r="J377">
        <v>312</v>
      </c>
      <c r="K377" t="str">
        <f t="shared" si="5"/>
        <v>Filtered out</v>
      </c>
    </row>
    <row r="378" spans="1:11" x14ac:dyDescent="0.2">
      <c r="A378" t="s">
        <v>12846</v>
      </c>
      <c r="B378" t="s">
        <v>12373</v>
      </c>
      <c r="C378" t="s">
        <v>12373</v>
      </c>
      <c r="D378">
        <v>1947</v>
      </c>
      <c r="E378">
        <v>1951</v>
      </c>
      <c r="F378">
        <v>0</v>
      </c>
      <c r="G378" s="13">
        <v>0.96799999999999997</v>
      </c>
      <c r="H378" s="1" t="s">
        <v>12371</v>
      </c>
      <c r="I378">
        <v>1</v>
      </c>
      <c r="J378">
        <v>611</v>
      </c>
      <c r="K378" t="str">
        <f t="shared" si="5"/>
        <v>Retained</v>
      </c>
    </row>
    <row r="379" spans="1:11" x14ac:dyDescent="0.2">
      <c r="A379" t="s">
        <v>12847</v>
      </c>
      <c r="B379" t="s">
        <v>12373</v>
      </c>
      <c r="C379" t="s">
        <v>12373</v>
      </c>
      <c r="D379">
        <v>2069</v>
      </c>
      <c r="E379">
        <v>2348</v>
      </c>
      <c r="F379">
        <v>-11</v>
      </c>
      <c r="G379" s="13">
        <v>0.97399999999999998</v>
      </c>
      <c r="H379" s="1" t="s">
        <v>12371</v>
      </c>
      <c r="I379">
        <v>21</v>
      </c>
      <c r="J379">
        <v>168</v>
      </c>
      <c r="K379" t="str">
        <f t="shared" si="5"/>
        <v>Filtered out</v>
      </c>
    </row>
    <row r="380" spans="1:11" x14ac:dyDescent="0.2">
      <c r="A380" t="s">
        <v>12848</v>
      </c>
      <c r="B380" t="s">
        <v>12463</v>
      </c>
      <c r="C380" t="s">
        <v>12375</v>
      </c>
      <c r="D380">
        <v>438</v>
      </c>
      <c r="E380">
        <v>484</v>
      </c>
      <c r="F380">
        <v>-9</v>
      </c>
      <c r="G380" s="13">
        <v>0.438</v>
      </c>
      <c r="H380" s="1" t="s">
        <v>12437</v>
      </c>
      <c r="I380">
        <v>0</v>
      </c>
      <c r="J380" t="s">
        <v>12438</v>
      </c>
      <c r="K380" t="str">
        <f t="shared" si="5"/>
        <v>Filtered out</v>
      </c>
    </row>
    <row r="381" spans="1:11" x14ac:dyDescent="0.2">
      <c r="A381" t="s">
        <v>12849</v>
      </c>
      <c r="B381" t="s">
        <v>12373</v>
      </c>
      <c r="C381" t="s">
        <v>12373</v>
      </c>
      <c r="D381">
        <v>1872</v>
      </c>
      <c r="E381">
        <v>1872</v>
      </c>
      <c r="F381">
        <v>0</v>
      </c>
      <c r="G381" s="13">
        <v>0.89500000000000002</v>
      </c>
      <c r="H381" s="1" t="s">
        <v>12371</v>
      </c>
      <c r="I381">
        <v>18</v>
      </c>
      <c r="J381">
        <v>111</v>
      </c>
      <c r="K381" t="str">
        <f t="shared" si="5"/>
        <v>Filtered out</v>
      </c>
    </row>
    <row r="382" spans="1:11" x14ac:dyDescent="0.2">
      <c r="A382" t="s">
        <v>12850</v>
      </c>
      <c r="B382" t="s">
        <v>12386</v>
      </c>
      <c r="C382" t="s">
        <v>12379</v>
      </c>
      <c r="D382">
        <v>2358</v>
      </c>
      <c r="E382">
        <v>2572</v>
      </c>
      <c r="F382">
        <v>-8</v>
      </c>
      <c r="G382" s="13">
        <v>0.5</v>
      </c>
      <c r="H382" s="1" t="s">
        <v>12371</v>
      </c>
      <c r="I382">
        <v>40</v>
      </c>
      <c r="J382">
        <v>103</v>
      </c>
      <c r="K382" t="str">
        <f t="shared" si="5"/>
        <v>Filtered out</v>
      </c>
    </row>
    <row r="383" spans="1:11" x14ac:dyDescent="0.2">
      <c r="A383" t="s">
        <v>12851</v>
      </c>
      <c r="B383" t="s">
        <v>12575</v>
      </c>
      <c r="C383" t="s">
        <v>12380</v>
      </c>
      <c r="D383">
        <v>794</v>
      </c>
      <c r="E383">
        <v>1057</v>
      </c>
      <c r="F383">
        <v>-24</v>
      </c>
      <c r="G383" s="13">
        <v>0.91600000000000004</v>
      </c>
      <c r="H383" s="1" t="s">
        <v>12437</v>
      </c>
      <c r="I383">
        <v>0</v>
      </c>
      <c r="J383" t="s">
        <v>12438</v>
      </c>
      <c r="K383" t="str">
        <f t="shared" si="5"/>
        <v>Filtered out</v>
      </c>
    </row>
    <row r="384" spans="1:11" x14ac:dyDescent="0.2">
      <c r="A384" t="s">
        <v>12852</v>
      </c>
      <c r="B384" t="s">
        <v>12373</v>
      </c>
      <c r="C384" t="s">
        <v>12373</v>
      </c>
      <c r="D384">
        <v>2189</v>
      </c>
      <c r="E384">
        <v>2173</v>
      </c>
      <c r="F384">
        <v>0</v>
      </c>
      <c r="G384" s="13">
        <v>1</v>
      </c>
      <c r="H384" s="1" t="s">
        <v>12371</v>
      </c>
      <c r="I384">
        <v>26</v>
      </c>
      <c r="J384">
        <v>78</v>
      </c>
      <c r="K384" t="str">
        <f t="shared" si="5"/>
        <v>Filtered out</v>
      </c>
    </row>
    <row r="385" spans="1:11" x14ac:dyDescent="0.2">
      <c r="A385" t="s">
        <v>12853</v>
      </c>
      <c r="B385" t="s">
        <v>12559</v>
      </c>
      <c r="C385" t="s">
        <v>12428</v>
      </c>
      <c r="D385">
        <v>290</v>
      </c>
      <c r="E385">
        <v>293</v>
      </c>
      <c r="F385">
        <v>-1</v>
      </c>
      <c r="G385" s="13">
        <v>0.99</v>
      </c>
      <c r="H385" s="1" t="s">
        <v>12437</v>
      </c>
      <c r="I385">
        <v>0</v>
      </c>
      <c r="J385" t="s">
        <v>12438</v>
      </c>
      <c r="K385" t="str">
        <f t="shared" si="5"/>
        <v>Filtered out</v>
      </c>
    </row>
    <row r="386" spans="1:11" x14ac:dyDescent="0.2">
      <c r="A386" t="s">
        <v>12854</v>
      </c>
      <c r="B386" t="s">
        <v>12373</v>
      </c>
      <c r="C386" t="s">
        <v>12373</v>
      </c>
      <c r="D386">
        <v>3672</v>
      </c>
      <c r="E386">
        <v>3679</v>
      </c>
      <c r="F386">
        <v>0</v>
      </c>
      <c r="G386" s="13">
        <v>0.51400000000000001</v>
      </c>
      <c r="H386" s="1" t="s">
        <v>12371</v>
      </c>
      <c r="I386">
        <v>32</v>
      </c>
      <c r="J386">
        <v>254</v>
      </c>
      <c r="K386" t="str">
        <f t="shared" si="5"/>
        <v>Filtered out</v>
      </c>
    </row>
    <row r="387" spans="1:11" x14ac:dyDescent="0.2">
      <c r="A387" t="s">
        <v>12855</v>
      </c>
      <c r="B387" t="s">
        <v>12373</v>
      </c>
      <c r="C387" t="s">
        <v>12373</v>
      </c>
      <c r="D387">
        <v>1650</v>
      </c>
      <c r="E387">
        <v>1651</v>
      </c>
      <c r="F387">
        <v>0</v>
      </c>
      <c r="G387" s="13">
        <v>0.996</v>
      </c>
      <c r="H387" s="1" t="s">
        <v>12371</v>
      </c>
      <c r="I387">
        <v>4</v>
      </c>
      <c r="J387">
        <v>477</v>
      </c>
      <c r="K387" t="str">
        <f t="shared" si="5"/>
        <v>Retained</v>
      </c>
    </row>
    <row r="388" spans="1:11" x14ac:dyDescent="0.2">
      <c r="A388" t="s">
        <v>12856</v>
      </c>
      <c r="B388" t="s">
        <v>12612</v>
      </c>
      <c r="C388" t="s">
        <v>12612</v>
      </c>
      <c r="D388">
        <v>1494</v>
      </c>
      <c r="E388">
        <v>1495</v>
      </c>
      <c r="F388">
        <v>0</v>
      </c>
      <c r="G388" s="13">
        <v>1</v>
      </c>
      <c r="H388" s="1" t="s">
        <v>12371</v>
      </c>
      <c r="I388">
        <v>15</v>
      </c>
      <c r="J388">
        <v>141</v>
      </c>
      <c r="K388" t="str">
        <f t="shared" si="5"/>
        <v>Filtered out</v>
      </c>
    </row>
    <row r="389" spans="1:11" x14ac:dyDescent="0.2">
      <c r="A389" t="s">
        <v>12857</v>
      </c>
      <c r="B389" t="s">
        <v>12858</v>
      </c>
      <c r="C389" t="s">
        <v>12859</v>
      </c>
      <c r="D389">
        <v>1554</v>
      </c>
      <c r="E389">
        <v>1558</v>
      </c>
      <c r="F389">
        <v>0</v>
      </c>
      <c r="G389" s="13">
        <v>0.98699999999999999</v>
      </c>
      <c r="H389" s="1" t="s">
        <v>12371</v>
      </c>
      <c r="I389">
        <v>4</v>
      </c>
      <c r="J389">
        <v>474</v>
      </c>
      <c r="K389" t="str">
        <f t="shared" si="5"/>
        <v>Retained</v>
      </c>
    </row>
    <row r="390" spans="1:11" x14ac:dyDescent="0.2">
      <c r="A390" t="s">
        <v>12860</v>
      </c>
      <c r="B390" t="s">
        <v>12640</v>
      </c>
      <c r="C390" t="s">
        <v>12640</v>
      </c>
      <c r="D390">
        <v>1461</v>
      </c>
      <c r="E390">
        <v>1855</v>
      </c>
      <c r="F390">
        <v>-21</v>
      </c>
      <c r="G390" s="13">
        <v>0.94899999999999995</v>
      </c>
      <c r="H390" s="1" t="s">
        <v>12371</v>
      </c>
      <c r="I390">
        <v>9</v>
      </c>
      <c r="J390">
        <v>299</v>
      </c>
      <c r="K390" t="str">
        <f t="shared" si="5"/>
        <v>Filtered out</v>
      </c>
    </row>
    <row r="391" spans="1:11" x14ac:dyDescent="0.2">
      <c r="A391" t="s">
        <v>12861</v>
      </c>
      <c r="B391" t="s">
        <v>12373</v>
      </c>
      <c r="C391" t="s">
        <v>12373</v>
      </c>
      <c r="D391">
        <v>827</v>
      </c>
      <c r="E391">
        <v>841</v>
      </c>
      <c r="F391">
        <v>-1</v>
      </c>
      <c r="G391" s="13">
        <v>0.93400000000000005</v>
      </c>
      <c r="H391" s="1" t="s">
        <v>12371</v>
      </c>
      <c r="I391">
        <v>10</v>
      </c>
      <c r="J391">
        <v>107</v>
      </c>
      <c r="K391" t="str">
        <f t="shared" si="5"/>
        <v>Retained</v>
      </c>
    </row>
    <row r="392" spans="1:11" x14ac:dyDescent="0.2">
      <c r="A392" t="s">
        <v>12862</v>
      </c>
      <c r="B392" t="s">
        <v>12373</v>
      </c>
      <c r="C392" t="s">
        <v>12373</v>
      </c>
      <c r="D392">
        <v>5063</v>
      </c>
      <c r="E392">
        <v>5065</v>
      </c>
      <c r="F392">
        <v>0</v>
      </c>
      <c r="G392" s="13">
        <v>0.998</v>
      </c>
      <c r="H392" s="1" t="s">
        <v>12371</v>
      </c>
      <c r="I392">
        <v>70</v>
      </c>
      <c r="J392">
        <v>803</v>
      </c>
      <c r="K392" t="str">
        <f t="shared" si="5"/>
        <v>Retained</v>
      </c>
    </row>
    <row r="393" spans="1:11" x14ac:dyDescent="0.2">
      <c r="A393" t="s">
        <v>12863</v>
      </c>
      <c r="B393" t="s">
        <v>12373</v>
      </c>
      <c r="C393" t="s">
        <v>12373</v>
      </c>
      <c r="D393">
        <v>1794</v>
      </c>
      <c r="E393">
        <v>1906</v>
      </c>
      <c r="F393">
        <v>-5</v>
      </c>
      <c r="G393" s="13">
        <v>0.495</v>
      </c>
      <c r="H393" s="1" t="s">
        <v>12371</v>
      </c>
      <c r="I393">
        <v>9</v>
      </c>
      <c r="J393">
        <v>299</v>
      </c>
      <c r="K393" t="str">
        <f t="shared" ref="K393:K456" si="6">IF(AND(B393=C393,F393&lt;10,F393&gt;-10,I393&gt;0,G393&gt;90%,G393&lt;100%),"Retained","Filtered out")</f>
        <v>Filtered out</v>
      </c>
    </row>
    <row r="394" spans="1:11" x14ac:dyDescent="0.2">
      <c r="A394" t="s">
        <v>12864</v>
      </c>
      <c r="B394" t="s">
        <v>12722</v>
      </c>
      <c r="C394" t="s">
        <v>12601</v>
      </c>
      <c r="D394">
        <v>1214</v>
      </c>
      <c r="E394">
        <v>1216</v>
      </c>
      <c r="F394">
        <v>0</v>
      </c>
      <c r="G394" s="13">
        <v>0.88900000000000001</v>
      </c>
      <c r="H394" s="1" t="s">
        <v>12437</v>
      </c>
      <c r="I394">
        <v>0</v>
      </c>
      <c r="J394" t="s">
        <v>12438</v>
      </c>
      <c r="K394" t="str">
        <f t="shared" si="6"/>
        <v>Filtered out</v>
      </c>
    </row>
    <row r="395" spans="1:11" x14ac:dyDescent="0.2">
      <c r="A395" t="s">
        <v>12865</v>
      </c>
      <c r="B395" t="s">
        <v>12416</v>
      </c>
      <c r="C395" t="s">
        <v>12866</v>
      </c>
      <c r="D395">
        <v>3395</v>
      </c>
      <c r="E395">
        <v>3436</v>
      </c>
      <c r="F395">
        <v>-1</v>
      </c>
      <c r="G395" s="13">
        <v>0.252</v>
      </c>
      <c r="H395" s="1" t="s">
        <v>12371</v>
      </c>
      <c r="I395">
        <v>39</v>
      </c>
      <c r="J395">
        <v>81</v>
      </c>
      <c r="K395" t="str">
        <f t="shared" si="6"/>
        <v>Filtered out</v>
      </c>
    </row>
    <row r="396" spans="1:11" x14ac:dyDescent="0.2">
      <c r="A396" t="s">
        <v>12867</v>
      </c>
      <c r="B396" t="s">
        <v>12373</v>
      </c>
      <c r="C396" t="s">
        <v>12373</v>
      </c>
      <c r="D396">
        <v>482</v>
      </c>
      <c r="E396">
        <v>481</v>
      </c>
      <c r="F396">
        <v>0</v>
      </c>
      <c r="G396" s="13">
        <v>0.96</v>
      </c>
      <c r="H396" s="1" t="s">
        <v>12371</v>
      </c>
      <c r="I396">
        <v>4</v>
      </c>
      <c r="J396">
        <v>101</v>
      </c>
      <c r="K396" t="str">
        <f t="shared" si="6"/>
        <v>Retained</v>
      </c>
    </row>
    <row r="397" spans="1:11" x14ac:dyDescent="0.2">
      <c r="A397" t="s">
        <v>12868</v>
      </c>
      <c r="B397" t="s">
        <v>12416</v>
      </c>
      <c r="C397" t="s">
        <v>12373</v>
      </c>
      <c r="D397">
        <v>1388</v>
      </c>
      <c r="E397">
        <v>1498</v>
      </c>
      <c r="F397">
        <v>-7</v>
      </c>
      <c r="G397" s="13">
        <v>0.56999999999999995</v>
      </c>
      <c r="H397" s="1" t="s">
        <v>12371</v>
      </c>
      <c r="I397">
        <v>2</v>
      </c>
      <c r="J397">
        <v>283</v>
      </c>
      <c r="K397" t="str">
        <f t="shared" si="6"/>
        <v>Filtered out</v>
      </c>
    </row>
    <row r="398" spans="1:11" x14ac:dyDescent="0.2">
      <c r="A398" t="s">
        <v>12869</v>
      </c>
      <c r="B398" t="s">
        <v>12373</v>
      </c>
      <c r="C398" t="s">
        <v>12373</v>
      </c>
      <c r="D398">
        <v>3651</v>
      </c>
      <c r="E398">
        <v>3637</v>
      </c>
      <c r="F398">
        <v>0</v>
      </c>
      <c r="G398" s="13">
        <v>0.3</v>
      </c>
      <c r="H398" s="1" t="s">
        <v>12371</v>
      </c>
      <c r="I398">
        <v>20</v>
      </c>
      <c r="J398">
        <v>165</v>
      </c>
      <c r="K398" t="str">
        <f t="shared" si="6"/>
        <v>Filtered out</v>
      </c>
    </row>
    <row r="399" spans="1:11" x14ac:dyDescent="0.2">
      <c r="A399" t="s">
        <v>12870</v>
      </c>
      <c r="B399" t="s">
        <v>12393</v>
      </c>
      <c r="C399" t="s">
        <v>12393</v>
      </c>
      <c r="D399">
        <v>2787</v>
      </c>
      <c r="E399">
        <v>2785</v>
      </c>
      <c r="F399">
        <v>0</v>
      </c>
      <c r="G399" s="13">
        <v>0.99299999999999999</v>
      </c>
      <c r="H399" s="1" t="s">
        <v>12371</v>
      </c>
      <c r="I399">
        <v>1</v>
      </c>
      <c r="J399">
        <v>891</v>
      </c>
      <c r="K399" t="str">
        <f t="shared" si="6"/>
        <v>Retained</v>
      </c>
    </row>
    <row r="400" spans="1:11" x14ac:dyDescent="0.2">
      <c r="A400" t="s">
        <v>12871</v>
      </c>
      <c r="B400" t="s">
        <v>12373</v>
      </c>
      <c r="C400" t="s">
        <v>12373</v>
      </c>
      <c r="D400">
        <v>1553</v>
      </c>
      <c r="E400">
        <v>1567</v>
      </c>
      <c r="F400">
        <v>0</v>
      </c>
      <c r="G400" s="13">
        <v>0.93300000000000005</v>
      </c>
      <c r="H400" s="1" t="s">
        <v>12371</v>
      </c>
      <c r="I400">
        <v>27</v>
      </c>
      <c r="J400">
        <v>106</v>
      </c>
      <c r="K400" t="str">
        <f t="shared" si="6"/>
        <v>Retained</v>
      </c>
    </row>
    <row r="401" spans="1:11" x14ac:dyDescent="0.2">
      <c r="A401" t="s">
        <v>12872</v>
      </c>
      <c r="B401" t="s">
        <v>12373</v>
      </c>
      <c r="C401" t="s">
        <v>12373</v>
      </c>
      <c r="D401">
        <v>1941</v>
      </c>
      <c r="E401">
        <v>2335</v>
      </c>
      <c r="F401">
        <v>-16</v>
      </c>
      <c r="G401" s="13">
        <v>0.83899999999999997</v>
      </c>
      <c r="H401" s="1" t="s">
        <v>12371</v>
      </c>
      <c r="I401">
        <v>2</v>
      </c>
      <c r="J401">
        <v>595</v>
      </c>
      <c r="K401" t="str">
        <f t="shared" si="6"/>
        <v>Filtered out</v>
      </c>
    </row>
    <row r="402" spans="1:11" x14ac:dyDescent="0.2">
      <c r="A402" t="s">
        <v>12873</v>
      </c>
      <c r="B402" t="s">
        <v>12874</v>
      </c>
      <c r="C402" t="s">
        <v>12373</v>
      </c>
      <c r="D402">
        <v>3504</v>
      </c>
      <c r="E402">
        <v>3511</v>
      </c>
      <c r="F402">
        <v>0</v>
      </c>
      <c r="G402" s="13">
        <v>0.98199999999999998</v>
      </c>
      <c r="H402" s="1" t="s">
        <v>12371</v>
      </c>
      <c r="I402">
        <v>15</v>
      </c>
      <c r="J402">
        <v>870</v>
      </c>
      <c r="K402" t="str">
        <f t="shared" si="6"/>
        <v>Filtered out</v>
      </c>
    </row>
    <row r="403" spans="1:11" x14ac:dyDescent="0.2">
      <c r="A403" t="s">
        <v>12875</v>
      </c>
      <c r="B403" t="s">
        <v>12373</v>
      </c>
      <c r="C403" t="s">
        <v>12373</v>
      </c>
      <c r="D403">
        <v>1706</v>
      </c>
      <c r="E403">
        <v>1702</v>
      </c>
      <c r="F403">
        <v>0</v>
      </c>
      <c r="G403" s="13">
        <v>0.871</v>
      </c>
      <c r="H403" s="1" t="s">
        <v>12371</v>
      </c>
      <c r="I403">
        <v>13</v>
      </c>
      <c r="J403">
        <v>234</v>
      </c>
      <c r="K403" t="str">
        <f t="shared" si="6"/>
        <v>Filtered out</v>
      </c>
    </row>
    <row r="404" spans="1:11" x14ac:dyDescent="0.2">
      <c r="A404" t="s">
        <v>12876</v>
      </c>
      <c r="B404" t="s">
        <v>12373</v>
      </c>
      <c r="C404" t="s">
        <v>12373</v>
      </c>
      <c r="D404">
        <v>1175</v>
      </c>
      <c r="E404">
        <v>1174</v>
      </c>
      <c r="F404">
        <v>0</v>
      </c>
      <c r="G404" s="13">
        <v>0.55000000000000004</v>
      </c>
      <c r="H404" s="1" t="s">
        <v>12371</v>
      </c>
      <c r="I404">
        <v>13</v>
      </c>
      <c r="J404">
        <v>140</v>
      </c>
      <c r="K404" t="str">
        <f t="shared" si="6"/>
        <v>Filtered out</v>
      </c>
    </row>
    <row r="405" spans="1:11" x14ac:dyDescent="0.2">
      <c r="A405" t="s">
        <v>12877</v>
      </c>
      <c r="B405" t="s">
        <v>12428</v>
      </c>
      <c r="C405" t="s">
        <v>12453</v>
      </c>
      <c r="D405">
        <v>705</v>
      </c>
      <c r="E405">
        <v>829</v>
      </c>
      <c r="F405">
        <v>-14</v>
      </c>
      <c r="G405" s="13">
        <v>0.314</v>
      </c>
      <c r="H405" s="1" t="s">
        <v>12371</v>
      </c>
      <c r="I405">
        <v>10</v>
      </c>
      <c r="J405">
        <v>43</v>
      </c>
      <c r="K405" t="str">
        <f t="shared" si="6"/>
        <v>Filtered out</v>
      </c>
    </row>
    <row r="406" spans="1:11" x14ac:dyDescent="0.2">
      <c r="A406" t="s">
        <v>12878</v>
      </c>
      <c r="B406" t="s">
        <v>12601</v>
      </c>
      <c r="C406" t="s">
        <v>12428</v>
      </c>
      <c r="D406">
        <v>3395</v>
      </c>
      <c r="E406">
        <v>8668</v>
      </c>
      <c r="F406">
        <v>-60</v>
      </c>
      <c r="G406" s="13">
        <v>0.221</v>
      </c>
      <c r="H406" s="1" t="s">
        <v>12371</v>
      </c>
      <c r="I406">
        <v>31</v>
      </c>
      <c r="J406">
        <v>512</v>
      </c>
      <c r="K406" t="str">
        <f t="shared" si="6"/>
        <v>Filtered out</v>
      </c>
    </row>
    <row r="407" spans="1:11" x14ac:dyDescent="0.2">
      <c r="A407" t="s">
        <v>12879</v>
      </c>
      <c r="B407" t="s">
        <v>12373</v>
      </c>
      <c r="C407" t="s">
        <v>12373</v>
      </c>
      <c r="D407">
        <v>905</v>
      </c>
      <c r="E407">
        <v>904</v>
      </c>
      <c r="F407">
        <v>0</v>
      </c>
      <c r="G407" s="13">
        <v>0.98599999999999999</v>
      </c>
      <c r="H407" s="1" t="s">
        <v>12437</v>
      </c>
      <c r="I407">
        <v>0</v>
      </c>
      <c r="J407" t="s">
        <v>12438</v>
      </c>
      <c r="K407" t="str">
        <f t="shared" si="6"/>
        <v>Filtered out</v>
      </c>
    </row>
    <row r="408" spans="1:11" x14ac:dyDescent="0.2">
      <c r="A408" t="s">
        <v>12879</v>
      </c>
      <c r="B408" t="s">
        <v>12373</v>
      </c>
      <c r="C408" t="s">
        <v>12373</v>
      </c>
      <c r="D408">
        <v>905</v>
      </c>
      <c r="E408">
        <v>904</v>
      </c>
      <c r="F408">
        <v>0</v>
      </c>
      <c r="G408" s="13">
        <v>0.98599999999999999</v>
      </c>
      <c r="H408" s="1" t="s">
        <v>12437</v>
      </c>
      <c r="I408">
        <v>0</v>
      </c>
      <c r="J408" t="s">
        <v>12438</v>
      </c>
      <c r="K408" t="str">
        <f t="shared" si="6"/>
        <v>Filtered out</v>
      </c>
    </row>
    <row r="409" spans="1:11" x14ac:dyDescent="0.2">
      <c r="A409" t="s">
        <v>12880</v>
      </c>
      <c r="B409" t="s">
        <v>12373</v>
      </c>
      <c r="C409" t="s">
        <v>12373</v>
      </c>
      <c r="D409">
        <v>1302</v>
      </c>
      <c r="E409">
        <v>1306</v>
      </c>
      <c r="F409">
        <v>0</v>
      </c>
      <c r="G409" s="13">
        <v>0.98899999999999999</v>
      </c>
      <c r="H409" s="1" t="s">
        <v>12371</v>
      </c>
      <c r="I409">
        <v>2</v>
      </c>
      <c r="J409">
        <v>250</v>
      </c>
      <c r="K409" t="str">
        <f t="shared" si="6"/>
        <v>Retained</v>
      </c>
    </row>
    <row r="410" spans="1:11" x14ac:dyDescent="0.2">
      <c r="A410" t="s">
        <v>12881</v>
      </c>
      <c r="B410" t="s">
        <v>12453</v>
      </c>
      <c r="C410" t="s">
        <v>12882</v>
      </c>
      <c r="D410">
        <v>1418</v>
      </c>
      <c r="E410">
        <v>1686</v>
      </c>
      <c r="F410">
        <v>-15</v>
      </c>
      <c r="G410" s="13">
        <v>0.25</v>
      </c>
      <c r="H410" s="1" t="s">
        <v>12371</v>
      </c>
      <c r="I410">
        <v>7</v>
      </c>
      <c r="J410">
        <v>244</v>
      </c>
      <c r="K410" t="str">
        <f t="shared" si="6"/>
        <v>Filtered out</v>
      </c>
    </row>
    <row r="411" spans="1:11" x14ac:dyDescent="0.2">
      <c r="A411" t="s">
        <v>12883</v>
      </c>
      <c r="B411" t="s">
        <v>12559</v>
      </c>
      <c r="C411" t="s">
        <v>12884</v>
      </c>
      <c r="D411">
        <v>662</v>
      </c>
      <c r="E411">
        <v>1390</v>
      </c>
      <c r="F411">
        <v>-52</v>
      </c>
      <c r="G411" s="13">
        <v>0.97199999999999998</v>
      </c>
      <c r="H411" s="1" t="s">
        <v>12437</v>
      </c>
      <c r="I411">
        <v>0</v>
      </c>
      <c r="J411" t="s">
        <v>12438</v>
      </c>
      <c r="K411" t="str">
        <f t="shared" si="6"/>
        <v>Filtered out</v>
      </c>
    </row>
    <row r="412" spans="1:11" x14ac:dyDescent="0.2">
      <c r="A412" t="s">
        <v>12885</v>
      </c>
      <c r="B412" t="s">
        <v>12409</v>
      </c>
      <c r="C412" t="s">
        <v>12373</v>
      </c>
      <c r="D412">
        <v>1791</v>
      </c>
      <c r="E412">
        <v>2371</v>
      </c>
      <c r="F412">
        <v>-24</v>
      </c>
      <c r="G412" s="13">
        <v>0.97599999999999998</v>
      </c>
      <c r="H412" s="1" t="s">
        <v>12371</v>
      </c>
      <c r="I412">
        <v>10</v>
      </c>
      <c r="J412">
        <v>275</v>
      </c>
      <c r="K412" t="str">
        <f t="shared" si="6"/>
        <v>Filtered out</v>
      </c>
    </row>
    <row r="413" spans="1:11" x14ac:dyDescent="0.2">
      <c r="A413" t="s">
        <v>12886</v>
      </c>
      <c r="B413" t="s">
        <v>12373</v>
      </c>
      <c r="C413" t="s">
        <v>12373</v>
      </c>
      <c r="D413">
        <v>1875</v>
      </c>
      <c r="E413">
        <v>2146</v>
      </c>
      <c r="F413">
        <v>-12</v>
      </c>
      <c r="G413" s="13">
        <v>0.90100000000000002</v>
      </c>
      <c r="H413" s="1" t="s">
        <v>12371</v>
      </c>
      <c r="I413">
        <v>6</v>
      </c>
      <c r="J413">
        <v>465</v>
      </c>
      <c r="K413" t="str">
        <f t="shared" si="6"/>
        <v>Filtered out</v>
      </c>
    </row>
    <row r="414" spans="1:11" x14ac:dyDescent="0.2">
      <c r="A414" t="s">
        <v>12887</v>
      </c>
      <c r="B414" t="s">
        <v>12468</v>
      </c>
      <c r="C414" t="s">
        <v>12468</v>
      </c>
      <c r="D414">
        <v>423</v>
      </c>
      <c r="E414">
        <v>424</v>
      </c>
      <c r="F414">
        <v>0</v>
      </c>
      <c r="G414" s="13">
        <v>0.97199999999999998</v>
      </c>
      <c r="H414" s="1" t="s">
        <v>12371</v>
      </c>
      <c r="I414">
        <v>4</v>
      </c>
      <c r="J414">
        <v>16</v>
      </c>
      <c r="K414" t="str">
        <f t="shared" si="6"/>
        <v>Retained</v>
      </c>
    </row>
    <row r="415" spans="1:11" x14ac:dyDescent="0.2">
      <c r="A415" t="s">
        <v>12888</v>
      </c>
      <c r="B415" t="s">
        <v>12373</v>
      </c>
      <c r="C415" t="s">
        <v>12373</v>
      </c>
      <c r="D415">
        <v>1217</v>
      </c>
      <c r="E415">
        <v>1219</v>
      </c>
      <c r="F415">
        <v>0</v>
      </c>
      <c r="G415" s="13">
        <v>0.98199999999999998</v>
      </c>
      <c r="H415" s="1" t="s">
        <v>12371</v>
      </c>
      <c r="I415">
        <v>4</v>
      </c>
      <c r="J415">
        <v>325</v>
      </c>
      <c r="K415" t="str">
        <f t="shared" si="6"/>
        <v>Retained</v>
      </c>
    </row>
    <row r="416" spans="1:11" x14ac:dyDescent="0.2">
      <c r="A416" t="s">
        <v>12889</v>
      </c>
      <c r="B416" t="s">
        <v>12373</v>
      </c>
      <c r="C416" t="s">
        <v>12373</v>
      </c>
      <c r="D416">
        <v>1076</v>
      </c>
      <c r="E416">
        <v>1078</v>
      </c>
      <c r="F416">
        <v>0</v>
      </c>
      <c r="G416" s="13">
        <v>0.82</v>
      </c>
      <c r="H416" s="1" t="s">
        <v>12371</v>
      </c>
      <c r="I416">
        <v>2</v>
      </c>
      <c r="J416">
        <v>325</v>
      </c>
      <c r="K416" t="str">
        <f t="shared" si="6"/>
        <v>Filtered out</v>
      </c>
    </row>
    <row r="417" spans="1:11" x14ac:dyDescent="0.2">
      <c r="A417" t="s">
        <v>12890</v>
      </c>
      <c r="B417" t="s">
        <v>12601</v>
      </c>
      <c r="C417" t="s">
        <v>12373</v>
      </c>
      <c r="D417">
        <v>482</v>
      </c>
      <c r="E417">
        <v>517</v>
      </c>
      <c r="F417">
        <v>-6</v>
      </c>
      <c r="G417" s="13">
        <v>0.66700000000000004</v>
      </c>
      <c r="H417" s="1" t="s">
        <v>12371</v>
      </c>
      <c r="I417">
        <v>5</v>
      </c>
      <c r="J417">
        <v>61</v>
      </c>
      <c r="K417" t="str">
        <f t="shared" si="6"/>
        <v>Filtered out</v>
      </c>
    </row>
    <row r="418" spans="1:11" x14ac:dyDescent="0.2">
      <c r="A418" t="s">
        <v>12891</v>
      </c>
      <c r="B418" t="s">
        <v>12484</v>
      </c>
      <c r="C418" t="s">
        <v>12532</v>
      </c>
      <c r="D418">
        <v>5394</v>
      </c>
      <c r="E418">
        <v>5713</v>
      </c>
      <c r="F418">
        <v>-5</v>
      </c>
      <c r="G418" s="13">
        <v>0.91500000000000004</v>
      </c>
      <c r="H418" s="1" t="s">
        <v>12371</v>
      </c>
      <c r="I418">
        <v>43</v>
      </c>
      <c r="J418">
        <v>905</v>
      </c>
      <c r="K418" t="str">
        <f t="shared" si="6"/>
        <v>Filtered out</v>
      </c>
    </row>
    <row r="419" spans="1:11" x14ac:dyDescent="0.2">
      <c r="A419" t="s">
        <v>12892</v>
      </c>
      <c r="B419" t="s">
        <v>12373</v>
      </c>
      <c r="C419" t="s">
        <v>12373</v>
      </c>
      <c r="D419">
        <v>11339</v>
      </c>
      <c r="E419">
        <v>12799</v>
      </c>
      <c r="F419">
        <v>-11</v>
      </c>
      <c r="G419" s="13">
        <v>0.97299999999999998</v>
      </c>
      <c r="H419" s="1" t="s">
        <v>12371</v>
      </c>
      <c r="I419">
        <v>72</v>
      </c>
      <c r="J419">
        <v>1534</v>
      </c>
      <c r="K419" t="str">
        <f t="shared" si="6"/>
        <v>Filtered out</v>
      </c>
    </row>
    <row r="420" spans="1:11" x14ac:dyDescent="0.2">
      <c r="A420" t="s">
        <v>12893</v>
      </c>
      <c r="B420" t="s">
        <v>12428</v>
      </c>
      <c r="C420" t="s">
        <v>12428</v>
      </c>
      <c r="D420">
        <v>13689</v>
      </c>
      <c r="E420">
        <v>13684</v>
      </c>
      <c r="F420">
        <v>0</v>
      </c>
      <c r="G420" s="13">
        <v>0.97399999999999998</v>
      </c>
      <c r="H420" s="1" t="s">
        <v>12371</v>
      </c>
      <c r="I420">
        <v>95</v>
      </c>
      <c r="J420">
        <v>2549</v>
      </c>
      <c r="K420" t="str">
        <f t="shared" si="6"/>
        <v>Retained</v>
      </c>
    </row>
    <row r="421" spans="1:11" x14ac:dyDescent="0.2">
      <c r="A421" t="s">
        <v>12894</v>
      </c>
      <c r="B421" t="s">
        <v>12612</v>
      </c>
      <c r="C421" t="s">
        <v>12612</v>
      </c>
      <c r="D421">
        <v>1971</v>
      </c>
      <c r="E421">
        <v>1969</v>
      </c>
      <c r="F421">
        <v>0</v>
      </c>
      <c r="G421" s="13">
        <v>0.97</v>
      </c>
      <c r="H421" s="1" t="s">
        <v>12371</v>
      </c>
      <c r="I421">
        <v>40</v>
      </c>
      <c r="J421">
        <v>179</v>
      </c>
      <c r="K421" t="str">
        <f t="shared" si="6"/>
        <v>Retained</v>
      </c>
    </row>
    <row r="422" spans="1:11" x14ac:dyDescent="0.2">
      <c r="A422" t="s">
        <v>12895</v>
      </c>
      <c r="B422" t="s">
        <v>12373</v>
      </c>
      <c r="C422" t="s">
        <v>12373</v>
      </c>
      <c r="D422">
        <v>2277</v>
      </c>
      <c r="E422">
        <v>2278</v>
      </c>
      <c r="F422">
        <v>0</v>
      </c>
      <c r="G422" s="13">
        <v>0.995</v>
      </c>
      <c r="H422" s="1" t="s">
        <v>12371</v>
      </c>
      <c r="I422">
        <v>7</v>
      </c>
      <c r="J422">
        <v>624</v>
      </c>
      <c r="K422" t="str">
        <f t="shared" si="6"/>
        <v>Retained</v>
      </c>
    </row>
    <row r="423" spans="1:11" x14ac:dyDescent="0.2">
      <c r="A423" t="s">
        <v>12896</v>
      </c>
      <c r="B423" t="s">
        <v>12393</v>
      </c>
      <c r="C423" t="s">
        <v>12413</v>
      </c>
      <c r="D423">
        <v>5444</v>
      </c>
      <c r="E423">
        <v>10225</v>
      </c>
      <c r="F423">
        <v>-46</v>
      </c>
      <c r="G423" s="13">
        <v>0.82199999999999995</v>
      </c>
      <c r="H423" s="1" t="s">
        <v>12371</v>
      </c>
      <c r="I423">
        <v>29</v>
      </c>
      <c r="J423">
        <v>363</v>
      </c>
      <c r="K423" t="str">
        <f t="shared" si="6"/>
        <v>Filtered out</v>
      </c>
    </row>
    <row r="424" spans="1:11" x14ac:dyDescent="0.2">
      <c r="A424" t="s">
        <v>12897</v>
      </c>
      <c r="B424" t="s">
        <v>12375</v>
      </c>
      <c r="C424" t="s">
        <v>12412</v>
      </c>
      <c r="D424">
        <v>890</v>
      </c>
      <c r="E424">
        <v>1824</v>
      </c>
      <c r="F424">
        <v>-51</v>
      </c>
      <c r="G424" s="13">
        <v>0.24</v>
      </c>
      <c r="H424" s="1" t="s">
        <v>12371</v>
      </c>
      <c r="I424">
        <v>3</v>
      </c>
      <c r="J424">
        <v>195</v>
      </c>
      <c r="K424" t="str">
        <f t="shared" si="6"/>
        <v>Filtered out</v>
      </c>
    </row>
    <row r="425" spans="1:11" x14ac:dyDescent="0.2">
      <c r="A425" t="s">
        <v>12898</v>
      </c>
      <c r="B425" t="s">
        <v>12428</v>
      </c>
      <c r="C425" t="s">
        <v>12373</v>
      </c>
      <c r="D425">
        <v>486</v>
      </c>
      <c r="E425">
        <v>925</v>
      </c>
      <c r="F425">
        <v>-47</v>
      </c>
      <c r="G425" s="13">
        <v>0.91500000000000004</v>
      </c>
      <c r="H425" s="1" t="s">
        <v>12371</v>
      </c>
      <c r="I425">
        <v>1</v>
      </c>
      <c r="J425">
        <v>152</v>
      </c>
      <c r="K425" t="str">
        <f t="shared" si="6"/>
        <v>Filtered out</v>
      </c>
    </row>
    <row r="426" spans="1:11" x14ac:dyDescent="0.2">
      <c r="A426" t="s">
        <v>12899</v>
      </c>
      <c r="B426" t="s">
        <v>12375</v>
      </c>
      <c r="C426" t="s">
        <v>12373</v>
      </c>
      <c r="D426">
        <v>1523</v>
      </c>
      <c r="E426">
        <v>1642</v>
      </c>
      <c r="F426">
        <v>-7</v>
      </c>
      <c r="G426" s="13">
        <v>0.98499999999999999</v>
      </c>
      <c r="H426" s="1" t="s">
        <v>12371</v>
      </c>
      <c r="I426">
        <v>11</v>
      </c>
      <c r="J426">
        <v>285</v>
      </c>
      <c r="K426" t="str">
        <f t="shared" si="6"/>
        <v>Filtered out</v>
      </c>
    </row>
    <row r="427" spans="1:11" x14ac:dyDescent="0.2">
      <c r="A427" t="s">
        <v>12900</v>
      </c>
      <c r="B427" t="s">
        <v>12901</v>
      </c>
      <c r="C427" t="s">
        <v>12373</v>
      </c>
      <c r="D427">
        <v>587</v>
      </c>
      <c r="E427">
        <v>976</v>
      </c>
      <c r="F427">
        <v>-39</v>
      </c>
      <c r="G427" s="13">
        <v>0.625</v>
      </c>
      <c r="H427" s="1" t="s">
        <v>12371</v>
      </c>
      <c r="I427">
        <v>1</v>
      </c>
      <c r="J427">
        <v>111</v>
      </c>
      <c r="K427" t="str">
        <f t="shared" si="6"/>
        <v>Filtered out</v>
      </c>
    </row>
    <row r="428" spans="1:11" x14ac:dyDescent="0.2">
      <c r="A428" t="s">
        <v>12902</v>
      </c>
      <c r="B428" t="s">
        <v>12769</v>
      </c>
      <c r="C428" t="s">
        <v>12769</v>
      </c>
      <c r="D428">
        <v>590</v>
      </c>
      <c r="E428">
        <v>586</v>
      </c>
      <c r="F428">
        <v>0</v>
      </c>
      <c r="G428" s="13">
        <v>0.6</v>
      </c>
      <c r="H428" s="1" t="s">
        <v>12371</v>
      </c>
      <c r="I428">
        <v>8</v>
      </c>
      <c r="J428">
        <v>41</v>
      </c>
      <c r="K428" t="str">
        <f t="shared" si="6"/>
        <v>Filtered out</v>
      </c>
    </row>
    <row r="429" spans="1:11" x14ac:dyDescent="0.2">
      <c r="A429" t="s">
        <v>12903</v>
      </c>
      <c r="B429" t="s">
        <v>12463</v>
      </c>
      <c r="C429" t="s">
        <v>12373</v>
      </c>
      <c r="D429">
        <v>1694</v>
      </c>
      <c r="E429">
        <v>3451</v>
      </c>
      <c r="F429">
        <v>-50</v>
      </c>
      <c r="G429" s="13">
        <v>0.78900000000000003</v>
      </c>
      <c r="H429" s="1" t="s">
        <v>12371</v>
      </c>
      <c r="I429">
        <v>6</v>
      </c>
      <c r="J429">
        <v>273</v>
      </c>
      <c r="K429" t="str">
        <f t="shared" si="6"/>
        <v>Filtered out</v>
      </c>
    </row>
    <row r="430" spans="1:11" x14ac:dyDescent="0.2">
      <c r="A430" t="s">
        <v>12904</v>
      </c>
      <c r="B430" t="s">
        <v>12373</v>
      </c>
      <c r="C430" t="s">
        <v>12696</v>
      </c>
      <c r="D430">
        <v>210</v>
      </c>
      <c r="E430">
        <v>130</v>
      </c>
      <c r="F430">
        <v>61</v>
      </c>
      <c r="G430" s="13">
        <v>0.6</v>
      </c>
      <c r="H430" s="1" t="s">
        <v>12371</v>
      </c>
      <c r="I430">
        <v>6</v>
      </c>
      <c r="J430">
        <v>18</v>
      </c>
      <c r="K430" t="str">
        <f t="shared" si="6"/>
        <v>Filtered out</v>
      </c>
    </row>
    <row r="431" spans="1:11" x14ac:dyDescent="0.2">
      <c r="A431" t="s">
        <v>12905</v>
      </c>
      <c r="B431" t="s">
        <v>12393</v>
      </c>
      <c r="C431" t="s">
        <v>12373</v>
      </c>
      <c r="D431">
        <v>5415</v>
      </c>
      <c r="E431">
        <v>6069</v>
      </c>
      <c r="F431">
        <v>-10</v>
      </c>
      <c r="G431" s="13">
        <v>0.93300000000000005</v>
      </c>
      <c r="H431" s="1" t="s">
        <v>12371</v>
      </c>
      <c r="I431">
        <v>1</v>
      </c>
      <c r="J431">
        <v>1796</v>
      </c>
      <c r="K431" t="str">
        <f t="shared" si="6"/>
        <v>Filtered out</v>
      </c>
    </row>
    <row r="432" spans="1:11" x14ac:dyDescent="0.2">
      <c r="A432" t="s">
        <v>12906</v>
      </c>
      <c r="B432" t="s">
        <v>12373</v>
      </c>
      <c r="C432" t="s">
        <v>12373</v>
      </c>
      <c r="D432">
        <v>2594</v>
      </c>
      <c r="E432">
        <v>2839</v>
      </c>
      <c r="F432">
        <v>-8</v>
      </c>
      <c r="G432" s="13">
        <v>0.84899999999999998</v>
      </c>
      <c r="H432" s="1" t="s">
        <v>12371</v>
      </c>
      <c r="I432">
        <v>16</v>
      </c>
      <c r="J432">
        <v>518</v>
      </c>
      <c r="K432" t="str">
        <f t="shared" si="6"/>
        <v>Filtered out</v>
      </c>
    </row>
    <row r="433" spans="1:11" x14ac:dyDescent="0.2">
      <c r="A433" t="s">
        <v>12907</v>
      </c>
      <c r="B433" t="s">
        <v>12601</v>
      </c>
      <c r="C433" t="s">
        <v>12373</v>
      </c>
      <c r="D433">
        <v>1080</v>
      </c>
      <c r="E433">
        <v>1305</v>
      </c>
      <c r="F433">
        <v>-17</v>
      </c>
      <c r="G433" s="13">
        <v>0.96899999999999997</v>
      </c>
      <c r="H433" s="1" t="s">
        <v>12371</v>
      </c>
      <c r="I433">
        <v>1</v>
      </c>
      <c r="J433">
        <v>331</v>
      </c>
      <c r="K433" t="str">
        <f t="shared" si="6"/>
        <v>Filtered out</v>
      </c>
    </row>
    <row r="434" spans="1:11" x14ac:dyDescent="0.2">
      <c r="A434" t="s">
        <v>12908</v>
      </c>
      <c r="B434" t="s">
        <v>12376</v>
      </c>
      <c r="C434" t="s">
        <v>12373</v>
      </c>
      <c r="D434">
        <v>2004</v>
      </c>
      <c r="E434">
        <v>2563</v>
      </c>
      <c r="F434">
        <v>-21</v>
      </c>
      <c r="G434" s="13">
        <v>0.77100000000000002</v>
      </c>
      <c r="H434" s="1" t="s">
        <v>12371</v>
      </c>
      <c r="I434">
        <v>1</v>
      </c>
      <c r="J434">
        <v>637</v>
      </c>
      <c r="K434" t="str">
        <f t="shared" si="6"/>
        <v>Filtered out</v>
      </c>
    </row>
    <row r="435" spans="1:11" x14ac:dyDescent="0.2">
      <c r="A435" t="s">
        <v>12909</v>
      </c>
      <c r="B435" t="s">
        <v>12539</v>
      </c>
      <c r="C435" t="s">
        <v>12373</v>
      </c>
      <c r="D435">
        <v>861</v>
      </c>
      <c r="E435">
        <v>937</v>
      </c>
      <c r="F435">
        <v>-8</v>
      </c>
      <c r="G435" s="13">
        <v>0.96</v>
      </c>
      <c r="H435" s="1" t="s">
        <v>12371</v>
      </c>
      <c r="I435">
        <v>3</v>
      </c>
      <c r="J435">
        <v>202</v>
      </c>
      <c r="K435" t="str">
        <f t="shared" si="6"/>
        <v>Filtered out</v>
      </c>
    </row>
    <row r="436" spans="1:11" x14ac:dyDescent="0.2">
      <c r="A436" t="s">
        <v>12910</v>
      </c>
      <c r="B436" t="s">
        <v>12373</v>
      </c>
      <c r="C436" t="s">
        <v>12373</v>
      </c>
      <c r="D436">
        <v>1305</v>
      </c>
      <c r="E436">
        <v>1892</v>
      </c>
      <c r="F436">
        <v>-31</v>
      </c>
      <c r="G436" s="13">
        <v>0.60699999999999998</v>
      </c>
      <c r="H436" s="1" t="s">
        <v>12371</v>
      </c>
      <c r="I436">
        <v>8</v>
      </c>
      <c r="J436">
        <v>234</v>
      </c>
      <c r="K436" t="str">
        <f t="shared" si="6"/>
        <v>Filtered out</v>
      </c>
    </row>
    <row r="437" spans="1:11" x14ac:dyDescent="0.2">
      <c r="A437" t="s">
        <v>12911</v>
      </c>
      <c r="B437" t="s">
        <v>12373</v>
      </c>
      <c r="C437" t="s">
        <v>12373</v>
      </c>
      <c r="D437">
        <v>1250</v>
      </c>
      <c r="E437">
        <v>2383</v>
      </c>
      <c r="F437">
        <v>-47</v>
      </c>
      <c r="G437" s="13">
        <v>0.53300000000000003</v>
      </c>
      <c r="H437" s="1" t="s">
        <v>12371</v>
      </c>
      <c r="I437">
        <v>4</v>
      </c>
      <c r="J437">
        <v>242</v>
      </c>
      <c r="K437" t="str">
        <f t="shared" si="6"/>
        <v>Filtered out</v>
      </c>
    </row>
    <row r="438" spans="1:11" x14ac:dyDescent="0.2">
      <c r="A438" t="s">
        <v>12912</v>
      </c>
      <c r="B438" t="s">
        <v>12565</v>
      </c>
      <c r="C438" t="s">
        <v>12413</v>
      </c>
      <c r="D438">
        <v>1074</v>
      </c>
      <c r="E438">
        <v>880</v>
      </c>
      <c r="F438">
        <v>22</v>
      </c>
      <c r="G438" s="13">
        <v>0.76600000000000001</v>
      </c>
      <c r="H438" s="1" t="s">
        <v>12437</v>
      </c>
      <c r="I438">
        <v>0</v>
      </c>
      <c r="J438" t="s">
        <v>12438</v>
      </c>
      <c r="K438" t="str">
        <f t="shared" si="6"/>
        <v>Filtered out</v>
      </c>
    </row>
    <row r="439" spans="1:11" x14ac:dyDescent="0.2">
      <c r="A439" t="s">
        <v>12913</v>
      </c>
      <c r="B439" t="s">
        <v>12405</v>
      </c>
      <c r="C439" t="s">
        <v>12405</v>
      </c>
      <c r="D439">
        <v>1023</v>
      </c>
      <c r="E439">
        <v>1024</v>
      </c>
      <c r="F439">
        <v>0</v>
      </c>
      <c r="G439" s="13">
        <v>0.88</v>
      </c>
      <c r="H439" s="1" t="s">
        <v>12371</v>
      </c>
      <c r="I439">
        <v>4</v>
      </c>
      <c r="J439">
        <v>135</v>
      </c>
      <c r="K439" t="str">
        <f t="shared" si="6"/>
        <v>Filtered out</v>
      </c>
    </row>
    <row r="440" spans="1:11" x14ac:dyDescent="0.2">
      <c r="A440" t="s">
        <v>12914</v>
      </c>
      <c r="B440" t="s">
        <v>12373</v>
      </c>
      <c r="C440" t="s">
        <v>12373</v>
      </c>
      <c r="D440">
        <v>5036</v>
      </c>
      <c r="E440">
        <v>5032</v>
      </c>
      <c r="F440">
        <v>0</v>
      </c>
      <c r="G440" s="13">
        <v>0.995</v>
      </c>
      <c r="H440" s="1" t="s">
        <v>12371</v>
      </c>
      <c r="I440">
        <v>37</v>
      </c>
      <c r="J440">
        <v>1105</v>
      </c>
      <c r="K440" t="str">
        <f t="shared" si="6"/>
        <v>Retained</v>
      </c>
    </row>
    <row r="441" spans="1:11" x14ac:dyDescent="0.2">
      <c r="A441" t="s">
        <v>12915</v>
      </c>
      <c r="B441" t="s">
        <v>12916</v>
      </c>
      <c r="C441" t="s">
        <v>12373</v>
      </c>
      <c r="D441">
        <v>899</v>
      </c>
      <c r="E441">
        <v>2866</v>
      </c>
      <c r="F441">
        <v>-68</v>
      </c>
      <c r="G441" s="13">
        <v>0.70699999999999996</v>
      </c>
      <c r="H441" s="1" t="s">
        <v>12371</v>
      </c>
      <c r="I441">
        <v>8</v>
      </c>
      <c r="J441">
        <v>84</v>
      </c>
      <c r="K441" t="str">
        <f t="shared" si="6"/>
        <v>Filtered out</v>
      </c>
    </row>
    <row r="442" spans="1:11" x14ac:dyDescent="0.2">
      <c r="A442" t="s">
        <v>12917</v>
      </c>
      <c r="B442" t="s">
        <v>12373</v>
      </c>
      <c r="C442" t="s">
        <v>12373</v>
      </c>
      <c r="D442">
        <v>2177</v>
      </c>
      <c r="E442">
        <v>2176</v>
      </c>
      <c r="F442">
        <v>0</v>
      </c>
      <c r="G442" s="13">
        <v>0.77700000000000002</v>
      </c>
      <c r="H442" s="1" t="s">
        <v>12371</v>
      </c>
      <c r="I442">
        <v>23</v>
      </c>
      <c r="J442">
        <v>454</v>
      </c>
      <c r="K442" t="str">
        <f t="shared" si="6"/>
        <v>Filtered out</v>
      </c>
    </row>
    <row r="443" spans="1:11" x14ac:dyDescent="0.2">
      <c r="A443" t="s">
        <v>12918</v>
      </c>
      <c r="B443" t="s">
        <v>12373</v>
      </c>
      <c r="C443" t="s">
        <v>12373</v>
      </c>
      <c r="D443">
        <v>1524</v>
      </c>
      <c r="E443">
        <v>1522</v>
      </c>
      <c r="F443">
        <v>0</v>
      </c>
      <c r="G443" s="13">
        <v>0.96</v>
      </c>
      <c r="H443" s="1" t="s">
        <v>12371</v>
      </c>
      <c r="I443">
        <v>25</v>
      </c>
      <c r="J443">
        <v>92</v>
      </c>
      <c r="K443" t="str">
        <f t="shared" si="6"/>
        <v>Retained</v>
      </c>
    </row>
    <row r="444" spans="1:11" x14ac:dyDescent="0.2">
      <c r="A444" t="s">
        <v>12918</v>
      </c>
      <c r="B444" t="s">
        <v>12373</v>
      </c>
      <c r="C444" t="s">
        <v>12373</v>
      </c>
      <c r="D444">
        <v>1524</v>
      </c>
      <c r="E444">
        <v>1522</v>
      </c>
      <c r="F444">
        <v>0</v>
      </c>
      <c r="G444" s="13">
        <v>0.96</v>
      </c>
      <c r="H444" s="1" t="s">
        <v>12371</v>
      </c>
      <c r="I444">
        <v>25</v>
      </c>
      <c r="J444">
        <v>92</v>
      </c>
      <c r="K444" t="str">
        <f t="shared" si="6"/>
        <v>Retained</v>
      </c>
    </row>
    <row r="445" spans="1:11" x14ac:dyDescent="0.2">
      <c r="A445" t="s">
        <v>12919</v>
      </c>
      <c r="B445" t="s">
        <v>12373</v>
      </c>
      <c r="C445" t="s">
        <v>12373</v>
      </c>
      <c r="D445">
        <v>243</v>
      </c>
      <c r="E445">
        <v>241</v>
      </c>
      <c r="F445">
        <v>0</v>
      </c>
      <c r="G445" s="13">
        <v>0.96</v>
      </c>
      <c r="H445" s="1" t="s">
        <v>12437</v>
      </c>
      <c r="I445">
        <v>0</v>
      </c>
      <c r="J445" t="s">
        <v>12438</v>
      </c>
      <c r="K445" t="str">
        <f t="shared" si="6"/>
        <v>Filtered out</v>
      </c>
    </row>
    <row r="446" spans="1:11" x14ac:dyDescent="0.2">
      <c r="A446" t="s">
        <v>12920</v>
      </c>
      <c r="B446" t="s">
        <v>12796</v>
      </c>
      <c r="C446" t="s">
        <v>12796</v>
      </c>
      <c r="D446">
        <v>597</v>
      </c>
      <c r="E446">
        <v>598</v>
      </c>
      <c r="F446">
        <v>0</v>
      </c>
      <c r="G446" s="13">
        <v>0.93300000000000005</v>
      </c>
      <c r="H446" s="1" t="s">
        <v>12437</v>
      </c>
      <c r="I446">
        <v>0</v>
      </c>
      <c r="J446" t="s">
        <v>12438</v>
      </c>
      <c r="K446" t="str">
        <f t="shared" si="6"/>
        <v>Filtered out</v>
      </c>
    </row>
    <row r="447" spans="1:11" x14ac:dyDescent="0.2">
      <c r="A447" t="s">
        <v>12921</v>
      </c>
      <c r="B447" t="s">
        <v>12565</v>
      </c>
      <c r="C447" t="s">
        <v>12565</v>
      </c>
      <c r="D447">
        <v>510</v>
      </c>
      <c r="E447">
        <v>510</v>
      </c>
      <c r="F447">
        <v>0</v>
      </c>
      <c r="G447" s="13">
        <v>0.91700000000000004</v>
      </c>
      <c r="H447" s="1" t="s">
        <v>12371</v>
      </c>
      <c r="I447">
        <v>1</v>
      </c>
      <c r="J447">
        <v>110</v>
      </c>
      <c r="K447" t="str">
        <f t="shared" si="6"/>
        <v>Retained</v>
      </c>
    </row>
    <row r="448" spans="1:11" x14ac:dyDescent="0.2">
      <c r="A448" t="s">
        <v>12922</v>
      </c>
      <c r="B448" t="s">
        <v>12574</v>
      </c>
      <c r="C448" t="s">
        <v>12436</v>
      </c>
      <c r="D448">
        <v>483</v>
      </c>
      <c r="E448">
        <v>1048</v>
      </c>
      <c r="F448">
        <v>-53</v>
      </c>
      <c r="G448" s="13">
        <v>0.92700000000000005</v>
      </c>
      <c r="H448" s="1" t="s">
        <v>12437</v>
      </c>
      <c r="I448">
        <v>0</v>
      </c>
      <c r="J448" t="s">
        <v>12438</v>
      </c>
      <c r="K448" t="str">
        <f t="shared" si="6"/>
        <v>Filtered out</v>
      </c>
    </row>
    <row r="449" spans="1:11" x14ac:dyDescent="0.2">
      <c r="A449" t="s">
        <v>12923</v>
      </c>
      <c r="B449" t="s">
        <v>12812</v>
      </c>
      <c r="C449" t="s">
        <v>12373</v>
      </c>
      <c r="D449">
        <v>882</v>
      </c>
      <c r="E449">
        <v>1102</v>
      </c>
      <c r="F449">
        <v>-19</v>
      </c>
      <c r="G449" s="13">
        <v>0.45300000000000001</v>
      </c>
      <c r="H449" s="1" t="s">
        <v>12371</v>
      </c>
      <c r="I449">
        <v>5</v>
      </c>
      <c r="J449">
        <v>161</v>
      </c>
      <c r="K449" t="str">
        <f t="shared" si="6"/>
        <v>Filtered out</v>
      </c>
    </row>
    <row r="450" spans="1:11" x14ac:dyDescent="0.2">
      <c r="A450" t="s">
        <v>12924</v>
      </c>
      <c r="B450" t="s">
        <v>12373</v>
      </c>
      <c r="C450" t="s">
        <v>12373</v>
      </c>
      <c r="D450">
        <v>2907</v>
      </c>
      <c r="E450">
        <v>2911</v>
      </c>
      <c r="F450">
        <v>0</v>
      </c>
      <c r="G450" s="13">
        <v>1</v>
      </c>
      <c r="H450" s="1" t="s">
        <v>12371</v>
      </c>
      <c r="I450">
        <v>37</v>
      </c>
      <c r="J450">
        <v>171</v>
      </c>
      <c r="K450" t="str">
        <f t="shared" si="6"/>
        <v>Filtered out</v>
      </c>
    </row>
    <row r="451" spans="1:11" x14ac:dyDescent="0.2">
      <c r="A451" t="s">
        <v>12925</v>
      </c>
      <c r="B451" t="s">
        <v>12373</v>
      </c>
      <c r="C451" t="s">
        <v>12373</v>
      </c>
      <c r="D451">
        <v>926</v>
      </c>
      <c r="E451">
        <v>925</v>
      </c>
      <c r="F451">
        <v>0</v>
      </c>
      <c r="G451" s="13">
        <v>0.99399999999999999</v>
      </c>
      <c r="H451" s="1" t="s">
        <v>12371</v>
      </c>
      <c r="I451">
        <v>4</v>
      </c>
      <c r="J451">
        <v>196</v>
      </c>
      <c r="K451" t="str">
        <f t="shared" si="6"/>
        <v>Retained</v>
      </c>
    </row>
    <row r="452" spans="1:11" x14ac:dyDescent="0.2">
      <c r="A452" t="s">
        <v>12926</v>
      </c>
      <c r="B452" t="s">
        <v>12373</v>
      </c>
      <c r="C452" t="s">
        <v>12373</v>
      </c>
      <c r="D452">
        <v>780</v>
      </c>
      <c r="E452">
        <v>780</v>
      </c>
      <c r="F452">
        <v>0</v>
      </c>
      <c r="G452" s="13">
        <v>0.99199999999999999</v>
      </c>
      <c r="H452" s="1" t="s">
        <v>12371</v>
      </c>
      <c r="I452">
        <v>1</v>
      </c>
      <c r="J452">
        <v>254</v>
      </c>
      <c r="K452" t="str">
        <f t="shared" si="6"/>
        <v>Retained</v>
      </c>
    </row>
    <row r="453" spans="1:11" x14ac:dyDescent="0.2">
      <c r="A453" t="s">
        <v>12927</v>
      </c>
      <c r="B453" t="s">
        <v>12373</v>
      </c>
      <c r="C453" t="s">
        <v>12456</v>
      </c>
      <c r="D453">
        <v>1208</v>
      </c>
      <c r="E453">
        <v>943</v>
      </c>
      <c r="F453">
        <v>28</v>
      </c>
      <c r="G453" s="13">
        <v>0.73</v>
      </c>
      <c r="H453" s="1" t="s">
        <v>12371</v>
      </c>
      <c r="I453">
        <v>9</v>
      </c>
      <c r="J453">
        <v>218</v>
      </c>
      <c r="K453" t="str">
        <f t="shared" si="6"/>
        <v>Filtered out</v>
      </c>
    </row>
    <row r="454" spans="1:11" x14ac:dyDescent="0.2">
      <c r="A454" t="s">
        <v>12928</v>
      </c>
      <c r="B454" t="s">
        <v>12463</v>
      </c>
      <c r="C454" t="s">
        <v>12416</v>
      </c>
      <c r="D454">
        <v>10880</v>
      </c>
      <c r="E454">
        <v>13117</v>
      </c>
      <c r="F454">
        <v>-17</v>
      </c>
      <c r="G454" s="13">
        <v>0.36399999999999999</v>
      </c>
      <c r="H454" s="1" t="s">
        <v>12371</v>
      </c>
      <c r="I454">
        <v>63</v>
      </c>
      <c r="J454">
        <v>993</v>
      </c>
      <c r="K454" t="str">
        <f t="shared" si="6"/>
        <v>Filtered out</v>
      </c>
    </row>
    <row r="455" spans="1:11" x14ac:dyDescent="0.2">
      <c r="A455" t="s">
        <v>12929</v>
      </c>
      <c r="B455" t="s">
        <v>12370</v>
      </c>
      <c r="C455" t="s">
        <v>12370</v>
      </c>
      <c r="D455">
        <v>2315</v>
      </c>
      <c r="E455">
        <v>2323</v>
      </c>
      <c r="F455">
        <v>0</v>
      </c>
      <c r="G455" s="13">
        <v>0.91200000000000003</v>
      </c>
      <c r="H455" s="1" t="s">
        <v>12371</v>
      </c>
      <c r="I455">
        <v>1</v>
      </c>
      <c r="J455">
        <v>728</v>
      </c>
      <c r="K455" t="str">
        <f t="shared" si="6"/>
        <v>Retained</v>
      </c>
    </row>
    <row r="456" spans="1:11" x14ac:dyDescent="0.2">
      <c r="A456" t="s">
        <v>12930</v>
      </c>
      <c r="B456" t="s">
        <v>12574</v>
      </c>
      <c r="C456" t="s">
        <v>12931</v>
      </c>
      <c r="D456">
        <v>420</v>
      </c>
      <c r="E456">
        <v>1759</v>
      </c>
      <c r="F456">
        <v>-76</v>
      </c>
      <c r="G456" s="13">
        <v>1</v>
      </c>
      <c r="H456" s="1" t="s">
        <v>12371</v>
      </c>
      <c r="I456">
        <v>2</v>
      </c>
      <c r="J456">
        <v>123</v>
      </c>
      <c r="K456" t="str">
        <f t="shared" si="6"/>
        <v>Filtered out</v>
      </c>
    </row>
    <row r="457" spans="1:11" x14ac:dyDescent="0.2">
      <c r="A457" t="s">
        <v>12932</v>
      </c>
      <c r="B457" t="s">
        <v>12376</v>
      </c>
      <c r="C457" t="s">
        <v>12678</v>
      </c>
      <c r="D457">
        <v>614</v>
      </c>
      <c r="E457">
        <v>664</v>
      </c>
      <c r="F457">
        <v>-7</v>
      </c>
      <c r="G457" s="13">
        <v>0.92200000000000004</v>
      </c>
      <c r="H457" s="1" t="s">
        <v>12437</v>
      </c>
      <c r="I457">
        <v>0</v>
      </c>
      <c r="J457" t="s">
        <v>12438</v>
      </c>
      <c r="K457" t="str">
        <f t="shared" ref="K457:K520" si="7">IF(AND(B457=C457,F457&lt;10,F457&gt;-10,I457&gt;0,G457&gt;90%,G457&lt;100%),"Retained","Filtered out")</f>
        <v>Filtered out</v>
      </c>
    </row>
    <row r="458" spans="1:11" x14ac:dyDescent="0.2">
      <c r="A458" t="s">
        <v>12933</v>
      </c>
      <c r="B458" t="s">
        <v>12373</v>
      </c>
      <c r="C458" t="s">
        <v>12373</v>
      </c>
      <c r="D458">
        <v>5501</v>
      </c>
      <c r="E458">
        <v>5491</v>
      </c>
      <c r="F458">
        <v>0</v>
      </c>
      <c r="G458" s="13">
        <v>0.98199999999999998</v>
      </c>
      <c r="H458" s="1" t="s">
        <v>12371</v>
      </c>
      <c r="I458">
        <v>5</v>
      </c>
      <c r="J458">
        <v>1779</v>
      </c>
      <c r="K458" t="str">
        <f t="shared" si="7"/>
        <v>Retained</v>
      </c>
    </row>
    <row r="459" spans="1:11" x14ac:dyDescent="0.2">
      <c r="A459" t="s">
        <v>12934</v>
      </c>
      <c r="B459" t="s">
        <v>12373</v>
      </c>
      <c r="C459" t="s">
        <v>12373</v>
      </c>
      <c r="D459">
        <v>3273</v>
      </c>
      <c r="E459">
        <v>3283</v>
      </c>
      <c r="F459">
        <v>0</v>
      </c>
      <c r="G459" s="13">
        <v>1</v>
      </c>
      <c r="H459" s="1" t="s">
        <v>12371</v>
      </c>
      <c r="I459">
        <v>43</v>
      </c>
      <c r="J459">
        <v>123</v>
      </c>
      <c r="K459" t="str">
        <f t="shared" si="7"/>
        <v>Filtered out</v>
      </c>
    </row>
    <row r="460" spans="1:11" x14ac:dyDescent="0.2">
      <c r="A460" t="s">
        <v>12935</v>
      </c>
      <c r="B460" t="s">
        <v>12428</v>
      </c>
      <c r="C460" t="s">
        <v>12373</v>
      </c>
      <c r="D460">
        <v>2466</v>
      </c>
      <c r="E460">
        <v>2913</v>
      </c>
      <c r="F460">
        <v>-15</v>
      </c>
      <c r="G460" s="13">
        <v>0.97099999999999997</v>
      </c>
      <c r="H460" s="1" t="s">
        <v>12371</v>
      </c>
      <c r="I460">
        <v>3</v>
      </c>
      <c r="J460">
        <v>747</v>
      </c>
      <c r="K460" t="str">
        <f t="shared" si="7"/>
        <v>Filtered out</v>
      </c>
    </row>
    <row r="461" spans="1:11" x14ac:dyDescent="0.2">
      <c r="A461" t="s">
        <v>12936</v>
      </c>
      <c r="B461" t="s">
        <v>12373</v>
      </c>
      <c r="C461" t="s">
        <v>12373</v>
      </c>
      <c r="D461">
        <v>999</v>
      </c>
      <c r="E461">
        <v>1030</v>
      </c>
      <c r="F461">
        <v>-3</v>
      </c>
      <c r="G461" s="13">
        <v>0.83499999999999996</v>
      </c>
      <c r="H461" s="1" t="s">
        <v>12437</v>
      </c>
      <c r="I461">
        <v>0</v>
      </c>
      <c r="J461" t="s">
        <v>12438</v>
      </c>
      <c r="K461" t="str">
        <f t="shared" si="7"/>
        <v>Filtered out</v>
      </c>
    </row>
    <row r="462" spans="1:11" x14ac:dyDescent="0.2">
      <c r="A462" t="s">
        <v>12937</v>
      </c>
      <c r="B462" t="s">
        <v>12425</v>
      </c>
      <c r="C462" t="s">
        <v>12373</v>
      </c>
      <c r="D462">
        <v>2655</v>
      </c>
      <c r="E462">
        <v>7586</v>
      </c>
      <c r="F462">
        <v>-65</v>
      </c>
      <c r="G462" s="13">
        <v>0.85</v>
      </c>
      <c r="H462" s="1" t="s">
        <v>12371</v>
      </c>
      <c r="I462">
        <v>33</v>
      </c>
      <c r="J462">
        <v>148</v>
      </c>
      <c r="K462" t="str">
        <f t="shared" si="7"/>
        <v>Filtered out</v>
      </c>
    </row>
    <row r="463" spans="1:11" x14ac:dyDescent="0.2">
      <c r="A463" t="s">
        <v>12938</v>
      </c>
      <c r="B463" t="s">
        <v>12463</v>
      </c>
      <c r="C463" t="s">
        <v>12463</v>
      </c>
      <c r="D463">
        <v>1119</v>
      </c>
      <c r="E463">
        <v>1123</v>
      </c>
      <c r="F463">
        <v>0</v>
      </c>
      <c r="G463" s="13">
        <v>0.995</v>
      </c>
      <c r="H463" s="1" t="s">
        <v>12371</v>
      </c>
      <c r="I463">
        <v>19</v>
      </c>
      <c r="J463">
        <v>205</v>
      </c>
      <c r="K463" t="str">
        <f t="shared" si="7"/>
        <v>Retained</v>
      </c>
    </row>
    <row r="464" spans="1:11" x14ac:dyDescent="0.2">
      <c r="A464" t="s">
        <v>12939</v>
      </c>
      <c r="B464" t="s">
        <v>12393</v>
      </c>
      <c r="C464" t="s">
        <v>12382</v>
      </c>
      <c r="D464">
        <v>1857</v>
      </c>
      <c r="E464">
        <v>1843</v>
      </c>
      <c r="F464">
        <v>0</v>
      </c>
      <c r="G464" s="13">
        <v>0.496</v>
      </c>
      <c r="H464" s="1" t="s">
        <v>12371</v>
      </c>
      <c r="I464">
        <v>10</v>
      </c>
      <c r="J464">
        <v>399</v>
      </c>
      <c r="K464" t="str">
        <f t="shared" si="7"/>
        <v>Filtered out</v>
      </c>
    </row>
    <row r="465" spans="1:11" x14ac:dyDescent="0.2">
      <c r="A465" t="s">
        <v>12940</v>
      </c>
      <c r="B465" t="s">
        <v>12726</v>
      </c>
      <c r="C465" t="s">
        <v>12726</v>
      </c>
      <c r="D465">
        <v>1400</v>
      </c>
      <c r="E465">
        <v>698</v>
      </c>
      <c r="F465">
        <v>100</v>
      </c>
      <c r="G465" s="13">
        <v>0.97</v>
      </c>
      <c r="H465" s="1" t="s">
        <v>12371</v>
      </c>
      <c r="I465">
        <v>2</v>
      </c>
      <c r="J465">
        <v>408</v>
      </c>
      <c r="K465" t="str">
        <f t="shared" si="7"/>
        <v>Filtered out</v>
      </c>
    </row>
    <row r="466" spans="1:11" x14ac:dyDescent="0.2">
      <c r="A466" t="s">
        <v>12941</v>
      </c>
      <c r="B466" t="s">
        <v>12467</v>
      </c>
      <c r="C466" t="s">
        <v>12416</v>
      </c>
      <c r="D466">
        <v>2232</v>
      </c>
      <c r="E466">
        <v>3733</v>
      </c>
      <c r="F466">
        <v>-40</v>
      </c>
      <c r="G466" s="13">
        <v>0.51700000000000002</v>
      </c>
      <c r="H466" s="1" t="s">
        <v>12371</v>
      </c>
      <c r="I466">
        <v>23</v>
      </c>
      <c r="J466">
        <v>189</v>
      </c>
      <c r="K466" t="str">
        <f t="shared" si="7"/>
        <v>Filtered out</v>
      </c>
    </row>
    <row r="467" spans="1:11" x14ac:dyDescent="0.2">
      <c r="A467" t="s">
        <v>12942</v>
      </c>
      <c r="B467" t="s">
        <v>12536</v>
      </c>
      <c r="C467" t="s">
        <v>12726</v>
      </c>
      <c r="D467">
        <v>954</v>
      </c>
      <c r="E467">
        <v>550</v>
      </c>
      <c r="F467">
        <v>73</v>
      </c>
      <c r="G467" s="13">
        <v>0.91900000000000004</v>
      </c>
      <c r="H467" s="1" t="s">
        <v>12371</v>
      </c>
      <c r="I467">
        <v>1</v>
      </c>
      <c r="J467">
        <v>304</v>
      </c>
      <c r="K467" t="str">
        <f t="shared" si="7"/>
        <v>Filtered out</v>
      </c>
    </row>
    <row r="468" spans="1:11" x14ac:dyDescent="0.2">
      <c r="A468" t="s">
        <v>12943</v>
      </c>
      <c r="B468" t="s">
        <v>12726</v>
      </c>
      <c r="C468" t="s">
        <v>12726</v>
      </c>
      <c r="D468">
        <v>1014</v>
      </c>
      <c r="E468">
        <v>430</v>
      </c>
      <c r="F468">
        <v>135</v>
      </c>
      <c r="G468" s="13">
        <v>0.86499999999999999</v>
      </c>
      <c r="H468" s="1" t="s">
        <v>12437</v>
      </c>
      <c r="I468">
        <v>0</v>
      </c>
      <c r="J468" t="s">
        <v>12438</v>
      </c>
      <c r="K468" t="str">
        <f t="shared" si="7"/>
        <v>Filtered out</v>
      </c>
    </row>
    <row r="469" spans="1:11" x14ac:dyDescent="0.2">
      <c r="A469" t="s">
        <v>12944</v>
      </c>
      <c r="B469" t="s">
        <v>12726</v>
      </c>
      <c r="C469" t="s">
        <v>12726</v>
      </c>
      <c r="D469">
        <v>1014</v>
      </c>
      <c r="E469">
        <v>430</v>
      </c>
      <c r="F469">
        <v>135</v>
      </c>
      <c r="G469" s="13">
        <v>0.86499999999999999</v>
      </c>
      <c r="H469" s="1" t="s">
        <v>12437</v>
      </c>
      <c r="I469">
        <v>0</v>
      </c>
      <c r="J469" t="s">
        <v>12438</v>
      </c>
      <c r="K469" t="str">
        <f t="shared" si="7"/>
        <v>Filtered out</v>
      </c>
    </row>
    <row r="470" spans="1:11" x14ac:dyDescent="0.2">
      <c r="A470" t="s">
        <v>12945</v>
      </c>
      <c r="B470" t="s">
        <v>12646</v>
      </c>
      <c r="C470" t="s">
        <v>12373</v>
      </c>
      <c r="D470">
        <v>6596</v>
      </c>
      <c r="E470">
        <v>6676</v>
      </c>
      <c r="F470">
        <v>-1</v>
      </c>
      <c r="G470" s="13">
        <v>0.29599999999999999</v>
      </c>
      <c r="H470" s="1" t="s">
        <v>12371</v>
      </c>
      <c r="I470">
        <v>107</v>
      </c>
      <c r="J470">
        <v>99</v>
      </c>
      <c r="K470" t="str">
        <f t="shared" si="7"/>
        <v>Filtered out</v>
      </c>
    </row>
    <row r="471" spans="1:11" x14ac:dyDescent="0.2">
      <c r="A471" t="s">
        <v>12946</v>
      </c>
      <c r="B471" t="s">
        <v>12428</v>
      </c>
      <c r="C471" t="s">
        <v>12373</v>
      </c>
      <c r="D471">
        <v>416</v>
      </c>
      <c r="E471">
        <v>829</v>
      </c>
      <c r="F471">
        <v>-49</v>
      </c>
      <c r="G471" s="13">
        <v>0.52900000000000003</v>
      </c>
      <c r="H471" s="1" t="s">
        <v>12371</v>
      </c>
      <c r="I471">
        <v>5</v>
      </c>
      <c r="J471">
        <v>78</v>
      </c>
      <c r="K471" t="str">
        <f t="shared" si="7"/>
        <v>Filtered out</v>
      </c>
    </row>
    <row r="472" spans="1:11" x14ac:dyDescent="0.2">
      <c r="A472" t="s">
        <v>12947</v>
      </c>
      <c r="B472" t="s">
        <v>12423</v>
      </c>
      <c r="C472" t="s">
        <v>12373</v>
      </c>
      <c r="D472">
        <v>566</v>
      </c>
      <c r="E472">
        <v>1015</v>
      </c>
      <c r="F472">
        <v>-44</v>
      </c>
      <c r="G472" s="13">
        <v>0.65</v>
      </c>
      <c r="H472" s="1" t="s">
        <v>12371</v>
      </c>
      <c r="I472">
        <v>5</v>
      </c>
      <c r="J472">
        <v>98</v>
      </c>
      <c r="K472" t="str">
        <f t="shared" si="7"/>
        <v>Filtered out</v>
      </c>
    </row>
    <row r="473" spans="1:11" x14ac:dyDescent="0.2">
      <c r="A473" t="s">
        <v>12948</v>
      </c>
      <c r="B473" t="s">
        <v>12373</v>
      </c>
      <c r="C473" t="s">
        <v>12373</v>
      </c>
      <c r="D473">
        <v>2504</v>
      </c>
      <c r="E473">
        <v>4321</v>
      </c>
      <c r="F473">
        <v>-42</v>
      </c>
      <c r="G473" s="13">
        <v>0.44600000000000001</v>
      </c>
      <c r="H473" s="1" t="s">
        <v>12371</v>
      </c>
      <c r="I473">
        <v>27</v>
      </c>
      <c r="J473">
        <v>106</v>
      </c>
      <c r="K473" t="str">
        <f t="shared" si="7"/>
        <v>Filtered out</v>
      </c>
    </row>
    <row r="474" spans="1:11" x14ac:dyDescent="0.2">
      <c r="A474" t="s">
        <v>12949</v>
      </c>
      <c r="B474" t="s">
        <v>12382</v>
      </c>
      <c r="C474" t="s">
        <v>12382</v>
      </c>
      <c r="D474">
        <v>1383</v>
      </c>
      <c r="E474">
        <v>1378</v>
      </c>
      <c r="F474">
        <v>0</v>
      </c>
      <c r="G474" s="13">
        <v>0.94</v>
      </c>
      <c r="H474" s="1" t="s">
        <v>12437</v>
      </c>
      <c r="I474">
        <v>0</v>
      </c>
      <c r="J474" t="s">
        <v>12438</v>
      </c>
      <c r="K474" t="str">
        <f t="shared" si="7"/>
        <v>Filtered out</v>
      </c>
    </row>
    <row r="475" spans="1:11" x14ac:dyDescent="0.2">
      <c r="A475" t="s">
        <v>12950</v>
      </c>
      <c r="B475" t="s">
        <v>12400</v>
      </c>
      <c r="C475" t="s">
        <v>12400</v>
      </c>
      <c r="D475">
        <v>1592</v>
      </c>
      <c r="E475">
        <v>1603</v>
      </c>
      <c r="F475">
        <v>0</v>
      </c>
      <c r="G475" s="13">
        <v>1</v>
      </c>
      <c r="H475" s="1" t="s">
        <v>12371</v>
      </c>
      <c r="I475">
        <v>16</v>
      </c>
      <c r="J475">
        <v>341</v>
      </c>
      <c r="K475" t="str">
        <f t="shared" si="7"/>
        <v>Filtered out</v>
      </c>
    </row>
    <row r="476" spans="1:11" x14ac:dyDescent="0.2">
      <c r="A476" t="s">
        <v>12951</v>
      </c>
      <c r="B476" t="s">
        <v>12379</v>
      </c>
      <c r="C476" t="s">
        <v>12379</v>
      </c>
      <c r="D476">
        <v>1601</v>
      </c>
      <c r="E476">
        <v>1597</v>
      </c>
      <c r="F476">
        <v>0</v>
      </c>
      <c r="G476" s="13">
        <v>0.98099999999999998</v>
      </c>
      <c r="H476" s="1" t="s">
        <v>12371</v>
      </c>
      <c r="I476">
        <v>21</v>
      </c>
      <c r="J476">
        <v>73</v>
      </c>
      <c r="K476" t="str">
        <f t="shared" si="7"/>
        <v>Retained</v>
      </c>
    </row>
    <row r="477" spans="1:11" x14ac:dyDescent="0.2">
      <c r="A477" t="s">
        <v>12952</v>
      </c>
      <c r="B477" t="s">
        <v>12601</v>
      </c>
      <c r="C477" t="s">
        <v>12428</v>
      </c>
      <c r="D477">
        <v>1440</v>
      </c>
      <c r="E477">
        <v>2149</v>
      </c>
      <c r="F477">
        <v>-32</v>
      </c>
      <c r="G477" s="13">
        <v>0.23799999999999999</v>
      </c>
      <c r="H477" s="1" t="s">
        <v>12371</v>
      </c>
      <c r="I477">
        <v>13</v>
      </c>
      <c r="J477">
        <v>57</v>
      </c>
      <c r="K477" t="str">
        <f t="shared" si="7"/>
        <v>Filtered out</v>
      </c>
    </row>
    <row r="478" spans="1:11" x14ac:dyDescent="0.2">
      <c r="A478" t="s">
        <v>12953</v>
      </c>
      <c r="B478" t="s">
        <v>12373</v>
      </c>
      <c r="C478" t="s">
        <v>12373</v>
      </c>
      <c r="D478">
        <v>408</v>
      </c>
      <c r="E478">
        <v>676</v>
      </c>
      <c r="F478">
        <v>-39</v>
      </c>
      <c r="G478" s="13">
        <v>0.81499999999999995</v>
      </c>
      <c r="H478" s="1" t="s">
        <v>12371</v>
      </c>
      <c r="I478">
        <v>1</v>
      </c>
      <c r="J478">
        <v>119</v>
      </c>
      <c r="K478" t="str">
        <f t="shared" si="7"/>
        <v>Filtered out</v>
      </c>
    </row>
    <row r="479" spans="1:11" x14ac:dyDescent="0.2">
      <c r="A479" t="s">
        <v>12954</v>
      </c>
      <c r="B479" t="s">
        <v>12373</v>
      </c>
      <c r="C479" t="s">
        <v>12373</v>
      </c>
      <c r="D479">
        <v>524</v>
      </c>
      <c r="E479">
        <v>532</v>
      </c>
      <c r="F479">
        <v>-1</v>
      </c>
      <c r="G479" s="13">
        <v>0.96399999999999997</v>
      </c>
      <c r="H479" s="1" t="s">
        <v>12371</v>
      </c>
      <c r="I479">
        <v>5</v>
      </c>
      <c r="J479">
        <v>83</v>
      </c>
      <c r="K479" t="str">
        <f t="shared" si="7"/>
        <v>Retained</v>
      </c>
    </row>
    <row r="480" spans="1:11" x14ac:dyDescent="0.2">
      <c r="A480" t="s">
        <v>12955</v>
      </c>
      <c r="B480" t="s">
        <v>12373</v>
      </c>
      <c r="C480" t="s">
        <v>12373</v>
      </c>
      <c r="D480">
        <v>924</v>
      </c>
      <c r="E480">
        <v>918</v>
      </c>
      <c r="F480">
        <v>0</v>
      </c>
      <c r="G480" s="13">
        <v>0.84199999999999997</v>
      </c>
      <c r="H480" s="1" t="s">
        <v>12371</v>
      </c>
      <c r="I480">
        <v>4</v>
      </c>
      <c r="J480">
        <v>134</v>
      </c>
      <c r="K480" t="str">
        <f t="shared" si="7"/>
        <v>Filtered out</v>
      </c>
    </row>
    <row r="481" spans="1:11" x14ac:dyDescent="0.2">
      <c r="A481" t="s">
        <v>12956</v>
      </c>
      <c r="B481" t="s">
        <v>12379</v>
      </c>
      <c r="C481" t="s">
        <v>12379</v>
      </c>
      <c r="D481">
        <v>6998</v>
      </c>
      <c r="E481">
        <v>8491</v>
      </c>
      <c r="F481">
        <v>-17</v>
      </c>
      <c r="G481" s="13">
        <v>0.97</v>
      </c>
      <c r="H481" s="1" t="s">
        <v>12371</v>
      </c>
      <c r="I481">
        <v>6</v>
      </c>
      <c r="J481">
        <v>2110</v>
      </c>
      <c r="K481" t="str">
        <f t="shared" si="7"/>
        <v>Filtered out</v>
      </c>
    </row>
    <row r="482" spans="1:11" x14ac:dyDescent="0.2">
      <c r="A482" t="s">
        <v>12957</v>
      </c>
      <c r="B482" t="s">
        <v>12574</v>
      </c>
      <c r="C482" t="s">
        <v>12373</v>
      </c>
      <c r="D482">
        <v>1901</v>
      </c>
      <c r="E482">
        <v>1948</v>
      </c>
      <c r="F482">
        <v>-2</v>
      </c>
      <c r="G482" s="13">
        <v>0.95199999999999996</v>
      </c>
      <c r="H482" s="1" t="s">
        <v>12371</v>
      </c>
      <c r="I482">
        <v>79</v>
      </c>
      <c r="J482">
        <v>310</v>
      </c>
      <c r="K482" t="str">
        <f t="shared" si="7"/>
        <v>Filtered out</v>
      </c>
    </row>
    <row r="483" spans="1:11" x14ac:dyDescent="0.2">
      <c r="A483" t="s">
        <v>12958</v>
      </c>
      <c r="B483" t="s">
        <v>12460</v>
      </c>
      <c r="C483" t="s">
        <v>12431</v>
      </c>
      <c r="D483">
        <v>1581</v>
      </c>
      <c r="E483">
        <v>2440</v>
      </c>
      <c r="F483">
        <v>-35</v>
      </c>
      <c r="G483" s="13">
        <v>0.28999999999999998</v>
      </c>
      <c r="H483" s="1" t="s">
        <v>12371</v>
      </c>
      <c r="I483">
        <v>9</v>
      </c>
      <c r="J483">
        <v>207</v>
      </c>
      <c r="K483" t="str">
        <f t="shared" si="7"/>
        <v>Filtered out</v>
      </c>
    </row>
    <row r="484" spans="1:11" x14ac:dyDescent="0.2">
      <c r="A484" t="s">
        <v>12959</v>
      </c>
      <c r="B484" t="s">
        <v>12373</v>
      </c>
      <c r="C484" t="s">
        <v>12373</v>
      </c>
      <c r="D484">
        <v>1628</v>
      </c>
      <c r="E484">
        <v>1627</v>
      </c>
      <c r="F484">
        <v>0</v>
      </c>
      <c r="G484" s="13">
        <v>0.91700000000000004</v>
      </c>
      <c r="H484" s="1" t="s">
        <v>12371</v>
      </c>
      <c r="I484">
        <v>18</v>
      </c>
      <c r="J484">
        <v>113</v>
      </c>
      <c r="K484" t="str">
        <f t="shared" si="7"/>
        <v>Retained</v>
      </c>
    </row>
    <row r="485" spans="1:11" x14ac:dyDescent="0.2">
      <c r="A485" t="s">
        <v>12960</v>
      </c>
      <c r="B485" t="s">
        <v>12382</v>
      </c>
      <c r="C485" t="s">
        <v>12382</v>
      </c>
      <c r="D485">
        <v>546</v>
      </c>
      <c r="E485">
        <v>544</v>
      </c>
      <c r="F485">
        <v>0</v>
      </c>
      <c r="G485" s="13">
        <v>0.97199999999999998</v>
      </c>
      <c r="H485" s="1" t="s">
        <v>12371</v>
      </c>
      <c r="I485">
        <v>15</v>
      </c>
      <c r="J485">
        <v>41</v>
      </c>
      <c r="K485" t="str">
        <f t="shared" si="7"/>
        <v>Retained</v>
      </c>
    </row>
    <row r="486" spans="1:11" x14ac:dyDescent="0.2">
      <c r="A486" t="s">
        <v>12961</v>
      </c>
      <c r="B486" t="s">
        <v>12461</v>
      </c>
      <c r="C486" t="s">
        <v>12373</v>
      </c>
      <c r="D486">
        <v>2258</v>
      </c>
      <c r="E486">
        <v>4141</v>
      </c>
      <c r="F486">
        <v>-45</v>
      </c>
      <c r="G486" s="13">
        <v>0.20599999999999999</v>
      </c>
      <c r="H486" s="1" t="s">
        <v>12371</v>
      </c>
      <c r="I486">
        <v>25</v>
      </c>
      <c r="J486">
        <v>42</v>
      </c>
      <c r="K486" t="str">
        <f t="shared" si="7"/>
        <v>Filtered out</v>
      </c>
    </row>
    <row r="487" spans="1:11" x14ac:dyDescent="0.2">
      <c r="A487" t="s">
        <v>12962</v>
      </c>
      <c r="B487" t="s">
        <v>12831</v>
      </c>
      <c r="C487" t="s">
        <v>12373</v>
      </c>
      <c r="D487">
        <v>1428</v>
      </c>
      <c r="E487">
        <v>1432</v>
      </c>
      <c r="F487">
        <v>0</v>
      </c>
      <c r="G487" s="13">
        <v>0.93200000000000005</v>
      </c>
      <c r="H487" s="1" t="s">
        <v>12371</v>
      </c>
      <c r="I487">
        <v>5</v>
      </c>
      <c r="J487">
        <v>352</v>
      </c>
      <c r="K487" t="str">
        <f t="shared" si="7"/>
        <v>Filtered out</v>
      </c>
    </row>
    <row r="488" spans="1:11" x14ac:dyDescent="0.2">
      <c r="A488" t="s">
        <v>12963</v>
      </c>
      <c r="B488" t="s">
        <v>12696</v>
      </c>
      <c r="C488" t="s">
        <v>12497</v>
      </c>
      <c r="D488">
        <v>1109</v>
      </c>
      <c r="E488">
        <v>1396</v>
      </c>
      <c r="F488">
        <v>-20</v>
      </c>
      <c r="G488" s="13">
        <v>0.76</v>
      </c>
      <c r="H488" s="1" t="s">
        <v>12371</v>
      </c>
      <c r="I488">
        <v>7</v>
      </c>
      <c r="J488">
        <v>160</v>
      </c>
      <c r="K488" t="str">
        <f t="shared" si="7"/>
        <v>Filtered out</v>
      </c>
    </row>
    <row r="489" spans="1:11" x14ac:dyDescent="0.2">
      <c r="A489" t="s">
        <v>12964</v>
      </c>
      <c r="B489" t="s">
        <v>12416</v>
      </c>
      <c r="C489" t="s">
        <v>12373</v>
      </c>
      <c r="D489">
        <v>3147</v>
      </c>
      <c r="E489">
        <v>5995</v>
      </c>
      <c r="F489">
        <v>-47</v>
      </c>
      <c r="G489" s="13">
        <v>0.46600000000000003</v>
      </c>
      <c r="H489" s="1" t="s">
        <v>12371</v>
      </c>
      <c r="I489">
        <v>16</v>
      </c>
      <c r="J489">
        <v>253</v>
      </c>
      <c r="K489" t="str">
        <f t="shared" si="7"/>
        <v>Filtered out</v>
      </c>
    </row>
    <row r="490" spans="1:11" x14ac:dyDescent="0.2">
      <c r="A490" t="s">
        <v>12965</v>
      </c>
      <c r="B490" t="s">
        <v>12484</v>
      </c>
      <c r="C490" t="s">
        <v>12406</v>
      </c>
      <c r="D490">
        <v>1182</v>
      </c>
      <c r="E490">
        <v>2196</v>
      </c>
      <c r="F490">
        <v>-46</v>
      </c>
      <c r="G490" s="13">
        <v>0.58499999999999996</v>
      </c>
      <c r="H490" s="1" t="s">
        <v>12371</v>
      </c>
      <c r="I490">
        <v>5</v>
      </c>
      <c r="J490">
        <v>171</v>
      </c>
      <c r="K490" t="str">
        <f t="shared" si="7"/>
        <v>Filtered out</v>
      </c>
    </row>
    <row r="491" spans="1:11" x14ac:dyDescent="0.2">
      <c r="A491" t="s">
        <v>12966</v>
      </c>
      <c r="B491" t="s">
        <v>12373</v>
      </c>
      <c r="C491" t="s">
        <v>12373</v>
      </c>
      <c r="D491">
        <v>990</v>
      </c>
      <c r="E491">
        <v>991</v>
      </c>
      <c r="F491">
        <v>0</v>
      </c>
      <c r="G491" s="13">
        <v>0.96199999999999997</v>
      </c>
      <c r="H491" s="1" t="s">
        <v>12371</v>
      </c>
      <c r="I491">
        <v>11</v>
      </c>
      <c r="J491">
        <v>215</v>
      </c>
      <c r="K491" t="str">
        <f t="shared" si="7"/>
        <v>Retained</v>
      </c>
    </row>
    <row r="492" spans="1:11" x14ac:dyDescent="0.2">
      <c r="A492" t="s">
        <v>12967</v>
      </c>
      <c r="B492" t="s">
        <v>12373</v>
      </c>
      <c r="C492" t="s">
        <v>12373</v>
      </c>
      <c r="D492">
        <v>429</v>
      </c>
      <c r="E492">
        <v>429</v>
      </c>
      <c r="F492">
        <v>0</v>
      </c>
      <c r="G492" s="13">
        <v>0.95099999999999996</v>
      </c>
      <c r="H492" s="1" t="s">
        <v>12371</v>
      </c>
      <c r="I492">
        <v>5</v>
      </c>
      <c r="J492">
        <v>73</v>
      </c>
      <c r="K492" t="str">
        <f t="shared" si="7"/>
        <v>Retained</v>
      </c>
    </row>
    <row r="493" spans="1:11" x14ac:dyDescent="0.2">
      <c r="A493" t="s">
        <v>12968</v>
      </c>
      <c r="B493" t="s">
        <v>12497</v>
      </c>
      <c r="C493" t="s">
        <v>12497</v>
      </c>
      <c r="D493">
        <v>705</v>
      </c>
      <c r="E493">
        <v>705</v>
      </c>
      <c r="F493">
        <v>0</v>
      </c>
      <c r="G493" s="13">
        <v>0.97</v>
      </c>
      <c r="H493" s="1" t="s">
        <v>12371</v>
      </c>
      <c r="I493">
        <v>2</v>
      </c>
      <c r="J493">
        <v>162</v>
      </c>
      <c r="K493" t="str">
        <f t="shared" si="7"/>
        <v>Retained</v>
      </c>
    </row>
    <row r="494" spans="1:11" x14ac:dyDescent="0.2">
      <c r="A494" t="s">
        <v>12969</v>
      </c>
      <c r="B494" t="s">
        <v>12375</v>
      </c>
      <c r="C494" t="s">
        <v>12375</v>
      </c>
      <c r="D494">
        <v>222</v>
      </c>
      <c r="E494">
        <v>223</v>
      </c>
      <c r="F494">
        <v>0</v>
      </c>
      <c r="G494" s="13">
        <v>0.96</v>
      </c>
      <c r="H494" s="1" t="s">
        <v>12371</v>
      </c>
      <c r="I494">
        <v>2</v>
      </c>
      <c r="J494">
        <v>51</v>
      </c>
      <c r="K494" t="str">
        <f t="shared" si="7"/>
        <v>Retained</v>
      </c>
    </row>
    <row r="495" spans="1:11" x14ac:dyDescent="0.2">
      <c r="A495" t="s">
        <v>12970</v>
      </c>
      <c r="B495" t="s">
        <v>12376</v>
      </c>
      <c r="C495" t="s">
        <v>12376</v>
      </c>
      <c r="D495">
        <v>4953</v>
      </c>
      <c r="E495">
        <v>4945</v>
      </c>
      <c r="F495">
        <v>0</v>
      </c>
      <c r="G495" s="13">
        <v>0.97799999999999998</v>
      </c>
      <c r="H495" s="1" t="s">
        <v>12371</v>
      </c>
      <c r="I495">
        <v>10</v>
      </c>
      <c r="J495">
        <v>1412</v>
      </c>
      <c r="K495" t="str">
        <f t="shared" si="7"/>
        <v>Retained</v>
      </c>
    </row>
    <row r="496" spans="1:11" x14ac:dyDescent="0.2">
      <c r="A496" t="s">
        <v>12971</v>
      </c>
      <c r="B496" t="s">
        <v>12373</v>
      </c>
      <c r="C496" t="s">
        <v>12373</v>
      </c>
      <c r="D496">
        <v>915</v>
      </c>
      <c r="E496">
        <v>1153</v>
      </c>
      <c r="F496">
        <v>-20</v>
      </c>
      <c r="G496" s="13">
        <v>0.96499999999999997</v>
      </c>
      <c r="H496" s="1" t="s">
        <v>12371</v>
      </c>
      <c r="I496">
        <v>9</v>
      </c>
      <c r="J496">
        <v>79</v>
      </c>
      <c r="K496" t="str">
        <f t="shared" si="7"/>
        <v>Filtered out</v>
      </c>
    </row>
    <row r="497" spans="1:11" x14ac:dyDescent="0.2">
      <c r="A497" t="s">
        <v>12972</v>
      </c>
      <c r="B497" t="s">
        <v>12373</v>
      </c>
      <c r="C497" t="s">
        <v>12373</v>
      </c>
      <c r="D497">
        <v>6606</v>
      </c>
      <c r="E497">
        <v>6607</v>
      </c>
      <c r="F497">
        <v>0</v>
      </c>
      <c r="G497" s="13">
        <v>0.95899999999999996</v>
      </c>
      <c r="H497" s="1" t="s">
        <v>12371</v>
      </c>
      <c r="I497">
        <v>99</v>
      </c>
      <c r="J497">
        <v>585</v>
      </c>
      <c r="K497" t="str">
        <f t="shared" si="7"/>
        <v>Retained</v>
      </c>
    </row>
    <row r="498" spans="1:11" x14ac:dyDescent="0.2">
      <c r="A498" t="s">
        <v>12973</v>
      </c>
      <c r="B498" t="s">
        <v>12373</v>
      </c>
      <c r="C498" t="s">
        <v>12373</v>
      </c>
      <c r="D498">
        <v>1262</v>
      </c>
      <c r="E498">
        <v>1264</v>
      </c>
      <c r="F498">
        <v>0</v>
      </c>
      <c r="G498" s="13">
        <v>0.96499999999999997</v>
      </c>
      <c r="H498" s="1" t="s">
        <v>12371</v>
      </c>
      <c r="I498">
        <v>11</v>
      </c>
      <c r="J498">
        <v>275</v>
      </c>
      <c r="K498" t="str">
        <f t="shared" si="7"/>
        <v>Retained</v>
      </c>
    </row>
    <row r="499" spans="1:11" x14ac:dyDescent="0.2">
      <c r="A499" t="s">
        <v>12974</v>
      </c>
      <c r="B499" t="s">
        <v>12563</v>
      </c>
      <c r="C499" t="s">
        <v>12621</v>
      </c>
      <c r="D499">
        <v>1842</v>
      </c>
      <c r="E499">
        <v>1846</v>
      </c>
      <c r="F499">
        <v>0</v>
      </c>
      <c r="G499" s="13">
        <v>0.60899999999999999</v>
      </c>
      <c r="H499" s="1" t="s">
        <v>12371</v>
      </c>
      <c r="I499">
        <v>3</v>
      </c>
      <c r="J499">
        <v>2</v>
      </c>
      <c r="K499" t="str">
        <f t="shared" si="7"/>
        <v>Filtered out</v>
      </c>
    </row>
    <row r="500" spans="1:11" x14ac:dyDescent="0.2">
      <c r="A500" t="s">
        <v>12975</v>
      </c>
      <c r="B500" t="s">
        <v>12976</v>
      </c>
      <c r="C500" t="s">
        <v>12644</v>
      </c>
      <c r="D500">
        <v>1529</v>
      </c>
      <c r="E500">
        <v>1918</v>
      </c>
      <c r="F500">
        <v>-20</v>
      </c>
      <c r="G500" s="13">
        <v>0.90900000000000003</v>
      </c>
      <c r="H500" s="1" t="s">
        <v>12371</v>
      </c>
      <c r="I500">
        <v>1</v>
      </c>
      <c r="J500">
        <v>503</v>
      </c>
      <c r="K500" t="str">
        <f t="shared" si="7"/>
        <v>Filtered out</v>
      </c>
    </row>
    <row r="501" spans="1:11" x14ac:dyDescent="0.2">
      <c r="A501" t="s">
        <v>12977</v>
      </c>
      <c r="B501" t="s">
        <v>12412</v>
      </c>
      <c r="C501" t="s">
        <v>12412</v>
      </c>
      <c r="D501">
        <v>1769</v>
      </c>
      <c r="E501">
        <v>1912</v>
      </c>
      <c r="F501">
        <v>-7</v>
      </c>
      <c r="G501" s="13">
        <v>0.90300000000000002</v>
      </c>
      <c r="H501" s="1" t="s">
        <v>12371</v>
      </c>
      <c r="I501">
        <v>20</v>
      </c>
      <c r="J501">
        <v>324</v>
      </c>
      <c r="K501" t="str">
        <f t="shared" si="7"/>
        <v>Retained</v>
      </c>
    </row>
    <row r="502" spans="1:11" x14ac:dyDescent="0.2">
      <c r="A502" t="s">
        <v>12978</v>
      </c>
      <c r="B502" t="s">
        <v>12468</v>
      </c>
      <c r="C502" t="s">
        <v>12434</v>
      </c>
      <c r="D502">
        <v>1331</v>
      </c>
      <c r="E502">
        <v>790</v>
      </c>
      <c r="F502">
        <v>68</v>
      </c>
      <c r="G502" s="13">
        <v>0.33200000000000002</v>
      </c>
      <c r="H502" s="1" t="s">
        <v>12371</v>
      </c>
      <c r="I502">
        <v>9</v>
      </c>
      <c r="J502">
        <v>14</v>
      </c>
      <c r="K502" t="str">
        <f t="shared" si="7"/>
        <v>Filtered out</v>
      </c>
    </row>
    <row r="503" spans="1:11" x14ac:dyDescent="0.2">
      <c r="A503" t="s">
        <v>12979</v>
      </c>
      <c r="B503" t="s">
        <v>12370</v>
      </c>
      <c r="C503" t="s">
        <v>12373</v>
      </c>
      <c r="D503">
        <v>1668</v>
      </c>
      <c r="E503">
        <v>1759</v>
      </c>
      <c r="F503">
        <v>-5</v>
      </c>
      <c r="G503" s="13">
        <v>0.99399999999999999</v>
      </c>
      <c r="H503" s="1" t="s">
        <v>12437</v>
      </c>
      <c r="I503">
        <v>0</v>
      </c>
      <c r="J503" t="s">
        <v>12438</v>
      </c>
      <c r="K503" t="str">
        <f t="shared" si="7"/>
        <v>Filtered out</v>
      </c>
    </row>
    <row r="504" spans="1:11" x14ac:dyDescent="0.2">
      <c r="A504" t="s">
        <v>12980</v>
      </c>
      <c r="B504" t="s">
        <v>12565</v>
      </c>
      <c r="C504" t="s">
        <v>12565</v>
      </c>
      <c r="D504">
        <v>1716</v>
      </c>
      <c r="E504">
        <v>1716</v>
      </c>
      <c r="F504">
        <v>0</v>
      </c>
      <c r="G504" s="13">
        <v>0.97399999999999998</v>
      </c>
      <c r="H504" s="1" t="s">
        <v>12371</v>
      </c>
      <c r="I504">
        <v>8</v>
      </c>
      <c r="J504">
        <v>83</v>
      </c>
      <c r="K504" t="str">
        <f t="shared" si="7"/>
        <v>Retained</v>
      </c>
    </row>
    <row r="505" spans="1:11" x14ac:dyDescent="0.2">
      <c r="A505" t="s">
        <v>12981</v>
      </c>
      <c r="B505" t="s">
        <v>12373</v>
      </c>
      <c r="C505" t="s">
        <v>12373</v>
      </c>
      <c r="D505">
        <v>2445</v>
      </c>
      <c r="E505">
        <v>2458</v>
      </c>
      <c r="F505">
        <v>0</v>
      </c>
      <c r="G505" s="13">
        <v>0.94</v>
      </c>
      <c r="H505" s="1" t="s">
        <v>12437</v>
      </c>
      <c r="I505">
        <v>0</v>
      </c>
      <c r="J505" t="s">
        <v>12438</v>
      </c>
      <c r="K505" t="str">
        <f t="shared" si="7"/>
        <v>Filtered out</v>
      </c>
    </row>
    <row r="506" spans="1:11" x14ac:dyDescent="0.2">
      <c r="A506" t="s">
        <v>12982</v>
      </c>
      <c r="B506" t="s">
        <v>12375</v>
      </c>
      <c r="C506" t="s">
        <v>12373</v>
      </c>
      <c r="D506">
        <v>2595</v>
      </c>
      <c r="E506">
        <v>3700</v>
      </c>
      <c r="F506">
        <v>-29</v>
      </c>
      <c r="G506" s="13">
        <v>0.94</v>
      </c>
      <c r="H506" s="1" t="s">
        <v>12371</v>
      </c>
      <c r="I506">
        <v>30</v>
      </c>
      <c r="J506">
        <v>311</v>
      </c>
      <c r="K506" t="str">
        <f t="shared" si="7"/>
        <v>Filtered out</v>
      </c>
    </row>
    <row r="507" spans="1:11" x14ac:dyDescent="0.2">
      <c r="A507" t="s">
        <v>12983</v>
      </c>
      <c r="B507" t="s">
        <v>12884</v>
      </c>
      <c r="C507" t="s">
        <v>12370</v>
      </c>
      <c r="D507">
        <v>2025</v>
      </c>
      <c r="E507">
        <v>2719</v>
      </c>
      <c r="F507">
        <v>-25</v>
      </c>
      <c r="G507" s="13">
        <v>0.29699999999999999</v>
      </c>
      <c r="H507" s="1" t="s">
        <v>12371</v>
      </c>
      <c r="I507">
        <v>13</v>
      </c>
      <c r="J507">
        <v>144</v>
      </c>
      <c r="K507" t="str">
        <f t="shared" si="7"/>
        <v>Filtered out</v>
      </c>
    </row>
    <row r="508" spans="1:11" x14ac:dyDescent="0.2">
      <c r="A508" t="s">
        <v>12984</v>
      </c>
      <c r="B508" t="s">
        <v>12375</v>
      </c>
      <c r="C508" t="s">
        <v>12375</v>
      </c>
      <c r="D508">
        <v>1977</v>
      </c>
      <c r="E508">
        <v>1978</v>
      </c>
      <c r="F508">
        <v>0</v>
      </c>
      <c r="G508" s="13">
        <v>0.93300000000000005</v>
      </c>
      <c r="H508" s="1" t="s">
        <v>12371</v>
      </c>
      <c r="I508">
        <v>5</v>
      </c>
      <c r="J508">
        <v>140</v>
      </c>
      <c r="K508" t="str">
        <f t="shared" si="7"/>
        <v>Retained</v>
      </c>
    </row>
    <row r="509" spans="1:11" x14ac:dyDescent="0.2">
      <c r="A509" t="s">
        <v>12985</v>
      </c>
      <c r="B509" t="s">
        <v>12373</v>
      </c>
      <c r="C509" t="s">
        <v>12373</v>
      </c>
      <c r="D509">
        <v>1820</v>
      </c>
      <c r="E509">
        <v>1834</v>
      </c>
      <c r="F509">
        <v>0</v>
      </c>
      <c r="G509" s="13">
        <v>0.73099999999999998</v>
      </c>
      <c r="H509" s="1" t="s">
        <v>12371</v>
      </c>
      <c r="I509">
        <v>8</v>
      </c>
      <c r="J509">
        <v>338</v>
      </c>
      <c r="K509" t="str">
        <f t="shared" si="7"/>
        <v>Filtered out</v>
      </c>
    </row>
    <row r="510" spans="1:11" x14ac:dyDescent="0.2">
      <c r="A510" t="s">
        <v>12986</v>
      </c>
      <c r="B510" t="s">
        <v>12508</v>
      </c>
      <c r="C510" t="s">
        <v>12413</v>
      </c>
      <c r="D510">
        <v>1071</v>
      </c>
      <c r="E510">
        <v>1129</v>
      </c>
      <c r="F510">
        <v>-5</v>
      </c>
      <c r="G510" s="13">
        <v>0.92300000000000004</v>
      </c>
      <c r="H510" s="1" t="s">
        <v>12371</v>
      </c>
      <c r="I510">
        <v>11</v>
      </c>
      <c r="J510">
        <v>69</v>
      </c>
      <c r="K510" t="str">
        <f t="shared" si="7"/>
        <v>Filtered out</v>
      </c>
    </row>
    <row r="511" spans="1:11" x14ac:dyDescent="0.2">
      <c r="A511" t="s">
        <v>12987</v>
      </c>
      <c r="B511" t="s">
        <v>12646</v>
      </c>
      <c r="C511" t="s">
        <v>12373</v>
      </c>
      <c r="D511">
        <v>1679</v>
      </c>
      <c r="E511">
        <v>1756</v>
      </c>
      <c r="F511">
        <v>-4</v>
      </c>
      <c r="G511" s="13">
        <v>0.97899999999999998</v>
      </c>
      <c r="H511" s="1" t="s">
        <v>12371</v>
      </c>
      <c r="I511">
        <v>3</v>
      </c>
      <c r="J511">
        <v>461</v>
      </c>
      <c r="K511" t="str">
        <f t="shared" si="7"/>
        <v>Filtered out</v>
      </c>
    </row>
    <row r="512" spans="1:11" x14ac:dyDescent="0.2">
      <c r="A512" t="s">
        <v>12988</v>
      </c>
      <c r="B512" t="s">
        <v>12373</v>
      </c>
      <c r="C512" t="s">
        <v>12373</v>
      </c>
      <c r="D512">
        <v>1680</v>
      </c>
      <c r="E512">
        <v>1675</v>
      </c>
      <c r="F512">
        <v>0</v>
      </c>
      <c r="G512" s="13">
        <v>0.36799999999999999</v>
      </c>
      <c r="H512" s="1" t="s">
        <v>12371</v>
      </c>
      <c r="I512">
        <v>14</v>
      </c>
      <c r="J512">
        <v>150</v>
      </c>
      <c r="K512" t="str">
        <f t="shared" si="7"/>
        <v>Filtered out</v>
      </c>
    </row>
    <row r="513" spans="1:11" x14ac:dyDescent="0.2">
      <c r="A513" t="s">
        <v>12989</v>
      </c>
      <c r="B513" t="s">
        <v>12373</v>
      </c>
      <c r="C513" t="s">
        <v>12373</v>
      </c>
      <c r="D513">
        <v>2511</v>
      </c>
      <c r="E513">
        <v>2593</v>
      </c>
      <c r="F513">
        <v>-3</v>
      </c>
      <c r="G513" s="13">
        <v>0.94499999999999995</v>
      </c>
      <c r="H513" s="1" t="s">
        <v>12371</v>
      </c>
      <c r="I513">
        <v>2</v>
      </c>
      <c r="J513">
        <v>770</v>
      </c>
      <c r="K513" t="str">
        <f t="shared" si="7"/>
        <v>Retained</v>
      </c>
    </row>
    <row r="514" spans="1:11" x14ac:dyDescent="0.2">
      <c r="A514" t="s">
        <v>12990</v>
      </c>
      <c r="B514" t="s">
        <v>12991</v>
      </c>
      <c r="C514" t="s">
        <v>12373</v>
      </c>
      <c r="D514">
        <v>4061</v>
      </c>
      <c r="E514">
        <v>4249</v>
      </c>
      <c r="F514">
        <v>-4</v>
      </c>
      <c r="G514" s="13">
        <v>0.92600000000000005</v>
      </c>
      <c r="H514" s="1" t="s">
        <v>12371</v>
      </c>
      <c r="I514">
        <v>20</v>
      </c>
      <c r="J514">
        <v>400</v>
      </c>
      <c r="K514" t="str">
        <f t="shared" si="7"/>
        <v>Filtered out</v>
      </c>
    </row>
    <row r="515" spans="1:11" x14ac:dyDescent="0.2">
      <c r="A515" t="s">
        <v>12992</v>
      </c>
      <c r="B515" t="s">
        <v>12993</v>
      </c>
      <c r="C515" t="s">
        <v>12760</v>
      </c>
      <c r="D515">
        <v>1682</v>
      </c>
      <c r="E515">
        <v>1675</v>
      </c>
      <c r="F515">
        <v>0</v>
      </c>
      <c r="G515" s="13">
        <v>0.87</v>
      </c>
      <c r="H515" s="1" t="s">
        <v>12371</v>
      </c>
      <c r="I515">
        <v>3</v>
      </c>
      <c r="J515">
        <v>50</v>
      </c>
      <c r="K515" t="str">
        <f t="shared" si="7"/>
        <v>Filtered out</v>
      </c>
    </row>
    <row r="516" spans="1:11" x14ac:dyDescent="0.2">
      <c r="A516" t="s">
        <v>12994</v>
      </c>
      <c r="B516" t="s">
        <v>12375</v>
      </c>
      <c r="C516" t="s">
        <v>12477</v>
      </c>
      <c r="D516">
        <v>1175</v>
      </c>
      <c r="E516">
        <v>1259</v>
      </c>
      <c r="F516">
        <v>-6</v>
      </c>
      <c r="G516" s="13">
        <v>0.96199999999999997</v>
      </c>
      <c r="H516" s="1" t="s">
        <v>12371</v>
      </c>
      <c r="I516">
        <v>3</v>
      </c>
      <c r="J516">
        <v>143</v>
      </c>
      <c r="K516" t="str">
        <f t="shared" si="7"/>
        <v>Filtered out</v>
      </c>
    </row>
    <row r="517" spans="1:11" x14ac:dyDescent="0.2">
      <c r="A517" t="s">
        <v>12995</v>
      </c>
      <c r="B517" t="s">
        <v>12646</v>
      </c>
      <c r="C517" t="s">
        <v>12646</v>
      </c>
      <c r="D517">
        <v>1032</v>
      </c>
      <c r="E517">
        <v>1032</v>
      </c>
      <c r="F517">
        <v>0</v>
      </c>
      <c r="G517" s="13">
        <v>0.98499999999999999</v>
      </c>
      <c r="H517" s="1" t="s">
        <v>12371</v>
      </c>
      <c r="I517">
        <v>1</v>
      </c>
      <c r="J517">
        <v>308</v>
      </c>
      <c r="K517" t="str">
        <f t="shared" si="7"/>
        <v>Retained</v>
      </c>
    </row>
    <row r="518" spans="1:11" x14ac:dyDescent="0.2">
      <c r="A518" t="s">
        <v>12996</v>
      </c>
      <c r="B518" t="s">
        <v>12413</v>
      </c>
      <c r="C518" t="s">
        <v>12413</v>
      </c>
      <c r="D518">
        <v>6983</v>
      </c>
      <c r="E518">
        <v>6535</v>
      </c>
      <c r="F518">
        <v>6</v>
      </c>
      <c r="G518" s="13">
        <v>0.96199999999999997</v>
      </c>
      <c r="H518" s="1" t="s">
        <v>12371</v>
      </c>
      <c r="I518">
        <v>159</v>
      </c>
      <c r="J518">
        <v>499</v>
      </c>
      <c r="K518" t="str">
        <f t="shared" si="7"/>
        <v>Retained</v>
      </c>
    </row>
    <row r="519" spans="1:11" x14ac:dyDescent="0.2">
      <c r="A519" t="s">
        <v>12997</v>
      </c>
      <c r="B519" t="s">
        <v>12788</v>
      </c>
      <c r="C519" t="s">
        <v>12788</v>
      </c>
      <c r="D519">
        <v>8337</v>
      </c>
      <c r="E519">
        <v>8335</v>
      </c>
      <c r="F519">
        <v>0</v>
      </c>
      <c r="G519" s="13">
        <v>0.999</v>
      </c>
      <c r="H519" s="1" t="s">
        <v>12371</v>
      </c>
      <c r="I519">
        <v>99</v>
      </c>
      <c r="J519">
        <v>780</v>
      </c>
      <c r="K519" t="str">
        <f t="shared" si="7"/>
        <v>Retained</v>
      </c>
    </row>
    <row r="520" spans="1:11" x14ac:dyDescent="0.2">
      <c r="A520" t="s">
        <v>12998</v>
      </c>
      <c r="B520" t="s">
        <v>12373</v>
      </c>
      <c r="C520" t="s">
        <v>12373</v>
      </c>
      <c r="D520">
        <v>3714</v>
      </c>
      <c r="E520">
        <v>7711</v>
      </c>
      <c r="F520">
        <v>-51</v>
      </c>
      <c r="G520" s="13">
        <v>0.42299999999999999</v>
      </c>
      <c r="H520" s="1" t="s">
        <v>12371</v>
      </c>
      <c r="I520">
        <v>18</v>
      </c>
      <c r="J520">
        <v>421</v>
      </c>
      <c r="K520" t="str">
        <f t="shared" si="7"/>
        <v>Filtered out</v>
      </c>
    </row>
    <row r="521" spans="1:11" x14ac:dyDescent="0.2">
      <c r="A521" t="s">
        <v>12999</v>
      </c>
      <c r="B521" t="s">
        <v>12461</v>
      </c>
      <c r="C521" t="s">
        <v>12373</v>
      </c>
      <c r="D521">
        <v>930</v>
      </c>
      <c r="E521">
        <v>1117</v>
      </c>
      <c r="F521">
        <v>-16</v>
      </c>
      <c r="G521" s="13">
        <v>0.88300000000000001</v>
      </c>
      <c r="H521" s="1" t="s">
        <v>12371</v>
      </c>
      <c r="I521">
        <v>6</v>
      </c>
      <c r="J521">
        <v>100</v>
      </c>
      <c r="K521" t="str">
        <f t="shared" ref="K521:K584" si="8">IF(AND(B521=C521,F521&lt;10,F521&gt;-10,I521&gt;0,G521&gt;90%,G521&lt;100%),"Retained","Filtered out")</f>
        <v>Filtered out</v>
      </c>
    </row>
    <row r="522" spans="1:11" x14ac:dyDescent="0.2">
      <c r="A522" t="s">
        <v>13000</v>
      </c>
      <c r="B522" t="s">
        <v>12446</v>
      </c>
      <c r="C522" t="s">
        <v>12468</v>
      </c>
      <c r="D522">
        <v>612</v>
      </c>
      <c r="E522">
        <v>472</v>
      </c>
      <c r="F522">
        <v>29</v>
      </c>
      <c r="G522" s="13">
        <v>0.72499999999999998</v>
      </c>
      <c r="H522" s="1" t="s">
        <v>12371</v>
      </c>
      <c r="I522">
        <v>2</v>
      </c>
      <c r="J522">
        <v>68</v>
      </c>
      <c r="K522" t="str">
        <f t="shared" si="8"/>
        <v>Filtered out</v>
      </c>
    </row>
    <row r="523" spans="1:11" x14ac:dyDescent="0.2">
      <c r="A523" t="s">
        <v>13001</v>
      </c>
      <c r="B523" t="s">
        <v>12572</v>
      </c>
      <c r="C523" t="s">
        <v>12991</v>
      </c>
      <c r="D523">
        <v>1133</v>
      </c>
      <c r="E523">
        <v>1085</v>
      </c>
      <c r="F523">
        <v>4</v>
      </c>
      <c r="G523" s="13">
        <v>0.83299999999999996</v>
      </c>
      <c r="H523" s="1" t="s">
        <v>12437</v>
      </c>
      <c r="I523">
        <v>0</v>
      </c>
      <c r="J523" t="s">
        <v>12438</v>
      </c>
      <c r="K523" t="str">
        <f t="shared" si="8"/>
        <v>Filtered out</v>
      </c>
    </row>
    <row r="524" spans="1:11" x14ac:dyDescent="0.2">
      <c r="A524" t="s">
        <v>12980</v>
      </c>
      <c r="B524" t="s">
        <v>12565</v>
      </c>
      <c r="C524" t="s">
        <v>12565</v>
      </c>
      <c r="D524">
        <v>1716</v>
      </c>
      <c r="E524">
        <v>1716</v>
      </c>
      <c r="F524">
        <v>0</v>
      </c>
      <c r="G524" s="13">
        <v>0.97399999999999998</v>
      </c>
      <c r="H524" s="1" t="s">
        <v>12371</v>
      </c>
      <c r="I524">
        <v>8</v>
      </c>
      <c r="J524">
        <v>83</v>
      </c>
      <c r="K524" t="str">
        <f t="shared" si="8"/>
        <v>Retained</v>
      </c>
    </row>
    <row r="525" spans="1:11" x14ac:dyDescent="0.2">
      <c r="A525" t="s">
        <v>12980</v>
      </c>
      <c r="B525" t="s">
        <v>12565</v>
      </c>
      <c r="C525" t="s">
        <v>12565</v>
      </c>
      <c r="D525">
        <v>1716</v>
      </c>
      <c r="E525">
        <v>1716</v>
      </c>
      <c r="F525">
        <v>0</v>
      </c>
      <c r="G525" s="13">
        <v>0.97399999999999998</v>
      </c>
      <c r="H525" s="1" t="s">
        <v>12371</v>
      </c>
      <c r="I525">
        <v>8</v>
      </c>
      <c r="J525">
        <v>83</v>
      </c>
      <c r="K525" t="str">
        <f t="shared" si="8"/>
        <v>Retained</v>
      </c>
    </row>
    <row r="526" spans="1:11" x14ac:dyDescent="0.2">
      <c r="A526" t="s">
        <v>13002</v>
      </c>
      <c r="B526" t="s">
        <v>12373</v>
      </c>
      <c r="C526" t="s">
        <v>12373</v>
      </c>
      <c r="D526">
        <v>1019</v>
      </c>
      <c r="E526">
        <v>1012</v>
      </c>
      <c r="F526">
        <v>0</v>
      </c>
      <c r="G526" s="13">
        <v>1</v>
      </c>
      <c r="H526" s="1" t="s">
        <v>12371</v>
      </c>
      <c r="I526">
        <v>13</v>
      </c>
      <c r="J526">
        <v>150</v>
      </c>
      <c r="K526" t="str">
        <f t="shared" si="8"/>
        <v>Filtered out</v>
      </c>
    </row>
    <row r="527" spans="1:11" x14ac:dyDescent="0.2">
      <c r="A527" t="s">
        <v>13003</v>
      </c>
      <c r="B527" t="s">
        <v>12436</v>
      </c>
      <c r="C527" t="s">
        <v>12539</v>
      </c>
      <c r="D527">
        <v>558</v>
      </c>
      <c r="E527">
        <v>589</v>
      </c>
      <c r="F527">
        <v>-5</v>
      </c>
      <c r="G527" s="13">
        <v>0.64500000000000002</v>
      </c>
      <c r="H527" s="1" t="s">
        <v>12371</v>
      </c>
      <c r="I527">
        <v>1</v>
      </c>
      <c r="J527">
        <v>121</v>
      </c>
      <c r="K527" t="str">
        <f t="shared" si="8"/>
        <v>Filtered out</v>
      </c>
    </row>
    <row r="528" spans="1:11" x14ac:dyDescent="0.2">
      <c r="A528" t="s">
        <v>13004</v>
      </c>
      <c r="B528" t="s">
        <v>12375</v>
      </c>
      <c r="C528" t="s">
        <v>12393</v>
      </c>
      <c r="D528">
        <v>1782</v>
      </c>
      <c r="E528">
        <v>1831</v>
      </c>
      <c r="F528">
        <v>-2</v>
      </c>
      <c r="G528" s="13">
        <v>0.55900000000000005</v>
      </c>
      <c r="H528" s="1" t="s">
        <v>12371</v>
      </c>
      <c r="I528">
        <v>3</v>
      </c>
      <c r="J528">
        <v>531</v>
      </c>
      <c r="K528" t="str">
        <f t="shared" si="8"/>
        <v>Filtered out</v>
      </c>
    </row>
    <row r="529" spans="1:11" x14ac:dyDescent="0.2">
      <c r="A529" t="s">
        <v>13005</v>
      </c>
      <c r="B529" t="s">
        <v>12400</v>
      </c>
      <c r="C529" t="s">
        <v>12400</v>
      </c>
      <c r="D529">
        <v>1626</v>
      </c>
      <c r="E529">
        <v>1615</v>
      </c>
      <c r="F529">
        <v>0</v>
      </c>
      <c r="G529" s="13">
        <v>0.85799999999999998</v>
      </c>
      <c r="H529" s="1" t="s">
        <v>12371</v>
      </c>
      <c r="I529">
        <v>25</v>
      </c>
      <c r="J529">
        <v>5</v>
      </c>
      <c r="K529" t="str">
        <f t="shared" si="8"/>
        <v>Filtered out</v>
      </c>
    </row>
    <row r="530" spans="1:11" x14ac:dyDescent="0.2">
      <c r="A530" t="s">
        <v>13006</v>
      </c>
      <c r="B530" t="s">
        <v>12539</v>
      </c>
      <c r="C530" t="s">
        <v>12574</v>
      </c>
      <c r="D530">
        <v>1088</v>
      </c>
      <c r="E530">
        <v>1522</v>
      </c>
      <c r="F530">
        <v>-28</v>
      </c>
      <c r="G530" s="13">
        <v>0.98799999999999999</v>
      </c>
      <c r="H530" s="1" t="s">
        <v>12371</v>
      </c>
      <c r="I530">
        <v>4</v>
      </c>
      <c r="J530">
        <v>182</v>
      </c>
      <c r="K530" t="str">
        <f t="shared" si="8"/>
        <v>Filtered out</v>
      </c>
    </row>
    <row r="531" spans="1:11" x14ac:dyDescent="0.2">
      <c r="A531" t="s">
        <v>13007</v>
      </c>
      <c r="B531" t="s">
        <v>12376</v>
      </c>
      <c r="C531" t="s">
        <v>12373</v>
      </c>
      <c r="D531">
        <v>1122</v>
      </c>
      <c r="E531">
        <v>1792</v>
      </c>
      <c r="F531">
        <v>-37</v>
      </c>
      <c r="G531" s="13">
        <v>0.63800000000000001</v>
      </c>
      <c r="H531" s="1" t="s">
        <v>12371</v>
      </c>
      <c r="I531">
        <v>2</v>
      </c>
      <c r="J531">
        <v>349</v>
      </c>
      <c r="K531" t="str">
        <f t="shared" si="8"/>
        <v>Filtered out</v>
      </c>
    </row>
    <row r="532" spans="1:11" x14ac:dyDescent="0.2">
      <c r="A532" t="s">
        <v>13008</v>
      </c>
      <c r="B532" t="s">
        <v>12373</v>
      </c>
      <c r="C532" t="s">
        <v>12373</v>
      </c>
      <c r="D532">
        <v>1962</v>
      </c>
      <c r="E532">
        <v>1951</v>
      </c>
      <c r="F532">
        <v>0</v>
      </c>
      <c r="G532" s="13">
        <v>0.94299999999999995</v>
      </c>
      <c r="H532" s="1" t="s">
        <v>12371</v>
      </c>
      <c r="I532">
        <v>9</v>
      </c>
      <c r="J532">
        <v>482</v>
      </c>
      <c r="K532" t="str">
        <f t="shared" si="8"/>
        <v>Retained</v>
      </c>
    </row>
    <row r="533" spans="1:11" x14ac:dyDescent="0.2">
      <c r="A533" t="s">
        <v>13009</v>
      </c>
      <c r="B533" t="s">
        <v>12375</v>
      </c>
      <c r="C533" t="s">
        <v>12572</v>
      </c>
      <c r="D533">
        <v>1355</v>
      </c>
      <c r="E533">
        <v>1447</v>
      </c>
      <c r="F533">
        <v>-6</v>
      </c>
      <c r="G533" s="13">
        <v>0.61099999999999999</v>
      </c>
      <c r="H533" s="1" t="s">
        <v>12371</v>
      </c>
      <c r="I533">
        <v>2</v>
      </c>
      <c r="J533">
        <v>418</v>
      </c>
      <c r="K533" t="str">
        <f t="shared" si="8"/>
        <v>Filtered out</v>
      </c>
    </row>
    <row r="534" spans="1:11" x14ac:dyDescent="0.2">
      <c r="A534" t="s">
        <v>13004</v>
      </c>
      <c r="B534" t="s">
        <v>12375</v>
      </c>
      <c r="C534" t="s">
        <v>12393</v>
      </c>
      <c r="D534">
        <v>1782</v>
      </c>
      <c r="E534">
        <v>1831</v>
      </c>
      <c r="F534">
        <v>-2</v>
      </c>
      <c r="G534" s="13">
        <v>0.55900000000000005</v>
      </c>
      <c r="H534" s="1" t="s">
        <v>12371</v>
      </c>
      <c r="I534">
        <v>3</v>
      </c>
      <c r="J534">
        <v>531</v>
      </c>
      <c r="K534" t="str">
        <f t="shared" si="8"/>
        <v>Filtered out</v>
      </c>
    </row>
    <row r="535" spans="1:11" x14ac:dyDescent="0.2">
      <c r="A535" t="s">
        <v>13010</v>
      </c>
      <c r="B535" t="s">
        <v>12373</v>
      </c>
      <c r="C535" t="s">
        <v>12373</v>
      </c>
      <c r="D535">
        <v>2331</v>
      </c>
      <c r="E535">
        <v>3562</v>
      </c>
      <c r="F535">
        <v>-34</v>
      </c>
      <c r="G535" s="13">
        <v>0.995</v>
      </c>
      <c r="H535" s="1" t="s">
        <v>12371</v>
      </c>
      <c r="I535">
        <v>8</v>
      </c>
      <c r="J535">
        <v>608</v>
      </c>
      <c r="K535" t="str">
        <f t="shared" si="8"/>
        <v>Filtered out</v>
      </c>
    </row>
    <row r="536" spans="1:11" x14ac:dyDescent="0.2">
      <c r="A536" t="s">
        <v>13011</v>
      </c>
      <c r="B536" t="s">
        <v>12497</v>
      </c>
      <c r="C536" t="s">
        <v>12373</v>
      </c>
      <c r="D536">
        <v>4347</v>
      </c>
      <c r="E536">
        <v>4387</v>
      </c>
      <c r="F536">
        <v>0</v>
      </c>
      <c r="G536" s="13">
        <v>0.94799999999999995</v>
      </c>
      <c r="H536" s="1" t="s">
        <v>12371</v>
      </c>
      <c r="I536">
        <v>2</v>
      </c>
      <c r="J536">
        <v>1400</v>
      </c>
      <c r="K536" t="str">
        <f t="shared" si="8"/>
        <v>Filtered out</v>
      </c>
    </row>
    <row r="537" spans="1:11" x14ac:dyDescent="0.2">
      <c r="A537" t="s">
        <v>13012</v>
      </c>
      <c r="B537" t="s">
        <v>12373</v>
      </c>
      <c r="C537" t="s">
        <v>12373</v>
      </c>
      <c r="D537">
        <v>1832</v>
      </c>
      <c r="E537">
        <v>1858</v>
      </c>
      <c r="F537">
        <v>-1</v>
      </c>
      <c r="G537" s="13">
        <v>0.91300000000000003</v>
      </c>
      <c r="H537" s="1" t="s">
        <v>12371</v>
      </c>
      <c r="I537">
        <v>9</v>
      </c>
      <c r="J537">
        <v>194</v>
      </c>
      <c r="K537" t="str">
        <f t="shared" si="8"/>
        <v>Retained</v>
      </c>
    </row>
    <row r="538" spans="1:11" x14ac:dyDescent="0.2">
      <c r="A538" t="s">
        <v>13013</v>
      </c>
      <c r="B538" t="s">
        <v>12724</v>
      </c>
      <c r="C538" t="s">
        <v>12416</v>
      </c>
      <c r="D538">
        <v>1952</v>
      </c>
      <c r="E538">
        <v>3277</v>
      </c>
      <c r="F538">
        <v>-40</v>
      </c>
      <c r="G538" s="13">
        <v>0.76700000000000002</v>
      </c>
      <c r="H538" s="1" t="s">
        <v>12371</v>
      </c>
      <c r="I538">
        <v>1</v>
      </c>
      <c r="J538">
        <v>569</v>
      </c>
      <c r="K538" t="str">
        <f t="shared" si="8"/>
        <v>Filtered out</v>
      </c>
    </row>
    <row r="539" spans="1:11" x14ac:dyDescent="0.2">
      <c r="A539" t="s">
        <v>13014</v>
      </c>
      <c r="B539" t="s">
        <v>12640</v>
      </c>
      <c r="C539" t="s">
        <v>12382</v>
      </c>
      <c r="D539">
        <v>413</v>
      </c>
      <c r="E539">
        <v>1042</v>
      </c>
      <c r="F539">
        <v>-60</v>
      </c>
      <c r="G539" s="13">
        <v>0.26300000000000001</v>
      </c>
      <c r="H539" s="1" t="s">
        <v>12371</v>
      </c>
      <c r="I539">
        <v>1</v>
      </c>
      <c r="J539">
        <v>110</v>
      </c>
      <c r="K539" t="str">
        <f t="shared" si="8"/>
        <v>Filtered out</v>
      </c>
    </row>
    <row r="540" spans="1:11" x14ac:dyDescent="0.2">
      <c r="A540" t="s">
        <v>13015</v>
      </c>
      <c r="B540" t="s">
        <v>12373</v>
      </c>
      <c r="C540" t="s">
        <v>12373</v>
      </c>
      <c r="D540">
        <v>2549</v>
      </c>
      <c r="E540">
        <v>2542</v>
      </c>
      <c r="F540">
        <v>0</v>
      </c>
      <c r="G540" s="13">
        <v>0.95899999999999996</v>
      </c>
      <c r="H540" s="1" t="s">
        <v>12371</v>
      </c>
      <c r="I540">
        <v>5</v>
      </c>
      <c r="J540">
        <v>653</v>
      </c>
      <c r="K540" t="str">
        <f t="shared" si="8"/>
        <v>Retained</v>
      </c>
    </row>
    <row r="541" spans="1:11" x14ac:dyDescent="0.2">
      <c r="A541" t="s">
        <v>13016</v>
      </c>
      <c r="B541" t="s">
        <v>12428</v>
      </c>
      <c r="C541" t="s">
        <v>12428</v>
      </c>
      <c r="D541">
        <v>2076</v>
      </c>
      <c r="E541">
        <v>2086</v>
      </c>
      <c r="F541">
        <v>0</v>
      </c>
      <c r="G541" s="13">
        <v>0.63800000000000001</v>
      </c>
      <c r="H541" s="1" t="s">
        <v>12371</v>
      </c>
      <c r="I541">
        <v>13</v>
      </c>
      <c r="J541">
        <v>360</v>
      </c>
      <c r="K541" t="str">
        <f t="shared" si="8"/>
        <v>Filtered out</v>
      </c>
    </row>
    <row r="542" spans="1:11" x14ac:dyDescent="0.2">
      <c r="A542" t="s">
        <v>13017</v>
      </c>
      <c r="B542" t="s">
        <v>12409</v>
      </c>
      <c r="C542" t="s">
        <v>12409</v>
      </c>
      <c r="D542">
        <v>474</v>
      </c>
      <c r="E542">
        <v>475</v>
      </c>
      <c r="F542">
        <v>0</v>
      </c>
      <c r="G542" s="13">
        <v>0.53</v>
      </c>
      <c r="H542" s="1" t="s">
        <v>12371</v>
      </c>
      <c r="I542">
        <v>1</v>
      </c>
      <c r="J542">
        <v>131</v>
      </c>
      <c r="K542" t="str">
        <f t="shared" si="8"/>
        <v>Filtered out</v>
      </c>
    </row>
    <row r="543" spans="1:11" x14ac:dyDescent="0.2">
      <c r="A543" t="s">
        <v>13018</v>
      </c>
      <c r="B543" t="s">
        <v>12375</v>
      </c>
      <c r="C543" t="s">
        <v>12574</v>
      </c>
      <c r="D543">
        <v>648</v>
      </c>
      <c r="E543">
        <v>460</v>
      </c>
      <c r="F543">
        <v>40</v>
      </c>
      <c r="G543" s="13">
        <v>0.56799999999999995</v>
      </c>
      <c r="H543" s="1" t="s">
        <v>12371</v>
      </c>
      <c r="I543">
        <v>7</v>
      </c>
      <c r="J543">
        <v>72</v>
      </c>
      <c r="K543" t="str">
        <f t="shared" si="8"/>
        <v>Filtered out</v>
      </c>
    </row>
    <row r="544" spans="1:11" x14ac:dyDescent="0.2">
      <c r="A544" t="s">
        <v>13019</v>
      </c>
      <c r="B544" t="s">
        <v>12393</v>
      </c>
      <c r="C544" t="s">
        <v>12393</v>
      </c>
      <c r="D544">
        <v>1796</v>
      </c>
      <c r="E544">
        <v>2851</v>
      </c>
      <c r="F544">
        <v>-37</v>
      </c>
      <c r="G544" s="13">
        <v>0.752</v>
      </c>
      <c r="H544" s="1" t="s">
        <v>12371</v>
      </c>
      <c r="I544">
        <v>7</v>
      </c>
      <c r="J544">
        <v>248</v>
      </c>
      <c r="K544" t="str">
        <f t="shared" si="8"/>
        <v>Filtered out</v>
      </c>
    </row>
    <row r="545" spans="1:11" x14ac:dyDescent="0.2">
      <c r="A545" t="s">
        <v>13020</v>
      </c>
      <c r="B545" t="s">
        <v>12373</v>
      </c>
      <c r="C545" t="s">
        <v>12373</v>
      </c>
      <c r="D545">
        <v>1385</v>
      </c>
      <c r="E545">
        <v>1375</v>
      </c>
      <c r="F545">
        <v>0</v>
      </c>
      <c r="G545" s="13">
        <v>0.98699999999999999</v>
      </c>
      <c r="H545" s="1" t="s">
        <v>12371</v>
      </c>
      <c r="I545">
        <v>14</v>
      </c>
      <c r="J545">
        <v>175</v>
      </c>
      <c r="K545" t="str">
        <f t="shared" si="8"/>
        <v>Retained</v>
      </c>
    </row>
    <row r="546" spans="1:11" x14ac:dyDescent="0.2">
      <c r="A546" t="s">
        <v>13021</v>
      </c>
      <c r="B546" t="s">
        <v>12373</v>
      </c>
      <c r="C546" t="s">
        <v>12373</v>
      </c>
      <c r="D546">
        <v>1392</v>
      </c>
      <c r="E546">
        <v>1381</v>
      </c>
      <c r="F546">
        <v>0</v>
      </c>
      <c r="G546" s="13">
        <v>0.40799999999999997</v>
      </c>
      <c r="H546" s="1" t="s">
        <v>12371</v>
      </c>
      <c r="I546">
        <v>13</v>
      </c>
      <c r="J546">
        <v>99</v>
      </c>
      <c r="K546" t="str">
        <f t="shared" si="8"/>
        <v>Filtered out</v>
      </c>
    </row>
    <row r="547" spans="1:11" x14ac:dyDescent="0.2">
      <c r="A547" t="s">
        <v>13022</v>
      </c>
      <c r="B547" t="s">
        <v>12413</v>
      </c>
      <c r="C547" t="s">
        <v>12373</v>
      </c>
      <c r="D547">
        <v>1679</v>
      </c>
      <c r="E547">
        <v>4114</v>
      </c>
      <c r="F547">
        <v>-59</v>
      </c>
      <c r="G547" s="13">
        <v>0.94199999999999995</v>
      </c>
      <c r="H547" s="1" t="s">
        <v>12371</v>
      </c>
      <c r="I547">
        <v>1</v>
      </c>
      <c r="J547">
        <v>395</v>
      </c>
      <c r="K547" t="str">
        <f t="shared" si="8"/>
        <v>Filtered out</v>
      </c>
    </row>
    <row r="548" spans="1:11" x14ac:dyDescent="0.2">
      <c r="A548" t="s">
        <v>13023</v>
      </c>
      <c r="B548" t="s">
        <v>13024</v>
      </c>
      <c r="C548" t="s">
        <v>13024</v>
      </c>
      <c r="D548">
        <v>2189</v>
      </c>
      <c r="E548">
        <v>2186</v>
      </c>
      <c r="F548">
        <v>0</v>
      </c>
      <c r="G548" s="13">
        <v>0.98199999999999998</v>
      </c>
      <c r="H548" s="1" t="s">
        <v>12371</v>
      </c>
      <c r="I548">
        <v>12</v>
      </c>
      <c r="J548">
        <v>634</v>
      </c>
      <c r="K548" t="str">
        <f t="shared" si="8"/>
        <v>Retained</v>
      </c>
    </row>
    <row r="549" spans="1:11" x14ac:dyDescent="0.2">
      <c r="A549" t="s">
        <v>13025</v>
      </c>
      <c r="B549" t="s">
        <v>12488</v>
      </c>
      <c r="C549" t="s">
        <v>12373</v>
      </c>
      <c r="D549">
        <v>2982</v>
      </c>
      <c r="E549">
        <v>3028</v>
      </c>
      <c r="F549">
        <v>-1</v>
      </c>
      <c r="G549" s="13">
        <v>0.97899999999999998</v>
      </c>
      <c r="H549" s="1" t="s">
        <v>12437</v>
      </c>
      <c r="I549">
        <v>0</v>
      </c>
      <c r="J549" t="s">
        <v>12438</v>
      </c>
      <c r="K549" t="str">
        <f t="shared" si="8"/>
        <v>Filtered out</v>
      </c>
    </row>
    <row r="550" spans="1:11" x14ac:dyDescent="0.2">
      <c r="A550" t="s">
        <v>13026</v>
      </c>
      <c r="B550" t="s">
        <v>12646</v>
      </c>
      <c r="C550" t="s">
        <v>12646</v>
      </c>
      <c r="D550">
        <v>2328</v>
      </c>
      <c r="E550">
        <v>2326</v>
      </c>
      <c r="F550">
        <v>0</v>
      </c>
      <c r="G550" s="13">
        <v>0.98199999999999998</v>
      </c>
      <c r="H550" s="1" t="s">
        <v>12437</v>
      </c>
      <c r="I550">
        <v>0</v>
      </c>
      <c r="J550" t="s">
        <v>12438</v>
      </c>
      <c r="K550" t="str">
        <f t="shared" si="8"/>
        <v>Filtered out</v>
      </c>
    </row>
    <row r="551" spans="1:11" x14ac:dyDescent="0.2">
      <c r="A551" t="s">
        <v>13027</v>
      </c>
      <c r="B551" t="s">
        <v>12574</v>
      </c>
      <c r="C551" t="s">
        <v>12373</v>
      </c>
      <c r="D551">
        <v>2516</v>
      </c>
      <c r="E551">
        <v>2545</v>
      </c>
      <c r="F551">
        <v>-1</v>
      </c>
      <c r="G551" s="13">
        <v>0.86599999999999999</v>
      </c>
      <c r="H551" s="1" t="s">
        <v>12371</v>
      </c>
      <c r="I551">
        <v>18</v>
      </c>
      <c r="J551">
        <v>300</v>
      </c>
      <c r="K551" t="str">
        <f t="shared" si="8"/>
        <v>Filtered out</v>
      </c>
    </row>
    <row r="552" spans="1:11" x14ac:dyDescent="0.2">
      <c r="A552" t="s">
        <v>13028</v>
      </c>
      <c r="B552" t="s">
        <v>12646</v>
      </c>
      <c r="C552" t="s">
        <v>12646</v>
      </c>
      <c r="D552">
        <v>3447</v>
      </c>
      <c r="E552">
        <v>3799</v>
      </c>
      <c r="F552">
        <v>-9</v>
      </c>
      <c r="G552" s="13">
        <v>0.996</v>
      </c>
      <c r="H552" s="1" t="s">
        <v>12371</v>
      </c>
      <c r="I552">
        <v>15</v>
      </c>
      <c r="J552">
        <v>803</v>
      </c>
      <c r="K552" t="str">
        <f t="shared" si="8"/>
        <v>Retained</v>
      </c>
    </row>
    <row r="553" spans="1:11" x14ac:dyDescent="0.2">
      <c r="A553" t="s">
        <v>13029</v>
      </c>
      <c r="B553" t="s">
        <v>12724</v>
      </c>
      <c r="C553" t="s">
        <v>12724</v>
      </c>
      <c r="D553">
        <v>1080</v>
      </c>
      <c r="E553">
        <v>1077</v>
      </c>
      <c r="F553">
        <v>0</v>
      </c>
      <c r="G553" s="13">
        <v>0.55300000000000005</v>
      </c>
      <c r="H553" s="1" t="s">
        <v>12371</v>
      </c>
      <c r="I553">
        <v>2</v>
      </c>
      <c r="J553">
        <v>173</v>
      </c>
      <c r="K553" t="str">
        <f t="shared" si="8"/>
        <v>Filtered out</v>
      </c>
    </row>
    <row r="554" spans="1:11" x14ac:dyDescent="0.2">
      <c r="A554" t="s">
        <v>13030</v>
      </c>
      <c r="B554" t="s">
        <v>12373</v>
      </c>
      <c r="C554" t="s">
        <v>12373</v>
      </c>
      <c r="D554">
        <v>1250</v>
      </c>
      <c r="E554">
        <v>1243</v>
      </c>
      <c r="F554">
        <v>0</v>
      </c>
      <c r="G554" s="13">
        <v>0.96299999999999997</v>
      </c>
      <c r="H554" s="1" t="s">
        <v>12371</v>
      </c>
      <c r="I554">
        <v>1</v>
      </c>
      <c r="J554">
        <v>381</v>
      </c>
      <c r="K554" t="str">
        <f t="shared" si="8"/>
        <v>Retained</v>
      </c>
    </row>
    <row r="555" spans="1:11" x14ac:dyDescent="0.2">
      <c r="A555" t="s">
        <v>13031</v>
      </c>
      <c r="B555" t="s">
        <v>12373</v>
      </c>
      <c r="C555" t="s">
        <v>12373</v>
      </c>
      <c r="D555">
        <v>639</v>
      </c>
      <c r="E555">
        <v>682</v>
      </c>
      <c r="F555">
        <v>-6</v>
      </c>
      <c r="G555" s="13">
        <v>0.64300000000000002</v>
      </c>
      <c r="H555" s="1" t="s">
        <v>12371</v>
      </c>
      <c r="I555">
        <v>7</v>
      </c>
      <c r="J555">
        <v>73</v>
      </c>
      <c r="K555" t="str">
        <f t="shared" si="8"/>
        <v>Filtered out</v>
      </c>
    </row>
    <row r="556" spans="1:11" x14ac:dyDescent="0.2">
      <c r="A556" t="s">
        <v>13032</v>
      </c>
      <c r="B556" t="s">
        <v>12532</v>
      </c>
      <c r="C556" t="s">
        <v>12373</v>
      </c>
      <c r="D556">
        <v>2312</v>
      </c>
      <c r="E556">
        <v>2530</v>
      </c>
      <c r="F556">
        <v>-8</v>
      </c>
      <c r="G556" s="13">
        <v>0.98699999999999999</v>
      </c>
      <c r="H556" s="1" t="s">
        <v>12371</v>
      </c>
      <c r="I556">
        <v>4</v>
      </c>
      <c r="J556">
        <v>697</v>
      </c>
      <c r="K556" t="str">
        <f t="shared" si="8"/>
        <v>Filtered out</v>
      </c>
    </row>
    <row r="557" spans="1:11" x14ac:dyDescent="0.2">
      <c r="A557" t="s">
        <v>13033</v>
      </c>
      <c r="B557" t="s">
        <v>12428</v>
      </c>
      <c r="C557" t="s">
        <v>12373</v>
      </c>
      <c r="D557">
        <v>1965</v>
      </c>
      <c r="E557">
        <v>1987</v>
      </c>
      <c r="F557">
        <v>-1</v>
      </c>
      <c r="G557" s="13">
        <v>0.92100000000000004</v>
      </c>
      <c r="H557" s="1" t="s">
        <v>12371</v>
      </c>
      <c r="I557">
        <v>19</v>
      </c>
      <c r="J557">
        <v>136</v>
      </c>
      <c r="K557" t="str">
        <f t="shared" si="8"/>
        <v>Filtered out</v>
      </c>
    </row>
    <row r="558" spans="1:11" x14ac:dyDescent="0.2">
      <c r="A558" t="s">
        <v>13034</v>
      </c>
      <c r="B558" t="s">
        <v>12373</v>
      </c>
      <c r="C558" t="s">
        <v>12373</v>
      </c>
      <c r="D558">
        <v>2745</v>
      </c>
      <c r="E558">
        <v>2740</v>
      </c>
      <c r="F558">
        <v>0</v>
      </c>
      <c r="G558" s="13">
        <v>0.99399999999999999</v>
      </c>
      <c r="H558" s="1" t="s">
        <v>12371</v>
      </c>
      <c r="I558">
        <v>11</v>
      </c>
      <c r="J558">
        <v>713</v>
      </c>
      <c r="K558" t="str">
        <f t="shared" si="8"/>
        <v>Retained</v>
      </c>
    </row>
    <row r="559" spans="1:11" x14ac:dyDescent="0.2">
      <c r="A559" t="s">
        <v>13035</v>
      </c>
      <c r="B559" t="s">
        <v>12375</v>
      </c>
      <c r="C559" t="s">
        <v>12375</v>
      </c>
      <c r="D559">
        <v>2226</v>
      </c>
      <c r="E559">
        <v>2227</v>
      </c>
      <c r="F559">
        <v>0</v>
      </c>
      <c r="G559" s="13">
        <v>0.93200000000000005</v>
      </c>
      <c r="H559" s="1" t="s">
        <v>12371</v>
      </c>
      <c r="I559">
        <v>2</v>
      </c>
      <c r="J559">
        <v>714</v>
      </c>
      <c r="K559" t="str">
        <f t="shared" si="8"/>
        <v>Retained</v>
      </c>
    </row>
    <row r="560" spans="1:11" x14ac:dyDescent="0.2">
      <c r="A560" t="s">
        <v>13036</v>
      </c>
      <c r="B560" t="s">
        <v>12379</v>
      </c>
      <c r="C560" t="s">
        <v>12724</v>
      </c>
      <c r="D560">
        <v>740</v>
      </c>
      <c r="E560">
        <v>1600</v>
      </c>
      <c r="F560">
        <v>-53</v>
      </c>
      <c r="G560" s="13">
        <v>0.38200000000000001</v>
      </c>
      <c r="H560" s="1" t="s">
        <v>12371</v>
      </c>
      <c r="I560">
        <v>3</v>
      </c>
      <c r="J560">
        <v>115</v>
      </c>
      <c r="K560" t="str">
        <f t="shared" si="8"/>
        <v>Filtered out</v>
      </c>
    </row>
    <row r="561" spans="1:11" x14ac:dyDescent="0.2">
      <c r="A561" t="s">
        <v>13037</v>
      </c>
      <c r="B561" t="s">
        <v>12373</v>
      </c>
      <c r="C561" t="s">
        <v>12373</v>
      </c>
      <c r="D561">
        <v>1739</v>
      </c>
      <c r="E561">
        <v>1732</v>
      </c>
      <c r="F561">
        <v>0</v>
      </c>
      <c r="G561" s="13">
        <v>0.83399999999999996</v>
      </c>
      <c r="H561" s="1" t="s">
        <v>12371</v>
      </c>
      <c r="I561">
        <v>7</v>
      </c>
      <c r="J561">
        <v>423</v>
      </c>
      <c r="K561" t="str">
        <f t="shared" si="8"/>
        <v>Filtered out</v>
      </c>
    </row>
    <row r="562" spans="1:11" x14ac:dyDescent="0.2">
      <c r="A562" t="s">
        <v>13038</v>
      </c>
      <c r="B562" t="s">
        <v>12373</v>
      </c>
      <c r="C562" t="s">
        <v>12373</v>
      </c>
      <c r="D562">
        <v>1221</v>
      </c>
      <c r="E562">
        <v>1219</v>
      </c>
      <c r="F562">
        <v>0</v>
      </c>
      <c r="G562" s="13">
        <v>0.89300000000000002</v>
      </c>
      <c r="H562" s="1" t="s">
        <v>12371</v>
      </c>
      <c r="I562">
        <v>7</v>
      </c>
      <c r="J562">
        <v>265</v>
      </c>
      <c r="K562" t="str">
        <f t="shared" si="8"/>
        <v>Filtered out</v>
      </c>
    </row>
    <row r="563" spans="1:11" x14ac:dyDescent="0.2">
      <c r="A563" t="s">
        <v>13039</v>
      </c>
      <c r="B563" t="s">
        <v>12646</v>
      </c>
      <c r="C563" t="s">
        <v>12373</v>
      </c>
      <c r="D563">
        <v>1920</v>
      </c>
      <c r="E563">
        <v>1933</v>
      </c>
      <c r="F563">
        <v>0</v>
      </c>
      <c r="G563" s="13">
        <v>0.53700000000000003</v>
      </c>
      <c r="H563" s="1" t="s">
        <v>12371</v>
      </c>
      <c r="I563">
        <v>10</v>
      </c>
      <c r="J563">
        <v>315</v>
      </c>
      <c r="K563" t="str">
        <f t="shared" si="8"/>
        <v>Filtered out</v>
      </c>
    </row>
    <row r="564" spans="1:11" x14ac:dyDescent="0.2">
      <c r="A564" t="s">
        <v>13040</v>
      </c>
      <c r="B564" t="s">
        <v>12393</v>
      </c>
      <c r="C564" t="s">
        <v>12373</v>
      </c>
      <c r="D564">
        <v>1740</v>
      </c>
      <c r="E564">
        <v>1735</v>
      </c>
      <c r="F564">
        <v>0</v>
      </c>
      <c r="G564" s="13">
        <v>0.61699999999999999</v>
      </c>
      <c r="H564" s="1" t="s">
        <v>12371</v>
      </c>
      <c r="I564">
        <v>10</v>
      </c>
      <c r="J564">
        <v>255</v>
      </c>
      <c r="K564" t="str">
        <f t="shared" si="8"/>
        <v>Filtered out</v>
      </c>
    </row>
    <row r="565" spans="1:11" x14ac:dyDescent="0.2">
      <c r="A565" t="s">
        <v>13041</v>
      </c>
      <c r="B565" t="s">
        <v>12373</v>
      </c>
      <c r="C565" t="s">
        <v>12373</v>
      </c>
      <c r="D565">
        <v>597</v>
      </c>
      <c r="E565">
        <v>595</v>
      </c>
      <c r="F565">
        <v>0</v>
      </c>
      <c r="G565" s="13">
        <v>0.36199999999999999</v>
      </c>
      <c r="H565" s="1" t="s">
        <v>12371</v>
      </c>
      <c r="I565">
        <v>1</v>
      </c>
      <c r="J565">
        <v>114</v>
      </c>
      <c r="K565" t="str">
        <f t="shared" si="8"/>
        <v>Filtered out</v>
      </c>
    </row>
    <row r="566" spans="1:11" x14ac:dyDescent="0.2">
      <c r="A566" t="s">
        <v>13042</v>
      </c>
      <c r="B566" t="s">
        <v>12373</v>
      </c>
      <c r="C566" t="s">
        <v>12373</v>
      </c>
      <c r="D566">
        <v>981</v>
      </c>
      <c r="E566">
        <v>976</v>
      </c>
      <c r="F566">
        <v>0</v>
      </c>
      <c r="G566" s="13">
        <v>0.89500000000000002</v>
      </c>
      <c r="H566" s="1" t="s">
        <v>12371</v>
      </c>
      <c r="I566">
        <v>3</v>
      </c>
      <c r="J566">
        <v>215</v>
      </c>
      <c r="K566" t="str">
        <f t="shared" si="8"/>
        <v>Filtered out</v>
      </c>
    </row>
    <row r="567" spans="1:11" x14ac:dyDescent="0.2">
      <c r="A567" t="s">
        <v>13043</v>
      </c>
      <c r="B567" t="s">
        <v>12522</v>
      </c>
      <c r="C567" t="s">
        <v>12373</v>
      </c>
      <c r="D567">
        <v>948</v>
      </c>
      <c r="E567">
        <v>937</v>
      </c>
      <c r="F567">
        <v>1</v>
      </c>
      <c r="G567" s="13">
        <v>0.5</v>
      </c>
      <c r="H567" s="1" t="s">
        <v>12371</v>
      </c>
      <c r="I567">
        <v>12</v>
      </c>
      <c r="J567">
        <v>110</v>
      </c>
      <c r="K567" t="str">
        <f t="shared" si="8"/>
        <v>Filtered out</v>
      </c>
    </row>
    <row r="568" spans="1:11" x14ac:dyDescent="0.2">
      <c r="A568" t="s">
        <v>13044</v>
      </c>
      <c r="B568" t="s">
        <v>12373</v>
      </c>
      <c r="C568" t="s">
        <v>12373</v>
      </c>
      <c r="D568">
        <v>950</v>
      </c>
      <c r="E568">
        <v>943</v>
      </c>
      <c r="F568">
        <v>0</v>
      </c>
      <c r="G568" s="13">
        <v>0.22</v>
      </c>
      <c r="H568" s="1" t="s">
        <v>12371</v>
      </c>
      <c r="I568">
        <v>8</v>
      </c>
      <c r="J568">
        <v>17</v>
      </c>
      <c r="K568" t="str">
        <f t="shared" si="8"/>
        <v>Filtered out</v>
      </c>
    </row>
    <row r="569" spans="1:11" x14ac:dyDescent="0.2">
      <c r="A569" t="s">
        <v>13045</v>
      </c>
      <c r="B569" t="s">
        <v>12373</v>
      </c>
      <c r="C569" t="s">
        <v>12373</v>
      </c>
      <c r="D569">
        <v>380</v>
      </c>
      <c r="E569">
        <v>388</v>
      </c>
      <c r="F569">
        <v>-2</v>
      </c>
      <c r="G569" s="13">
        <v>0.64300000000000002</v>
      </c>
      <c r="H569" s="1" t="s">
        <v>12371</v>
      </c>
      <c r="I569">
        <v>1</v>
      </c>
      <c r="J569">
        <v>108</v>
      </c>
      <c r="K569" t="str">
        <f t="shared" si="8"/>
        <v>Filtered out</v>
      </c>
    </row>
    <row r="570" spans="1:11" x14ac:dyDescent="0.2">
      <c r="A570" t="s">
        <v>13046</v>
      </c>
      <c r="B570" t="s">
        <v>12373</v>
      </c>
      <c r="C570" t="s">
        <v>12373</v>
      </c>
      <c r="D570">
        <v>368</v>
      </c>
      <c r="E570">
        <v>391</v>
      </c>
      <c r="F570">
        <v>-5</v>
      </c>
      <c r="G570" s="13">
        <v>0.64300000000000002</v>
      </c>
      <c r="H570" s="1" t="s">
        <v>12371</v>
      </c>
      <c r="I570">
        <v>1</v>
      </c>
      <c r="J570">
        <v>108</v>
      </c>
      <c r="K570" t="str">
        <f t="shared" si="8"/>
        <v>Filtered out</v>
      </c>
    </row>
    <row r="571" spans="1:11" x14ac:dyDescent="0.2">
      <c r="A571" t="s">
        <v>13047</v>
      </c>
      <c r="B571" t="s">
        <v>12382</v>
      </c>
      <c r="C571" t="s">
        <v>12522</v>
      </c>
      <c r="D571">
        <v>1116</v>
      </c>
      <c r="E571">
        <v>535</v>
      </c>
      <c r="F571">
        <v>108</v>
      </c>
      <c r="G571" s="13">
        <v>0.98299999999999998</v>
      </c>
      <c r="H571" s="1" t="s">
        <v>12371</v>
      </c>
      <c r="I571">
        <v>4</v>
      </c>
      <c r="J571">
        <v>245</v>
      </c>
      <c r="K571" t="str">
        <f t="shared" si="8"/>
        <v>Filtered out</v>
      </c>
    </row>
    <row r="572" spans="1:11" x14ac:dyDescent="0.2">
      <c r="A572" t="s">
        <v>13045</v>
      </c>
      <c r="B572" t="s">
        <v>12373</v>
      </c>
      <c r="C572" t="s">
        <v>12373</v>
      </c>
      <c r="D572">
        <v>380</v>
      </c>
      <c r="E572">
        <v>388</v>
      </c>
      <c r="F572">
        <v>-2</v>
      </c>
      <c r="G572" s="13">
        <v>0.64300000000000002</v>
      </c>
      <c r="H572" s="1" t="s">
        <v>12371</v>
      </c>
      <c r="I572">
        <v>1</v>
      </c>
      <c r="J572">
        <v>108</v>
      </c>
      <c r="K572" t="str">
        <f t="shared" si="8"/>
        <v>Filtered out</v>
      </c>
    </row>
    <row r="573" spans="1:11" x14ac:dyDescent="0.2">
      <c r="A573" t="s">
        <v>13048</v>
      </c>
      <c r="B573" t="s">
        <v>12460</v>
      </c>
      <c r="C573" t="s">
        <v>12460</v>
      </c>
      <c r="D573">
        <v>579</v>
      </c>
      <c r="E573">
        <v>580</v>
      </c>
      <c r="F573">
        <v>0</v>
      </c>
      <c r="G573" s="13">
        <v>0.69099999999999995</v>
      </c>
      <c r="H573" s="1" t="s">
        <v>12371</v>
      </c>
      <c r="I573">
        <v>4</v>
      </c>
      <c r="J573">
        <v>97</v>
      </c>
      <c r="K573" t="str">
        <f t="shared" si="8"/>
        <v>Filtered out</v>
      </c>
    </row>
    <row r="574" spans="1:11" x14ac:dyDescent="0.2">
      <c r="A574" t="s">
        <v>13049</v>
      </c>
      <c r="B574" t="s">
        <v>12460</v>
      </c>
      <c r="C574" t="s">
        <v>12460</v>
      </c>
      <c r="D574">
        <v>1089</v>
      </c>
      <c r="E574">
        <v>1090</v>
      </c>
      <c r="F574">
        <v>0</v>
      </c>
      <c r="G574" s="13">
        <v>0.495</v>
      </c>
      <c r="H574" s="1" t="s">
        <v>12371</v>
      </c>
      <c r="I574">
        <v>11</v>
      </c>
      <c r="J574">
        <v>97</v>
      </c>
      <c r="K574" t="str">
        <f t="shared" si="8"/>
        <v>Filtered out</v>
      </c>
    </row>
    <row r="575" spans="1:11" x14ac:dyDescent="0.2">
      <c r="A575" t="s">
        <v>13050</v>
      </c>
      <c r="B575" t="s">
        <v>12375</v>
      </c>
      <c r="C575" t="s">
        <v>12991</v>
      </c>
      <c r="D575">
        <v>906</v>
      </c>
      <c r="E575">
        <v>1003</v>
      </c>
      <c r="F575">
        <v>-9</v>
      </c>
      <c r="G575" s="13">
        <v>0.95799999999999996</v>
      </c>
      <c r="H575" s="1" t="s">
        <v>12371</v>
      </c>
      <c r="I575">
        <v>13</v>
      </c>
      <c r="J575">
        <v>113</v>
      </c>
      <c r="K575" t="str">
        <f t="shared" si="8"/>
        <v>Filtered out</v>
      </c>
    </row>
    <row r="576" spans="1:11" x14ac:dyDescent="0.2">
      <c r="A576" t="s">
        <v>13051</v>
      </c>
      <c r="B576" t="s">
        <v>12405</v>
      </c>
      <c r="C576" t="s">
        <v>12539</v>
      </c>
      <c r="D576">
        <v>404</v>
      </c>
      <c r="E576">
        <v>561</v>
      </c>
      <c r="F576">
        <v>-27</v>
      </c>
      <c r="G576" s="13">
        <v>0.99</v>
      </c>
      <c r="H576" s="1" t="s">
        <v>12371</v>
      </c>
      <c r="I576">
        <v>3</v>
      </c>
      <c r="J576">
        <v>122</v>
      </c>
      <c r="K576" t="str">
        <f t="shared" si="8"/>
        <v>Filtered out</v>
      </c>
    </row>
    <row r="577" spans="1:11" x14ac:dyDescent="0.2">
      <c r="A577" t="s">
        <v>13052</v>
      </c>
      <c r="B577" t="s">
        <v>12373</v>
      </c>
      <c r="C577" t="s">
        <v>12373</v>
      </c>
      <c r="D577">
        <v>2028</v>
      </c>
      <c r="E577">
        <v>2028</v>
      </c>
      <c r="F577">
        <v>0</v>
      </c>
      <c r="G577" s="13">
        <v>0.99399999999999999</v>
      </c>
      <c r="H577" s="1" t="s">
        <v>12371</v>
      </c>
      <c r="I577">
        <v>78</v>
      </c>
      <c r="J577">
        <v>71</v>
      </c>
      <c r="K577" t="str">
        <f t="shared" si="8"/>
        <v>Retained</v>
      </c>
    </row>
    <row r="578" spans="1:11" x14ac:dyDescent="0.2">
      <c r="A578" t="s">
        <v>13053</v>
      </c>
      <c r="B578" t="s">
        <v>12402</v>
      </c>
      <c r="C578" t="s">
        <v>12450</v>
      </c>
      <c r="D578">
        <v>225</v>
      </c>
      <c r="E578">
        <v>640</v>
      </c>
      <c r="F578">
        <v>-64</v>
      </c>
      <c r="G578" s="13">
        <v>0.34799999999999998</v>
      </c>
      <c r="H578" s="1" t="s">
        <v>12371</v>
      </c>
      <c r="I578">
        <v>3</v>
      </c>
      <c r="J578">
        <v>37</v>
      </c>
      <c r="K578" t="str">
        <f t="shared" si="8"/>
        <v>Filtered out</v>
      </c>
    </row>
    <row r="579" spans="1:11" x14ac:dyDescent="0.2">
      <c r="A579" t="s">
        <v>13053</v>
      </c>
      <c r="B579" t="s">
        <v>12402</v>
      </c>
      <c r="C579" t="s">
        <v>12450</v>
      </c>
      <c r="D579">
        <v>225</v>
      </c>
      <c r="E579">
        <v>640</v>
      </c>
      <c r="F579">
        <v>-64</v>
      </c>
      <c r="G579" s="13">
        <v>0.34799999999999998</v>
      </c>
      <c r="H579" s="1" t="s">
        <v>12371</v>
      </c>
      <c r="I579">
        <v>3</v>
      </c>
      <c r="J579">
        <v>37</v>
      </c>
      <c r="K579" t="str">
        <f t="shared" si="8"/>
        <v>Filtered out</v>
      </c>
    </row>
    <row r="580" spans="1:11" x14ac:dyDescent="0.2">
      <c r="A580" t="s">
        <v>13054</v>
      </c>
      <c r="B580" t="s">
        <v>12574</v>
      </c>
      <c r="C580" t="s">
        <v>12373</v>
      </c>
      <c r="D580">
        <v>1842</v>
      </c>
      <c r="E580">
        <v>2101</v>
      </c>
      <c r="F580">
        <v>-12</v>
      </c>
      <c r="G580" s="13">
        <v>0.874</v>
      </c>
      <c r="H580" s="1" t="s">
        <v>12371</v>
      </c>
      <c r="I580">
        <v>17</v>
      </c>
      <c r="J580">
        <v>58</v>
      </c>
      <c r="K580" t="str">
        <f t="shared" si="8"/>
        <v>Filtered out</v>
      </c>
    </row>
    <row r="581" spans="1:11" x14ac:dyDescent="0.2">
      <c r="A581" t="s">
        <v>13055</v>
      </c>
      <c r="B581" t="s">
        <v>12508</v>
      </c>
      <c r="C581" t="s">
        <v>12497</v>
      </c>
      <c r="D581">
        <v>1554</v>
      </c>
      <c r="E581">
        <v>2569</v>
      </c>
      <c r="F581">
        <v>-39</v>
      </c>
      <c r="G581" s="13">
        <v>0.99299999999999999</v>
      </c>
      <c r="H581" s="1" t="s">
        <v>12371</v>
      </c>
      <c r="I581">
        <v>2</v>
      </c>
      <c r="J581">
        <v>3</v>
      </c>
      <c r="K581" t="str">
        <f t="shared" si="8"/>
        <v>Filtered out</v>
      </c>
    </row>
    <row r="582" spans="1:11" x14ac:dyDescent="0.2">
      <c r="A582" t="s">
        <v>13056</v>
      </c>
      <c r="B582" t="s">
        <v>12373</v>
      </c>
      <c r="C582" t="s">
        <v>12373</v>
      </c>
      <c r="D582">
        <v>1827</v>
      </c>
      <c r="E582">
        <v>1822</v>
      </c>
      <c r="F582">
        <v>0</v>
      </c>
      <c r="G582" s="13">
        <v>0.55900000000000005</v>
      </c>
      <c r="H582" s="1" t="s">
        <v>12371</v>
      </c>
      <c r="I582">
        <v>9</v>
      </c>
      <c r="J582">
        <v>273</v>
      </c>
      <c r="K582" t="str">
        <f t="shared" si="8"/>
        <v>Filtered out</v>
      </c>
    </row>
    <row r="583" spans="1:11" x14ac:dyDescent="0.2">
      <c r="A583" t="s">
        <v>13057</v>
      </c>
      <c r="B583" t="s">
        <v>12428</v>
      </c>
      <c r="C583" t="s">
        <v>12431</v>
      </c>
      <c r="D583">
        <v>660</v>
      </c>
      <c r="E583">
        <v>1231</v>
      </c>
      <c r="F583">
        <v>-46</v>
      </c>
      <c r="G583" s="13">
        <v>0.85099999999999998</v>
      </c>
      <c r="H583" s="1" t="s">
        <v>12371</v>
      </c>
      <c r="I583">
        <v>2</v>
      </c>
      <c r="J583">
        <v>188</v>
      </c>
      <c r="K583" t="str">
        <f t="shared" si="8"/>
        <v>Filtered out</v>
      </c>
    </row>
    <row r="584" spans="1:11" x14ac:dyDescent="0.2">
      <c r="A584" t="s">
        <v>13058</v>
      </c>
      <c r="B584" t="s">
        <v>12373</v>
      </c>
      <c r="C584" t="s">
        <v>12373</v>
      </c>
      <c r="D584">
        <v>756</v>
      </c>
      <c r="E584">
        <v>756</v>
      </c>
      <c r="F584">
        <v>0</v>
      </c>
      <c r="G584" s="13">
        <v>0.97599999999999998</v>
      </c>
      <c r="H584" s="1" t="s">
        <v>12371</v>
      </c>
      <c r="I584">
        <v>8</v>
      </c>
      <c r="J584">
        <v>51</v>
      </c>
      <c r="K584" t="str">
        <f t="shared" si="8"/>
        <v>Retained</v>
      </c>
    </row>
    <row r="585" spans="1:11" x14ac:dyDescent="0.2">
      <c r="A585" t="s">
        <v>13059</v>
      </c>
      <c r="B585" t="s">
        <v>13060</v>
      </c>
      <c r="C585" t="s">
        <v>12373</v>
      </c>
      <c r="D585">
        <v>5501</v>
      </c>
      <c r="E585">
        <v>5731</v>
      </c>
      <c r="F585">
        <v>-4</v>
      </c>
      <c r="G585" s="13">
        <v>0.999</v>
      </c>
      <c r="H585" s="1" t="s">
        <v>12371</v>
      </c>
      <c r="I585">
        <v>107</v>
      </c>
      <c r="J585">
        <v>920</v>
      </c>
      <c r="K585" t="str">
        <f t="shared" ref="K585:K648" si="9">IF(AND(B585=C585,F585&lt;10,F585&gt;-10,I585&gt;0,G585&gt;90%,G585&lt;100%),"Retained","Filtered out")</f>
        <v>Filtered out</v>
      </c>
    </row>
    <row r="586" spans="1:11" x14ac:dyDescent="0.2">
      <c r="A586" t="s">
        <v>13061</v>
      </c>
      <c r="B586" t="s">
        <v>12591</v>
      </c>
      <c r="C586" t="s">
        <v>12591</v>
      </c>
      <c r="D586">
        <v>486</v>
      </c>
      <c r="E586">
        <v>1165</v>
      </c>
      <c r="F586">
        <v>-58</v>
      </c>
      <c r="G586" s="13">
        <v>0.47299999999999998</v>
      </c>
      <c r="H586" s="1" t="s">
        <v>12371</v>
      </c>
      <c r="I586">
        <v>2</v>
      </c>
      <c r="J586">
        <v>10</v>
      </c>
      <c r="K586" t="str">
        <f t="shared" si="9"/>
        <v>Filtered out</v>
      </c>
    </row>
    <row r="587" spans="1:11" x14ac:dyDescent="0.2">
      <c r="A587" t="s">
        <v>13062</v>
      </c>
      <c r="B587" t="s">
        <v>12668</v>
      </c>
      <c r="C587" t="s">
        <v>12373</v>
      </c>
      <c r="D587">
        <v>1475</v>
      </c>
      <c r="E587">
        <v>1564</v>
      </c>
      <c r="F587">
        <v>-5</v>
      </c>
      <c r="G587" s="13">
        <v>0.72899999999999998</v>
      </c>
      <c r="H587" s="1" t="s">
        <v>12371</v>
      </c>
      <c r="I587">
        <v>2</v>
      </c>
      <c r="J587">
        <v>368</v>
      </c>
      <c r="K587" t="str">
        <f t="shared" si="9"/>
        <v>Filtered out</v>
      </c>
    </row>
    <row r="588" spans="1:11" x14ac:dyDescent="0.2">
      <c r="A588" t="s">
        <v>13063</v>
      </c>
      <c r="B588" t="s">
        <v>12373</v>
      </c>
      <c r="C588" t="s">
        <v>12373</v>
      </c>
      <c r="D588">
        <v>1064</v>
      </c>
      <c r="E588">
        <v>1063</v>
      </c>
      <c r="F588">
        <v>0</v>
      </c>
      <c r="G588" s="13">
        <v>0.72399999999999998</v>
      </c>
      <c r="H588" s="1" t="s">
        <v>12371</v>
      </c>
      <c r="I588">
        <v>13</v>
      </c>
      <c r="J588">
        <v>37</v>
      </c>
      <c r="K588" t="str">
        <f t="shared" si="9"/>
        <v>Filtered out</v>
      </c>
    </row>
    <row r="589" spans="1:11" x14ac:dyDescent="0.2">
      <c r="A589" t="s">
        <v>13064</v>
      </c>
      <c r="B589" t="s">
        <v>12373</v>
      </c>
      <c r="C589" t="s">
        <v>12373</v>
      </c>
      <c r="D589">
        <v>317</v>
      </c>
      <c r="E589">
        <v>319</v>
      </c>
      <c r="F589">
        <v>0</v>
      </c>
      <c r="G589" s="13">
        <v>0.54500000000000004</v>
      </c>
      <c r="H589" s="1" t="s">
        <v>12371</v>
      </c>
      <c r="I589">
        <v>9</v>
      </c>
      <c r="J589">
        <v>41</v>
      </c>
      <c r="K589" t="str">
        <f t="shared" si="9"/>
        <v>Filtered out</v>
      </c>
    </row>
    <row r="590" spans="1:11" x14ac:dyDescent="0.2">
      <c r="A590" t="s">
        <v>13065</v>
      </c>
      <c r="B590" t="s">
        <v>12446</v>
      </c>
      <c r="C590" t="s">
        <v>12373</v>
      </c>
      <c r="D590">
        <v>2565</v>
      </c>
      <c r="E590">
        <v>2881</v>
      </c>
      <c r="F590">
        <v>-10</v>
      </c>
      <c r="G590" s="13">
        <v>0.95</v>
      </c>
      <c r="H590" s="1" t="s">
        <v>12437</v>
      </c>
      <c r="I590">
        <v>0</v>
      </c>
      <c r="J590" t="s">
        <v>12438</v>
      </c>
      <c r="K590" t="str">
        <f t="shared" si="9"/>
        <v>Filtered out</v>
      </c>
    </row>
    <row r="591" spans="1:11" x14ac:dyDescent="0.2">
      <c r="A591" t="s">
        <v>13066</v>
      </c>
      <c r="B591" t="s">
        <v>12428</v>
      </c>
      <c r="C591" t="s">
        <v>12373</v>
      </c>
      <c r="D591">
        <v>807</v>
      </c>
      <c r="E591">
        <v>985</v>
      </c>
      <c r="F591">
        <v>-18</v>
      </c>
      <c r="G591" s="13">
        <v>0.29499999999999998</v>
      </c>
      <c r="H591" s="1" t="s">
        <v>12371</v>
      </c>
      <c r="I591">
        <v>17</v>
      </c>
      <c r="J591">
        <v>73</v>
      </c>
      <c r="K591" t="str">
        <f t="shared" si="9"/>
        <v>Filtered out</v>
      </c>
    </row>
    <row r="592" spans="1:11" x14ac:dyDescent="0.2">
      <c r="A592" t="s">
        <v>13067</v>
      </c>
      <c r="B592" t="s">
        <v>12373</v>
      </c>
      <c r="C592" t="s">
        <v>12373</v>
      </c>
      <c r="D592">
        <v>3872</v>
      </c>
      <c r="E592">
        <v>4237</v>
      </c>
      <c r="F592">
        <v>-8</v>
      </c>
      <c r="G592" s="13">
        <v>0.47099999999999997</v>
      </c>
      <c r="H592" s="1" t="s">
        <v>12371</v>
      </c>
      <c r="I592">
        <v>35</v>
      </c>
      <c r="J592">
        <v>298</v>
      </c>
      <c r="K592" t="str">
        <f t="shared" si="9"/>
        <v>Filtered out</v>
      </c>
    </row>
    <row r="593" spans="1:11" x14ac:dyDescent="0.2">
      <c r="A593" t="s">
        <v>13068</v>
      </c>
      <c r="B593" t="s">
        <v>12497</v>
      </c>
      <c r="C593" t="s">
        <v>12601</v>
      </c>
      <c r="D593">
        <v>707</v>
      </c>
      <c r="E593">
        <v>883</v>
      </c>
      <c r="F593">
        <v>-19</v>
      </c>
      <c r="G593" s="13">
        <v>0.94299999999999995</v>
      </c>
      <c r="H593" s="1" t="s">
        <v>12371</v>
      </c>
      <c r="I593">
        <v>4</v>
      </c>
      <c r="J593">
        <v>150</v>
      </c>
      <c r="K593" t="str">
        <f t="shared" si="9"/>
        <v>Filtered out</v>
      </c>
    </row>
    <row r="594" spans="1:11" x14ac:dyDescent="0.2">
      <c r="A594" t="s">
        <v>13069</v>
      </c>
      <c r="B594" t="s">
        <v>12379</v>
      </c>
      <c r="C594" t="s">
        <v>12423</v>
      </c>
      <c r="D594">
        <v>1215</v>
      </c>
      <c r="E594">
        <v>1553</v>
      </c>
      <c r="F594">
        <v>-21</v>
      </c>
      <c r="G594" s="13">
        <v>0.311</v>
      </c>
      <c r="H594" s="1" t="s">
        <v>12371</v>
      </c>
      <c r="I594">
        <v>5</v>
      </c>
      <c r="J594">
        <v>82</v>
      </c>
      <c r="K594" t="str">
        <f t="shared" si="9"/>
        <v>Filtered out</v>
      </c>
    </row>
    <row r="595" spans="1:11" x14ac:dyDescent="0.2">
      <c r="A595" t="s">
        <v>13070</v>
      </c>
      <c r="B595" t="s">
        <v>12461</v>
      </c>
      <c r="C595" t="s">
        <v>12373</v>
      </c>
      <c r="D595">
        <v>1253</v>
      </c>
      <c r="E595">
        <v>1291</v>
      </c>
      <c r="F595">
        <v>-2</v>
      </c>
      <c r="G595" s="13">
        <v>0.73699999999999999</v>
      </c>
      <c r="H595" s="1" t="s">
        <v>12371</v>
      </c>
      <c r="I595">
        <v>9</v>
      </c>
      <c r="J595">
        <v>262</v>
      </c>
      <c r="K595" t="str">
        <f t="shared" si="9"/>
        <v>Filtered out</v>
      </c>
    </row>
    <row r="596" spans="1:11" x14ac:dyDescent="0.2">
      <c r="A596" t="s">
        <v>13071</v>
      </c>
      <c r="B596" t="s">
        <v>12598</v>
      </c>
      <c r="C596" t="s">
        <v>12575</v>
      </c>
      <c r="D596">
        <v>1224</v>
      </c>
      <c r="E596">
        <v>1189</v>
      </c>
      <c r="F596">
        <v>2</v>
      </c>
      <c r="G596" s="13">
        <v>0.80400000000000005</v>
      </c>
      <c r="H596" s="1" t="s">
        <v>12371</v>
      </c>
      <c r="I596">
        <v>2</v>
      </c>
      <c r="J596">
        <v>328</v>
      </c>
      <c r="K596" t="str">
        <f t="shared" si="9"/>
        <v>Filtered out</v>
      </c>
    </row>
    <row r="597" spans="1:11" x14ac:dyDescent="0.2">
      <c r="A597" t="s">
        <v>13072</v>
      </c>
      <c r="B597" t="s">
        <v>12373</v>
      </c>
      <c r="C597" t="s">
        <v>12373</v>
      </c>
      <c r="D597">
        <v>2532</v>
      </c>
      <c r="E597">
        <v>2530</v>
      </c>
      <c r="F597">
        <v>0</v>
      </c>
      <c r="G597" s="13">
        <v>0.59699999999999998</v>
      </c>
      <c r="H597" s="1" t="s">
        <v>12371</v>
      </c>
      <c r="I597">
        <v>18</v>
      </c>
      <c r="J597">
        <v>497</v>
      </c>
      <c r="K597" t="str">
        <f t="shared" si="9"/>
        <v>Filtered out</v>
      </c>
    </row>
    <row r="598" spans="1:11" x14ac:dyDescent="0.2">
      <c r="A598" t="s">
        <v>13073</v>
      </c>
      <c r="B598" t="s">
        <v>12413</v>
      </c>
      <c r="C598" t="s">
        <v>12461</v>
      </c>
      <c r="D598">
        <v>777</v>
      </c>
      <c r="E598">
        <v>844</v>
      </c>
      <c r="F598">
        <v>-7</v>
      </c>
      <c r="G598" s="13">
        <v>0.88500000000000001</v>
      </c>
      <c r="H598" s="1" t="s">
        <v>12437</v>
      </c>
      <c r="I598">
        <v>0</v>
      </c>
      <c r="J598" t="s">
        <v>12438</v>
      </c>
      <c r="K598" t="str">
        <f t="shared" si="9"/>
        <v>Filtered out</v>
      </c>
    </row>
    <row r="599" spans="1:11" x14ac:dyDescent="0.2">
      <c r="A599" t="s">
        <v>13074</v>
      </c>
      <c r="B599" t="s">
        <v>12413</v>
      </c>
      <c r="C599" t="s">
        <v>12461</v>
      </c>
      <c r="D599">
        <v>777</v>
      </c>
      <c r="E599">
        <v>844</v>
      </c>
      <c r="F599">
        <v>-7</v>
      </c>
      <c r="G599" s="13">
        <v>0.88500000000000001</v>
      </c>
      <c r="H599" s="1" t="s">
        <v>12437</v>
      </c>
      <c r="I599">
        <v>0</v>
      </c>
      <c r="J599" t="s">
        <v>12438</v>
      </c>
      <c r="K599" t="str">
        <f t="shared" si="9"/>
        <v>Filtered out</v>
      </c>
    </row>
    <row r="600" spans="1:11" x14ac:dyDescent="0.2">
      <c r="A600" t="s">
        <v>13075</v>
      </c>
      <c r="B600" t="s">
        <v>12446</v>
      </c>
      <c r="C600" t="s">
        <v>12644</v>
      </c>
      <c r="D600">
        <v>6170</v>
      </c>
      <c r="E600">
        <v>3850</v>
      </c>
      <c r="F600">
        <v>60</v>
      </c>
      <c r="G600" s="13">
        <v>1</v>
      </c>
      <c r="H600" s="1" t="s">
        <v>12371</v>
      </c>
      <c r="I600">
        <v>98</v>
      </c>
      <c r="J600">
        <v>1074</v>
      </c>
      <c r="K600" t="str">
        <f t="shared" si="9"/>
        <v>Filtered out</v>
      </c>
    </row>
    <row r="601" spans="1:11" x14ac:dyDescent="0.2">
      <c r="A601" t="s">
        <v>13076</v>
      </c>
      <c r="B601" t="s">
        <v>12373</v>
      </c>
      <c r="C601" t="s">
        <v>12373</v>
      </c>
      <c r="D601">
        <v>1934</v>
      </c>
      <c r="E601">
        <v>1942</v>
      </c>
      <c r="F601">
        <v>0</v>
      </c>
      <c r="G601" s="13">
        <v>0.44800000000000001</v>
      </c>
      <c r="H601" s="1" t="s">
        <v>12371</v>
      </c>
      <c r="I601">
        <v>47</v>
      </c>
      <c r="J601">
        <v>79</v>
      </c>
      <c r="K601" t="str">
        <f t="shared" si="9"/>
        <v>Filtered out</v>
      </c>
    </row>
    <row r="602" spans="1:11" x14ac:dyDescent="0.2">
      <c r="A602" t="s">
        <v>13077</v>
      </c>
      <c r="B602" t="s">
        <v>12375</v>
      </c>
      <c r="C602" t="s">
        <v>12375</v>
      </c>
      <c r="D602">
        <v>500</v>
      </c>
      <c r="E602">
        <v>508</v>
      </c>
      <c r="F602">
        <v>-1</v>
      </c>
      <c r="G602" s="13">
        <v>0.93700000000000006</v>
      </c>
      <c r="H602" s="1" t="s">
        <v>12437</v>
      </c>
      <c r="I602">
        <v>0</v>
      </c>
      <c r="J602" t="s">
        <v>12438</v>
      </c>
      <c r="K602" t="str">
        <f t="shared" si="9"/>
        <v>Filtered out</v>
      </c>
    </row>
    <row r="603" spans="1:11" x14ac:dyDescent="0.2">
      <c r="A603" t="s">
        <v>13078</v>
      </c>
      <c r="B603" t="s">
        <v>12591</v>
      </c>
      <c r="C603" t="s">
        <v>12416</v>
      </c>
      <c r="D603">
        <v>480</v>
      </c>
      <c r="E603">
        <v>430</v>
      </c>
      <c r="F603">
        <v>11</v>
      </c>
      <c r="G603" s="13">
        <v>0.45500000000000002</v>
      </c>
      <c r="H603" s="1" t="s">
        <v>12371</v>
      </c>
      <c r="I603">
        <v>6</v>
      </c>
      <c r="J603">
        <v>60</v>
      </c>
      <c r="K603" t="str">
        <f t="shared" si="9"/>
        <v>Filtered out</v>
      </c>
    </row>
    <row r="604" spans="1:11" x14ac:dyDescent="0.2">
      <c r="A604" t="s">
        <v>13079</v>
      </c>
      <c r="B604" t="s">
        <v>12601</v>
      </c>
      <c r="C604" t="s">
        <v>12373</v>
      </c>
      <c r="D604">
        <v>1508</v>
      </c>
      <c r="E604">
        <v>1576</v>
      </c>
      <c r="F604">
        <v>-4</v>
      </c>
      <c r="G604" s="13">
        <v>0.78900000000000003</v>
      </c>
      <c r="H604" s="1" t="s">
        <v>12371</v>
      </c>
      <c r="I604">
        <v>16</v>
      </c>
      <c r="J604">
        <v>46</v>
      </c>
      <c r="K604" t="str">
        <f t="shared" si="9"/>
        <v>Filtered out</v>
      </c>
    </row>
    <row r="605" spans="1:11" x14ac:dyDescent="0.2">
      <c r="A605" t="s">
        <v>13080</v>
      </c>
      <c r="B605" t="s">
        <v>12574</v>
      </c>
      <c r="C605" t="s">
        <v>12375</v>
      </c>
      <c r="D605">
        <v>1547</v>
      </c>
      <c r="E605">
        <v>1640</v>
      </c>
      <c r="F605">
        <v>-5</v>
      </c>
      <c r="G605" s="13">
        <v>0.97699999999999998</v>
      </c>
      <c r="H605" s="1" t="s">
        <v>12437</v>
      </c>
      <c r="I605">
        <v>0</v>
      </c>
      <c r="J605" t="s">
        <v>12438</v>
      </c>
      <c r="K605" t="str">
        <f t="shared" si="9"/>
        <v>Filtered out</v>
      </c>
    </row>
    <row r="606" spans="1:11" x14ac:dyDescent="0.2">
      <c r="A606" t="s">
        <v>13081</v>
      </c>
      <c r="B606" t="s">
        <v>12379</v>
      </c>
      <c r="C606" t="s">
        <v>12406</v>
      </c>
      <c r="D606">
        <v>771</v>
      </c>
      <c r="E606">
        <v>1267</v>
      </c>
      <c r="F606">
        <v>-39</v>
      </c>
      <c r="G606" s="13">
        <v>0.92</v>
      </c>
      <c r="H606" s="1" t="s">
        <v>12371</v>
      </c>
      <c r="I606">
        <v>1</v>
      </c>
      <c r="J606">
        <v>231</v>
      </c>
      <c r="K606" t="str">
        <f t="shared" si="9"/>
        <v>Filtered out</v>
      </c>
    </row>
    <row r="607" spans="1:11" x14ac:dyDescent="0.2">
      <c r="A607" t="s">
        <v>13082</v>
      </c>
      <c r="B607" t="s">
        <v>12497</v>
      </c>
      <c r="C607" t="s">
        <v>12373</v>
      </c>
      <c r="D607">
        <v>495</v>
      </c>
      <c r="E607">
        <v>595</v>
      </c>
      <c r="F607">
        <v>-16</v>
      </c>
      <c r="G607" s="13">
        <v>0.85</v>
      </c>
      <c r="H607" s="1" t="s">
        <v>12371</v>
      </c>
      <c r="I607">
        <v>4</v>
      </c>
      <c r="J607">
        <v>82</v>
      </c>
      <c r="K607" t="str">
        <f t="shared" si="9"/>
        <v>Filtered out</v>
      </c>
    </row>
    <row r="608" spans="1:11" x14ac:dyDescent="0.2">
      <c r="A608" t="s">
        <v>13083</v>
      </c>
      <c r="B608" t="s">
        <v>12375</v>
      </c>
      <c r="C608" t="s">
        <v>12373</v>
      </c>
      <c r="D608">
        <v>923</v>
      </c>
      <c r="E608">
        <v>535</v>
      </c>
      <c r="F608">
        <v>72</v>
      </c>
      <c r="G608" s="13">
        <v>0.99399999999999999</v>
      </c>
      <c r="H608" s="1" t="s">
        <v>12371</v>
      </c>
      <c r="I608">
        <v>1</v>
      </c>
      <c r="J608">
        <v>303</v>
      </c>
      <c r="K608" t="str">
        <f t="shared" si="9"/>
        <v>Filtered out</v>
      </c>
    </row>
    <row r="609" spans="1:11" x14ac:dyDescent="0.2">
      <c r="A609" t="s">
        <v>13084</v>
      </c>
      <c r="B609" t="s">
        <v>12375</v>
      </c>
      <c r="C609" t="s">
        <v>12375</v>
      </c>
      <c r="D609">
        <v>789</v>
      </c>
      <c r="E609">
        <v>718</v>
      </c>
      <c r="F609">
        <v>9</v>
      </c>
      <c r="G609" s="13">
        <v>0.21</v>
      </c>
      <c r="H609" s="1" t="s">
        <v>12371</v>
      </c>
      <c r="I609">
        <v>6</v>
      </c>
      <c r="J609">
        <v>139</v>
      </c>
      <c r="K609" t="str">
        <f t="shared" si="9"/>
        <v>Filtered out</v>
      </c>
    </row>
    <row r="610" spans="1:11" x14ac:dyDescent="0.2">
      <c r="A610" t="s">
        <v>13085</v>
      </c>
      <c r="B610" t="s">
        <v>12382</v>
      </c>
      <c r="C610" t="s">
        <v>12382</v>
      </c>
      <c r="D610">
        <v>3492</v>
      </c>
      <c r="E610">
        <v>4066</v>
      </c>
      <c r="F610">
        <v>-14</v>
      </c>
      <c r="G610" s="13">
        <v>0.95499999999999996</v>
      </c>
      <c r="H610" s="1" t="s">
        <v>12371</v>
      </c>
      <c r="I610">
        <v>34</v>
      </c>
      <c r="J610">
        <v>210</v>
      </c>
      <c r="K610" t="str">
        <f t="shared" si="9"/>
        <v>Filtered out</v>
      </c>
    </row>
    <row r="611" spans="1:11" x14ac:dyDescent="0.2">
      <c r="A611" t="s">
        <v>13086</v>
      </c>
      <c r="B611" t="s">
        <v>12436</v>
      </c>
      <c r="C611" t="s">
        <v>12373</v>
      </c>
      <c r="D611">
        <v>504</v>
      </c>
      <c r="E611">
        <v>555</v>
      </c>
      <c r="F611">
        <v>-9</v>
      </c>
      <c r="G611" s="13">
        <v>0.98199999999999998</v>
      </c>
      <c r="H611" s="1" t="s">
        <v>12371</v>
      </c>
      <c r="I611">
        <v>2</v>
      </c>
      <c r="J611">
        <v>146</v>
      </c>
      <c r="K611" t="str">
        <f t="shared" si="9"/>
        <v>Filtered out</v>
      </c>
    </row>
    <row r="612" spans="1:11" x14ac:dyDescent="0.2">
      <c r="A612" t="s">
        <v>13087</v>
      </c>
      <c r="B612" t="s">
        <v>12373</v>
      </c>
      <c r="C612" t="s">
        <v>12373</v>
      </c>
      <c r="D612">
        <v>1464</v>
      </c>
      <c r="E612">
        <v>1463</v>
      </c>
      <c r="F612">
        <v>0</v>
      </c>
      <c r="G612" s="13">
        <v>0.97199999999999998</v>
      </c>
      <c r="H612" s="1" t="s">
        <v>12371</v>
      </c>
      <c r="I612">
        <v>4</v>
      </c>
      <c r="J612">
        <v>439</v>
      </c>
      <c r="K612" t="str">
        <f t="shared" si="9"/>
        <v>Retained</v>
      </c>
    </row>
    <row r="613" spans="1:11" x14ac:dyDescent="0.2">
      <c r="A613" t="s">
        <v>13088</v>
      </c>
      <c r="B613" t="s">
        <v>12373</v>
      </c>
      <c r="C613" t="s">
        <v>12373</v>
      </c>
      <c r="D613">
        <v>2693</v>
      </c>
      <c r="E613">
        <v>2713</v>
      </c>
      <c r="F613">
        <v>0</v>
      </c>
      <c r="G613" s="13">
        <v>0.94199999999999995</v>
      </c>
      <c r="H613" s="1" t="s">
        <v>12371</v>
      </c>
      <c r="I613">
        <v>17</v>
      </c>
      <c r="J613">
        <v>561</v>
      </c>
      <c r="K613" t="str">
        <f t="shared" si="9"/>
        <v>Retained</v>
      </c>
    </row>
    <row r="614" spans="1:11" x14ac:dyDescent="0.2">
      <c r="A614" t="s">
        <v>13089</v>
      </c>
      <c r="B614" t="s">
        <v>12406</v>
      </c>
      <c r="C614" t="s">
        <v>12468</v>
      </c>
      <c r="D614">
        <v>782</v>
      </c>
      <c r="E614">
        <v>997</v>
      </c>
      <c r="F614">
        <v>-21</v>
      </c>
      <c r="G614" s="13">
        <v>0.48699999999999999</v>
      </c>
      <c r="H614" s="1" t="s">
        <v>12371</v>
      </c>
      <c r="I614">
        <v>5</v>
      </c>
      <c r="J614">
        <v>96</v>
      </c>
      <c r="K614" t="str">
        <f t="shared" si="9"/>
        <v>Filtered out</v>
      </c>
    </row>
    <row r="615" spans="1:11" x14ac:dyDescent="0.2">
      <c r="A615" t="s">
        <v>13090</v>
      </c>
      <c r="B615" t="s">
        <v>12382</v>
      </c>
      <c r="C615" t="s">
        <v>12382</v>
      </c>
      <c r="D615">
        <v>1538</v>
      </c>
      <c r="E615">
        <v>1824</v>
      </c>
      <c r="F615">
        <v>-15</v>
      </c>
      <c r="G615" s="13">
        <v>0.249</v>
      </c>
      <c r="H615" s="1" t="s">
        <v>12437</v>
      </c>
      <c r="I615">
        <v>0</v>
      </c>
      <c r="J615" t="s">
        <v>12438</v>
      </c>
      <c r="K615" t="str">
        <f t="shared" si="9"/>
        <v>Filtered out</v>
      </c>
    </row>
    <row r="616" spans="1:11" x14ac:dyDescent="0.2">
      <c r="A616" t="s">
        <v>13091</v>
      </c>
      <c r="B616" t="s">
        <v>12373</v>
      </c>
      <c r="C616" t="s">
        <v>12373</v>
      </c>
      <c r="D616">
        <v>1427</v>
      </c>
      <c r="E616">
        <v>1426</v>
      </c>
      <c r="F616">
        <v>0</v>
      </c>
      <c r="G616" s="13">
        <v>0.66700000000000004</v>
      </c>
      <c r="H616" s="1" t="s">
        <v>12371</v>
      </c>
      <c r="I616">
        <v>37</v>
      </c>
      <c r="J616">
        <v>65</v>
      </c>
      <c r="K616" t="str">
        <f t="shared" si="9"/>
        <v>Filtered out</v>
      </c>
    </row>
    <row r="617" spans="1:11" x14ac:dyDescent="0.2">
      <c r="A617" t="s">
        <v>13092</v>
      </c>
      <c r="B617" t="s">
        <v>12373</v>
      </c>
      <c r="C617" t="s">
        <v>12373</v>
      </c>
      <c r="D617">
        <v>1683</v>
      </c>
      <c r="E617">
        <v>1683</v>
      </c>
      <c r="F617">
        <v>0</v>
      </c>
      <c r="G617" s="13">
        <v>0.628</v>
      </c>
      <c r="H617" s="1" t="s">
        <v>12371</v>
      </c>
      <c r="I617">
        <v>11</v>
      </c>
      <c r="J617">
        <v>260</v>
      </c>
      <c r="K617" t="str">
        <f t="shared" si="9"/>
        <v>Filtered out</v>
      </c>
    </row>
    <row r="618" spans="1:11" x14ac:dyDescent="0.2">
      <c r="A618" t="s">
        <v>13093</v>
      </c>
      <c r="B618" t="s">
        <v>12373</v>
      </c>
      <c r="C618" t="s">
        <v>12373</v>
      </c>
      <c r="D618">
        <v>3206</v>
      </c>
      <c r="E618">
        <v>3202</v>
      </c>
      <c r="F618">
        <v>0</v>
      </c>
      <c r="G618" s="13">
        <v>0.82099999999999995</v>
      </c>
      <c r="H618" s="1" t="s">
        <v>12371</v>
      </c>
      <c r="I618">
        <v>4</v>
      </c>
      <c r="J618">
        <v>783</v>
      </c>
      <c r="K618" t="str">
        <f t="shared" si="9"/>
        <v>Filtered out</v>
      </c>
    </row>
    <row r="619" spans="1:11" x14ac:dyDescent="0.2">
      <c r="A619" t="s">
        <v>13094</v>
      </c>
      <c r="B619" t="s">
        <v>12574</v>
      </c>
      <c r="C619" t="s">
        <v>12574</v>
      </c>
      <c r="D619">
        <v>426</v>
      </c>
      <c r="E619">
        <v>433</v>
      </c>
      <c r="F619">
        <v>-1</v>
      </c>
      <c r="G619" s="13">
        <v>0.70799999999999996</v>
      </c>
      <c r="H619" s="1" t="s">
        <v>12437</v>
      </c>
      <c r="I619">
        <v>0</v>
      </c>
      <c r="J619" t="s">
        <v>12438</v>
      </c>
      <c r="K619" t="str">
        <f t="shared" si="9"/>
        <v>Filtered out</v>
      </c>
    </row>
    <row r="620" spans="1:11" x14ac:dyDescent="0.2">
      <c r="A620" t="s">
        <v>13095</v>
      </c>
      <c r="B620" t="s">
        <v>12711</v>
      </c>
      <c r="C620" t="s">
        <v>12373</v>
      </c>
      <c r="D620">
        <v>1467</v>
      </c>
      <c r="E620">
        <v>1764</v>
      </c>
      <c r="F620">
        <v>-16</v>
      </c>
      <c r="G620" s="13">
        <v>0.41</v>
      </c>
      <c r="H620" s="1" t="s">
        <v>12371</v>
      </c>
      <c r="I620">
        <v>7</v>
      </c>
      <c r="J620">
        <v>255</v>
      </c>
      <c r="K620" t="str">
        <f t="shared" si="9"/>
        <v>Filtered out</v>
      </c>
    </row>
    <row r="621" spans="1:11" x14ac:dyDescent="0.2">
      <c r="A621" t="s">
        <v>13096</v>
      </c>
      <c r="B621" t="s">
        <v>12373</v>
      </c>
      <c r="C621" t="s">
        <v>12373</v>
      </c>
      <c r="D621">
        <v>4947</v>
      </c>
      <c r="E621">
        <v>4951</v>
      </c>
      <c r="F621">
        <v>0</v>
      </c>
      <c r="G621" s="13">
        <v>0.96799999999999997</v>
      </c>
      <c r="H621" s="1" t="s">
        <v>12371</v>
      </c>
      <c r="I621">
        <v>6</v>
      </c>
      <c r="J621">
        <v>1524</v>
      </c>
      <c r="K621" t="str">
        <f t="shared" si="9"/>
        <v>Retained</v>
      </c>
    </row>
    <row r="622" spans="1:11" x14ac:dyDescent="0.2">
      <c r="A622" t="s">
        <v>13097</v>
      </c>
      <c r="B622" t="s">
        <v>12373</v>
      </c>
      <c r="C622" t="s">
        <v>12373</v>
      </c>
      <c r="D622">
        <v>1379</v>
      </c>
      <c r="E622">
        <v>1372</v>
      </c>
      <c r="F622">
        <v>0</v>
      </c>
      <c r="G622" s="13">
        <v>0.69599999999999995</v>
      </c>
      <c r="H622" s="1" t="s">
        <v>12371</v>
      </c>
      <c r="I622">
        <v>5</v>
      </c>
      <c r="J622">
        <v>268</v>
      </c>
      <c r="K622" t="str">
        <f t="shared" si="9"/>
        <v>Filtered out</v>
      </c>
    </row>
    <row r="623" spans="1:11" x14ac:dyDescent="0.2">
      <c r="A623" t="s">
        <v>13098</v>
      </c>
      <c r="B623" t="s">
        <v>12405</v>
      </c>
      <c r="C623" t="s">
        <v>12405</v>
      </c>
      <c r="D623">
        <v>1209</v>
      </c>
      <c r="E623">
        <v>1201</v>
      </c>
      <c r="F623">
        <v>0</v>
      </c>
      <c r="G623" s="13">
        <v>0.63</v>
      </c>
      <c r="H623" s="1" t="s">
        <v>12371</v>
      </c>
      <c r="I623">
        <v>2</v>
      </c>
      <c r="J623">
        <v>342</v>
      </c>
      <c r="K623" t="str">
        <f t="shared" si="9"/>
        <v>Filtered out</v>
      </c>
    </row>
    <row r="624" spans="1:11" x14ac:dyDescent="0.2">
      <c r="A624" t="s">
        <v>13099</v>
      </c>
      <c r="B624" t="s">
        <v>12373</v>
      </c>
      <c r="C624" t="s">
        <v>12373</v>
      </c>
      <c r="D624">
        <v>1788</v>
      </c>
      <c r="E624">
        <v>1789</v>
      </c>
      <c r="F624">
        <v>0</v>
      </c>
      <c r="G624" s="13">
        <v>0.33400000000000002</v>
      </c>
      <c r="H624" s="1" t="s">
        <v>12371</v>
      </c>
      <c r="I624">
        <v>19</v>
      </c>
      <c r="J624">
        <v>90</v>
      </c>
      <c r="K624" t="str">
        <f t="shared" si="9"/>
        <v>Filtered out</v>
      </c>
    </row>
    <row r="625" spans="1:11" x14ac:dyDescent="0.2">
      <c r="A625" t="s">
        <v>13100</v>
      </c>
      <c r="B625" t="s">
        <v>12373</v>
      </c>
      <c r="C625" t="s">
        <v>12373</v>
      </c>
      <c r="D625">
        <v>1445</v>
      </c>
      <c r="E625">
        <v>2020</v>
      </c>
      <c r="F625">
        <v>-28</v>
      </c>
      <c r="G625" s="13">
        <v>0.63100000000000001</v>
      </c>
      <c r="H625" s="1" t="s">
        <v>12371</v>
      </c>
      <c r="I625">
        <v>5</v>
      </c>
      <c r="J625">
        <v>359</v>
      </c>
      <c r="K625" t="str">
        <f t="shared" si="9"/>
        <v>Filtered out</v>
      </c>
    </row>
    <row r="626" spans="1:11" x14ac:dyDescent="0.2">
      <c r="A626" t="s">
        <v>13101</v>
      </c>
      <c r="B626" t="s">
        <v>12373</v>
      </c>
      <c r="C626" t="s">
        <v>12373</v>
      </c>
      <c r="D626">
        <v>2321</v>
      </c>
      <c r="E626">
        <v>2326</v>
      </c>
      <c r="F626">
        <v>0</v>
      </c>
      <c r="G626" s="13">
        <v>0.99099999999999999</v>
      </c>
      <c r="H626" s="1" t="s">
        <v>12371</v>
      </c>
      <c r="I626">
        <v>33</v>
      </c>
      <c r="J626">
        <v>121</v>
      </c>
      <c r="K626" t="str">
        <f t="shared" si="9"/>
        <v>Retained</v>
      </c>
    </row>
    <row r="627" spans="1:11" x14ac:dyDescent="0.2">
      <c r="A627" t="s">
        <v>13102</v>
      </c>
      <c r="B627" t="s">
        <v>12373</v>
      </c>
      <c r="C627" t="s">
        <v>12373</v>
      </c>
      <c r="D627">
        <v>288</v>
      </c>
      <c r="E627">
        <v>289</v>
      </c>
      <c r="F627">
        <v>0</v>
      </c>
      <c r="G627" s="13">
        <v>0.72499999999999998</v>
      </c>
      <c r="H627" s="1" t="s">
        <v>12371</v>
      </c>
      <c r="I627">
        <v>1</v>
      </c>
      <c r="J627">
        <v>78</v>
      </c>
      <c r="K627" t="str">
        <f t="shared" si="9"/>
        <v>Filtered out</v>
      </c>
    </row>
    <row r="628" spans="1:11" x14ac:dyDescent="0.2">
      <c r="A628" t="s">
        <v>13103</v>
      </c>
      <c r="B628" t="s">
        <v>12373</v>
      </c>
      <c r="C628" t="s">
        <v>12373</v>
      </c>
      <c r="D628">
        <v>7320</v>
      </c>
      <c r="E628">
        <v>7300</v>
      </c>
      <c r="F628">
        <v>0</v>
      </c>
      <c r="G628" s="13">
        <v>0.36599999999999999</v>
      </c>
      <c r="H628" s="1" t="s">
        <v>12371</v>
      </c>
      <c r="I628">
        <v>62</v>
      </c>
      <c r="J628">
        <v>623</v>
      </c>
      <c r="K628" t="str">
        <f t="shared" si="9"/>
        <v>Filtered out</v>
      </c>
    </row>
    <row r="629" spans="1:11" x14ac:dyDescent="0.2">
      <c r="A629" t="s">
        <v>13104</v>
      </c>
      <c r="B629" t="s">
        <v>12884</v>
      </c>
      <c r="C629" t="s">
        <v>12373</v>
      </c>
      <c r="D629">
        <v>1014</v>
      </c>
      <c r="E629">
        <v>2242</v>
      </c>
      <c r="F629">
        <v>-54</v>
      </c>
      <c r="G629" s="13">
        <v>0.47699999999999998</v>
      </c>
      <c r="H629" s="1" t="s">
        <v>12371</v>
      </c>
      <c r="I629">
        <v>3</v>
      </c>
      <c r="J629">
        <v>134</v>
      </c>
      <c r="K629" t="str">
        <f t="shared" si="9"/>
        <v>Filtered out</v>
      </c>
    </row>
    <row r="630" spans="1:11" x14ac:dyDescent="0.2">
      <c r="A630" t="s">
        <v>13105</v>
      </c>
      <c r="B630" t="s">
        <v>12574</v>
      </c>
      <c r="C630" t="s">
        <v>12446</v>
      </c>
      <c r="D630">
        <v>1289</v>
      </c>
      <c r="E630">
        <v>1324</v>
      </c>
      <c r="F630">
        <v>-2</v>
      </c>
      <c r="G630" s="13">
        <v>0.83899999999999997</v>
      </c>
      <c r="H630" s="1" t="s">
        <v>12371</v>
      </c>
      <c r="I630">
        <v>1</v>
      </c>
      <c r="J630">
        <v>379</v>
      </c>
      <c r="K630" t="str">
        <f t="shared" si="9"/>
        <v>Filtered out</v>
      </c>
    </row>
    <row r="631" spans="1:11" x14ac:dyDescent="0.2">
      <c r="A631" t="s">
        <v>13106</v>
      </c>
      <c r="B631" t="s">
        <v>12373</v>
      </c>
      <c r="C631" t="s">
        <v>12373</v>
      </c>
      <c r="D631">
        <v>3899</v>
      </c>
      <c r="E631">
        <v>3904</v>
      </c>
      <c r="F631">
        <v>0</v>
      </c>
      <c r="G631" s="13">
        <v>0.99099999999999999</v>
      </c>
      <c r="H631" s="1" t="s">
        <v>12371</v>
      </c>
      <c r="I631">
        <v>20</v>
      </c>
      <c r="J631">
        <v>465</v>
      </c>
      <c r="K631" t="str">
        <f t="shared" si="9"/>
        <v>Retained</v>
      </c>
    </row>
    <row r="632" spans="1:11" x14ac:dyDescent="0.2">
      <c r="A632" t="s">
        <v>13107</v>
      </c>
      <c r="B632" t="s">
        <v>12373</v>
      </c>
      <c r="C632" t="s">
        <v>12373</v>
      </c>
      <c r="D632">
        <v>1466</v>
      </c>
      <c r="E632">
        <v>3844</v>
      </c>
      <c r="F632">
        <v>-61</v>
      </c>
      <c r="G632" s="13">
        <v>0.628</v>
      </c>
      <c r="H632" s="1" t="s">
        <v>12371</v>
      </c>
      <c r="I632">
        <v>12</v>
      </c>
      <c r="J632">
        <v>259</v>
      </c>
      <c r="K632" t="str">
        <f t="shared" si="9"/>
        <v>Filtered out</v>
      </c>
    </row>
    <row r="633" spans="1:11" x14ac:dyDescent="0.2">
      <c r="A633" t="s">
        <v>13108</v>
      </c>
      <c r="B633" t="s">
        <v>12463</v>
      </c>
      <c r="C633" t="s">
        <v>12463</v>
      </c>
      <c r="D633">
        <v>1101</v>
      </c>
      <c r="E633">
        <v>1101</v>
      </c>
      <c r="F633">
        <v>0</v>
      </c>
      <c r="G633" s="13">
        <v>0.995</v>
      </c>
      <c r="H633" s="1" t="s">
        <v>12437</v>
      </c>
      <c r="I633">
        <v>0</v>
      </c>
      <c r="J633" t="s">
        <v>12438</v>
      </c>
      <c r="K633" t="str">
        <f t="shared" si="9"/>
        <v>Filtered out</v>
      </c>
    </row>
    <row r="634" spans="1:11" x14ac:dyDescent="0.2">
      <c r="A634" t="s">
        <v>13109</v>
      </c>
      <c r="B634" t="s">
        <v>12373</v>
      </c>
      <c r="C634" t="s">
        <v>12373</v>
      </c>
      <c r="D634">
        <v>1202</v>
      </c>
      <c r="E634">
        <v>1219</v>
      </c>
      <c r="F634">
        <v>-1</v>
      </c>
      <c r="G634" s="13">
        <v>0.89100000000000001</v>
      </c>
      <c r="H634" s="1" t="s">
        <v>12371</v>
      </c>
      <c r="I634">
        <v>8</v>
      </c>
      <c r="J634">
        <v>335</v>
      </c>
      <c r="K634" t="str">
        <f t="shared" si="9"/>
        <v>Filtered out</v>
      </c>
    </row>
    <row r="635" spans="1:11" x14ac:dyDescent="0.2">
      <c r="A635" t="s">
        <v>13110</v>
      </c>
      <c r="B635" t="s">
        <v>12373</v>
      </c>
      <c r="C635" t="s">
        <v>12373</v>
      </c>
      <c r="D635">
        <v>749</v>
      </c>
      <c r="E635">
        <v>748</v>
      </c>
      <c r="F635">
        <v>0</v>
      </c>
      <c r="G635" s="13">
        <v>0.80800000000000005</v>
      </c>
      <c r="H635" s="1" t="s">
        <v>12371</v>
      </c>
      <c r="I635">
        <v>4</v>
      </c>
      <c r="J635">
        <v>211</v>
      </c>
      <c r="K635" t="str">
        <f t="shared" si="9"/>
        <v>Filtered out</v>
      </c>
    </row>
    <row r="636" spans="1:11" x14ac:dyDescent="0.2">
      <c r="A636" t="s">
        <v>13110</v>
      </c>
      <c r="B636" t="s">
        <v>12373</v>
      </c>
      <c r="C636" t="s">
        <v>12373</v>
      </c>
      <c r="D636">
        <v>749</v>
      </c>
      <c r="E636">
        <v>748</v>
      </c>
      <c r="F636">
        <v>0</v>
      </c>
      <c r="G636" s="13">
        <v>0.80800000000000005</v>
      </c>
      <c r="H636" s="1" t="s">
        <v>12371</v>
      </c>
      <c r="I636">
        <v>4</v>
      </c>
      <c r="J636">
        <v>211</v>
      </c>
      <c r="K636" t="str">
        <f t="shared" si="9"/>
        <v>Filtered out</v>
      </c>
    </row>
    <row r="637" spans="1:11" x14ac:dyDescent="0.2">
      <c r="A637" t="s">
        <v>13111</v>
      </c>
      <c r="B637" t="s">
        <v>12393</v>
      </c>
      <c r="C637" t="s">
        <v>12718</v>
      </c>
      <c r="D637">
        <v>1184</v>
      </c>
      <c r="E637">
        <v>1534</v>
      </c>
      <c r="F637">
        <v>-22</v>
      </c>
      <c r="G637" s="13">
        <v>0.66700000000000004</v>
      </c>
      <c r="H637" s="1" t="s">
        <v>12371</v>
      </c>
      <c r="I637">
        <v>11</v>
      </c>
      <c r="J637">
        <v>254</v>
      </c>
      <c r="K637" t="str">
        <f t="shared" si="9"/>
        <v>Filtered out</v>
      </c>
    </row>
    <row r="638" spans="1:11" x14ac:dyDescent="0.2">
      <c r="A638" t="s">
        <v>13112</v>
      </c>
      <c r="B638" t="s">
        <v>12373</v>
      </c>
      <c r="C638" t="s">
        <v>12373</v>
      </c>
      <c r="D638">
        <v>441</v>
      </c>
      <c r="E638">
        <v>442</v>
      </c>
      <c r="F638">
        <v>0</v>
      </c>
      <c r="G638" s="13">
        <v>0.95899999999999996</v>
      </c>
      <c r="H638" s="1" t="s">
        <v>12371</v>
      </c>
      <c r="I638">
        <v>1</v>
      </c>
      <c r="J638">
        <v>145</v>
      </c>
      <c r="K638" t="str">
        <f t="shared" si="9"/>
        <v>Retained</v>
      </c>
    </row>
    <row r="639" spans="1:11" x14ac:dyDescent="0.2">
      <c r="A639" t="s">
        <v>13113</v>
      </c>
      <c r="B639" t="s">
        <v>12373</v>
      </c>
      <c r="C639" t="s">
        <v>12373</v>
      </c>
      <c r="D639">
        <v>987</v>
      </c>
      <c r="E639">
        <v>985</v>
      </c>
      <c r="F639">
        <v>0</v>
      </c>
      <c r="G639" s="13">
        <v>0.86799999999999999</v>
      </c>
      <c r="H639" s="1" t="s">
        <v>12371</v>
      </c>
      <c r="I639">
        <v>4</v>
      </c>
      <c r="J639">
        <v>273</v>
      </c>
      <c r="K639" t="str">
        <f t="shared" si="9"/>
        <v>Filtered out</v>
      </c>
    </row>
    <row r="640" spans="1:11" x14ac:dyDescent="0.2">
      <c r="A640" t="s">
        <v>13114</v>
      </c>
      <c r="B640" t="s">
        <v>12373</v>
      </c>
      <c r="C640" t="s">
        <v>12373</v>
      </c>
      <c r="D640">
        <v>1710</v>
      </c>
      <c r="E640">
        <v>1708</v>
      </c>
      <c r="F640">
        <v>0</v>
      </c>
      <c r="G640" s="13">
        <v>0.34799999999999998</v>
      </c>
      <c r="H640" s="1" t="s">
        <v>12371</v>
      </c>
      <c r="I640">
        <v>21</v>
      </c>
      <c r="J640">
        <v>149</v>
      </c>
      <c r="K640" t="str">
        <f t="shared" si="9"/>
        <v>Filtered out</v>
      </c>
    </row>
    <row r="641" spans="1:11" x14ac:dyDescent="0.2">
      <c r="A641" t="s">
        <v>13115</v>
      </c>
      <c r="B641" t="s">
        <v>12373</v>
      </c>
      <c r="C641" t="s">
        <v>12612</v>
      </c>
      <c r="D641">
        <v>500</v>
      </c>
      <c r="E641">
        <v>538</v>
      </c>
      <c r="F641">
        <v>-7</v>
      </c>
      <c r="G641" s="13">
        <v>0.56899999999999995</v>
      </c>
      <c r="H641" s="1" t="s">
        <v>12371</v>
      </c>
      <c r="I641">
        <v>6</v>
      </c>
      <c r="J641">
        <v>125</v>
      </c>
      <c r="K641" t="str">
        <f t="shared" si="9"/>
        <v>Filtered out</v>
      </c>
    </row>
    <row r="642" spans="1:11" x14ac:dyDescent="0.2">
      <c r="A642" t="s">
        <v>13116</v>
      </c>
      <c r="B642" t="s">
        <v>12373</v>
      </c>
      <c r="C642" t="s">
        <v>12373</v>
      </c>
      <c r="D642">
        <v>768</v>
      </c>
      <c r="E642">
        <v>760</v>
      </c>
      <c r="F642">
        <v>1</v>
      </c>
      <c r="G642" s="13">
        <v>0.28999999999999998</v>
      </c>
      <c r="H642" s="1" t="s">
        <v>12371</v>
      </c>
      <c r="I642">
        <v>7</v>
      </c>
      <c r="J642">
        <v>33</v>
      </c>
      <c r="K642" t="str">
        <f t="shared" si="9"/>
        <v>Filtered out</v>
      </c>
    </row>
    <row r="643" spans="1:11" x14ac:dyDescent="0.2">
      <c r="A643" t="s">
        <v>13117</v>
      </c>
      <c r="B643" t="s">
        <v>12405</v>
      </c>
      <c r="C643" t="s">
        <v>12405</v>
      </c>
      <c r="D643">
        <v>893</v>
      </c>
      <c r="E643">
        <v>889</v>
      </c>
      <c r="F643">
        <v>0</v>
      </c>
      <c r="G643" s="13">
        <v>0.54500000000000004</v>
      </c>
      <c r="H643" s="1" t="s">
        <v>12371</v>
      </c>
      <c r="I643">
        <v>13</v>
      </c>
      <c r="J643">
        <v>5</v>
      </c>
      <c r="K643" t="str">
        <f t="shared" si="9"/>
        <v>Filtered out</v>
      </c>
    </row>
    <row r="644" spans="1:11" x14ac:dyDescent="0.2">
      <c r="A644" t="s">
        <v>13118</v>
      </c>
      <c r="B644" t="s">
        <v>12536</v>
      </c>
      <c r="C644" t="s">
        <v>12373</v>
      </c>
      <c r="D644">
        <v>591</v>
      </c>
      <c r="E644">
        <v>637</v>
      </c>
      <c r="F644">
        <v>-7</v>
      </c>
      <c r="G644" s="13">
        <v>0.73699999999999999</v>
      </c>
      <c r="H644" s="1" t="s">
        <v>12437</v>
      </c>
      <c r="I644">
        <v>0</v>
      </c>
      <c r="J644" t="s">
        <v>12438</v>
      </c>
      <c r="K644" t="str">
        <f t="shared" si="9"/>
        <v>Filtered out</v>
      </c>
    </row>
    <row r="645" spans="1:11" x14ac:dyDescent="0.2">
      <c r="A645" t="s">
        <v>13119</v>
      </c>
      <c r="B645" t="s">
        <v>12591</v>
      </c>
      <c r="C645" t="s">
        <v>12591</v>
      </c>
      <c r="D645">
        <v>1385</v>
      </c>
      <c r="E645">
        <v>1390</v>
      </c>
      <c r="F645">
        <v>0</v>
      </c>
      <c r="G645" s="13">
        <v>0.90500000000000003</v>
      </c>
      <c r="H645" s="1" t="s">
        <v>12371</v>
      </c>
      <c r="I645">
        <v>2</v>
      </c>
      <c r="J645">
        <v>379</v>
      </c>
      <c r="K645" t="str">
        <f t="shared" si="9"/>
        <v>Retained</v>
      </c>
    </row>
    <row r="646" spans="1:11" x14ac:dyDescent="0.2">
      <c r="A646" t="s">
        <v>13120</v>
      </c>
      <c r="B646" t="s">
        <v>12463</v>
      </c>
      <c r="C646" t="s">
        <v>12373</v>
      </c>
      <c r="D646">
        <v>2258</v>
      </c>
      <c r="E646">
        <v>2386</v>
      </c>
      <c r="F646">
        <v>-5</v>
      </c>
      <c r="G646" s="13">
        <v>0.46300000000000002</v>
      </c>
      <c r="H646" s="1" t="s">
        <v>12371</v>
      </c>
      <c r="I646">
        <v>6</v>
      </c>
      <c r="J646">
        <v>361</v>
      </c>
      <c r="K646" t="str">
        <f t="shared" si="9"/>
        <v>Filtered out</v>
      </c>
    </row>
    <row r="647" spans="1:11" x14ac:dyDescent="0.2">
      <c r="A647" t="s">
        <v>13121</v>
      </c>
      <c r="B647" t="s">
        <v>12373</v>
      </c>
      <c r="C647" t="s">
        <v>12373</v>
      </c>
      <c r="D647">
        <v>1860</v>
      </c>
      <c r="E647">
        <v>1858</v>
      </c>
      <c r="F647">
        <v>0</v>
      </c>
      <c r="G647" s="13">
        <v>0.38</v>
      </c>
      <c r="H647" s="1" t="s">
        <v>12371</v>
      </c>
      <c r="I647">
        <v>19</v>
      </c>
      <c r="J647">
        <v>116</v>
      </c>
      <c r="K647" t="str">
        <f t="shared" si="9"/>
        <v>Filtered out</v>
      </c>
    </row>
    <row r="648" spans="1:11" x14ac:dyDescent="0.2">
      <c r="A648" t="s">
        <v>13122</v>
      </c>
      <c r="B648" t="s">
        <v>12373</v>
      </c>
      <c r="C648" t="s">
        <v>12373</v>
      </c>
      <c r="D648">
        <v>435</v>
      </c>
      <c r="E648">
        <v>433</v>
      </c>
      <c r="F648">
        <v>0</v>
      </c>
      <c r="G648" s="13">
        <v>1</v>
      </c>
      <c r="H648" s="1" t="s">
        <v>12371</v>
      </c>
      <c r="I648">
        <v>3</v>
      </c>
      <c r="J648">
        <v>54</v>
      </c>
      <c r="K648" t="str">
        <f t="shared" si="9"/>
        <v>Filtered out</v>
      </c>
    </row>
    <row r="649" spans="1:11" x14ac:dyDescent="0.2">
      <c r="A649" t="s">
        <v>13123</v>
      </c>
      <c r="B649" t="s">
        <v>12434</v>
      </c>
      <c r="C649" t="s">
        <v>12497</v>
      </c>
      <c r="D649">
        <v>1235</v>
      </c>
      <c r="E649">
        <v>1774</v>
      </c>
      <c r="F649">
        <v>-30</v>
      </c>
      <c r="G649" s="13">
        <v>0.95</v>
      </c>
      <c r="H649" s="1" t="s">
        <v>12371</v>
      </c>
      <c r="I649">
        <v>11</v>
      </c>
      <c r="J649">
        <v>45</v>
      </c>
      <c r="K649" t="str">
        <f t="shared" ref="K649:K712" si="10">IF(AND(B649=C649,F649&lt;10,F649&gt;-10,I649&gt;0,G649&gt;90%,G649&lt;100%),"Retained","Filtered out")</f>
        <v>Filtered out</v>
      </c>
    </row>
    <row r="650" spans="1:11" x14ac:dyDescent="0.2">
      <c r="A650" t="s">
        <v>13124</v>
      </c>
      <c r="B650" t="s">
        <v>12373</v>
      </c>
      <c r="C650" t="s">
        <v>12373</v>
      </c>
      <c r="D650">
        <v>3887</v>
      </c>
      <c r="E650">
        <v>3889</v>
      </c>
      <c r="F650">
        <v>0</v>
      </c>
      <c r="G650" s="13">
        <v>0.91</v>
      </c>
      <c r="H650" s="1" t="s">
        <v>12371</v>
      </c>
      <c r="I650">
        <v>24</v>
      </c>
      <c r="J650">
        <v>945</v>
      </c>
      <c r="K650" t="str">
        <f t="shared" si="10"/>
        <v>Retained</v>
      </c>
    </row>
    <row r="651" spans="1:11" x14ac:dyDescent="0.2">
      <c r="A651" t="s">
        <v>13125</v>
      </c>
      <c r="B651" t="s">
        <v>12370</v>
      </c>
      <c r="C651" t="s">
        <v>12572</v>
      </c>
      <c r="D651">
        <v>783</v>
      </c>
      <c r="E651">
        <v>880</v>
      </c>
      <c r="F651">
        <v>-11</v>
      </c>
      <c r="G651" s="13">
        <v>0.99399999999999999</v>
      </c>
      <c r="H651" s="1" t="s">
        <v>12437</v>
      </c>
      <c r="I651">
        <v>0</v>
      </c>
      <c r="J651" t="s">
        <v>12438</v>
      </c>
      <c r="K651" t="str">
        <f t="shared" si="10"/>
        <v>Filtered out</v>
      </c>
    </row>
    <row r="652" spans="1:11" x14ac:dyDescent="0.2">
      <c r="A652" t="s">
        <v>13126</v>
      </c>
      <c r="B652" t="s">
        <v>12375</v>
      </c>
      <c r="C652" t="s">
        <v>12428</v>
      </c>
      <c r="D652">
        <v>677</v>
      </c>
      <c r="E652">
        <v>775</v>
      </c>
      <c r="F652">
        <v>-12</v>
      </c>
      <c r="G652" s="13">
        <v>0.99199999999999999</v>
      </c>
      <c r="H652" s="1" t="s">
        <v>12371</v>
      </c>
      <c r="I652">
        <v>4</v>
      </c>
      <c r="J652">
        <v>153</v>
      </c>
      <c r="K652" t="str">
        <f t="shared" si="10"/>
        <v>Filtered out</v>
      </c>
    </row>
    <row r="653" spans="1:11" x14ac:dyDescent="0.2">
      <c r="A653" t="s">
        <v>13127</v>
      </c>
      <c r="B653" t="s">
        <v>12392</v>
      </c>
      <c r="C653" t="s">
        <v>12392</v>
      </c>
      <c r="D653">
        <v>3413</v>
      </c>
      <c r="E653">
        <v>3403</v>
      </c>
      <c r="F653">
        <v>0</v>
      </c>
      <c r="G653" s="13">
        <v>0.98899999999999999</v>
      </c>
      <c r="H653" s="1" t="s">
        <v>12371</v>
      </c>
      <c r="I653">
        <v>3</v>
      </c>
      <c r="J653">
        <v>1025</v>
      </c>
      <c r="K653" t="str">
        <f t="shared" si="10"/>
        <v>Retained</v>
      </c>
    </row>
    <row r="654" spans="1:11" x14ac:dyDescent="0.2">
      <c r="A654" t="s">
        <v>13128</v>
      </c>
      <c r="B654" t="s">
        <v>12373</v>
      </c>
      <c r="C654" t="s">
        <v>12373</v>
      </c>
      <c r="D654">
        <v>7638</v>
      </c>
      <c r="E654">
        <v>7639</v>
      </c>
      <c r="F654">
        <v>0</v>
      </c>
      <c r="G654" s="13">
        <v>0.98</v>
      </c>
      <c r="H654" s="1" t="s">
        <v>12371</v>
      </c>
      <c r="I654">
        <v>22</v>
      </c>
      <c r="J654">
        <v>2157</v>
      </c>
      <c r="K654" t="str">
        <f t="shared" si="10"/>
        <v>Retained</v>
      </c>
    </row>
    <row r="655" spans="1:11" x14ac:dyDescent="0.2">
      <c r="A655" t="s">
        <v>13129</v>
      </c>
      <c r="B655" t="s">
        <v>12508</v>
      </c>
      <c r="C655" t="s">
        <v>12373</v>
      </c>
      <c r="D655">
        <v>4470</v>
      </c>
      <c r="E655">
        <v>5380</v>
      </c>
      <c r="F655">
        <v>-16</v>
      </c>
      <c r="G655" s="13">
        <v>0.69199999999999995</v>
      </c>
      <c r="H655" s="1" t="s">
        <v>12371</v>
      </c>
      <c r="I655">
        <v>15</v>
      </c>
      <c r="J655">
        <v>878</v>
      </c>
      <c r="K655" t="str">
        <f t="shared" si="10"/>
        <v>Filtered out</v>
      </c>
    </row>
    <row r="656" spans="1:11" x14ac:dyDescent="0.2">
      <c r="A656" t="s">
        <v>13130</v>
      </c>
      <c r="B656" t="s">
        <v>12373</v>
      </c>
      <c r="C656" t="s">
        <v>12373</v>
      </c>
      <c r="D656">
        <v>2126</v>
      </c>
      <c r="E656">
        <v>2125</v>
      </c>
      <c r="F656">
        <v>0</v>
      </c>
      <c r="G656" s="13">
        <v>0.98299999999999998</v>
      </c>
      <c r="H656" s="1" t="s">
        <v>12371</v>
      </c>
      <c r="I656">
        <v>41</v>
      </c>
      <c r="J656">
        <v>254</v>
      </c>
      <c r="K656" t="str">
        <f t="shared" si="10"/>
        <v>Retained</v>
      </c>
    </row>
    <row r="657" spans="1:11" x14ac:dyDescent="0.2">
      <c r="A657" t="s">
        <v>13131</v>
      </c>
      <c r="B657" t="s">
        <v>12508</v>
      </c>
      <c r="C657" t="s">
        <v>12405</v>
      </c>
      <c r="D657">
        <v>1751</v>
      </c>
      <c r="E657">
        <v>4294</v>
      </c>
      <c r="F657">
        <v>-59</v>
      </c>
      <c r="G657" s="13">
        <v>0.223</v>
      </c>
      <c r="H657" s="1" t="s">
        <v>12371</v>
      </c>
      <c r="I657">
        <v>11</v>
      </c>
      <c r="J657">
        <v>92</v>
      </c>
      <c r="K657" t="str">
        <f t="shared" si="10"/>
        <v>Filtered out</v>
      </c>
    </row>
    <row r="658" spans="1:11" x14ac:dyDescent="0.2">
      <c r="A658" t="s">
        <v>13132</v>
      </c>
      <c r="B658" t="s">
        <v>12601</v>
      </c>
      <c r="C658" t="s">
        <v>12373</v>
      </c>
      <c r="D658">
        <v>3890</v>
      </c>
      <c r="E658">
        <v>3973</v>
      </c>
      <c r="F658">
        <v>-2</v>
      </c>
      <c r="G658" s="13">
        <v>0.92</v>
      </c>
      <c r="H658" s="1" t="s">
        <v>12371</v>
      </c>
      <c r="I658">
        <v>41</v>
      </c>
      <c r="J658">
        <v>845</v>
      </c>
      <c r="K658" t="str">
        <f t="shared" si="10"/>
        <v>Filtered out</v>
      </c>
    </row>
    <row r="659" spans="1:11" x14ac:dyDescent="0.2">
      <c r="A659" t="s">
        <v>13133</v>
      </c>
      <c r="B659" t="s">
        <v>12373</v>
      </c>
      <c r="C659" t="s">
        <v>12373</v>
      </c>
      <c r="D659">
        <v>3383</v>
      </c>
      <c r="E659">
        <v>3388</v>
      </c>
      <c r="F659">
        <v>0</v>
      </c>
      <c r="G659" s="13">
        <v>0.26500000000000001</v>
      </c>
      <c r="H659" s="1" t="s">
        <v>12371</v>
      </c>
      <c r="I659">
        <v>28</v>
      </c>
      <c r="J659">
        <v>123</v>
      </c>
      <c r="K659" t="str">
        <f t="shared" si="10"/>
        <v>Filtered out</v>
      </c>
    </row>
    <row r="660" spans="1:11" x14ac:dyDescent="0.2">
      <c r="A660" t="s">
        <v>13134</v>
      </c>
      <c r="B660" t="s">
        <v>12413</v>
      </c>
      <c r="C660" t="s">
        <v>12373</v>
      </c>
      <c r="D660">
        <v>1628</v>
      </c>
      <c r="E660">
        <v>2836</v>
      </c>
      <c r="F660">
        <v>-42</v>
      </c>
      <c r="G660" s="13">
        <v>0.95399999999999996</v>
      </c>
      <c r="H660" s="1" t="s">
        <v>12371</v>
      </c>
      <c r="I660">
        <v>1</v>
      </c>
      <c r="J660">
        <v>511</v>
      </c>
      <c r="K660" t="str">
        <f t="shared" si="10"/>
        <v>Filtered out</v>
      </c>
    </row>
    <row r="661" spans="1:11" x14ac:dyDescent="0.2">
      <c r="A661" t="s">
        <v>13135</v>
      </c>
      <c r="B661" t="s">
        <v>12373</v>
      </c>
      <c r="C661" t="s">
        <v>12373</v>
      </c>
      <c r="D661">
        <v>2340</v>
      </c>
      <c r="E661">
        <v>2341</v>
      </c>
      <c r="F661">
        <v>0</v>
      </c>
      <c r="G661" s="13">
        <v>0.97299999999999998</v>
      </c>
      <c r="H661" s="1" t="s">
        <v>12437</v>
      </c>
      <c r="I661">
        <v>0</v>
      </c>
      <c r="J661" t="s">
        <v>12438</v>
      </c>
      <c r="K661" t="str">
        <f t="shared" si="10"/>
        <v>Filtered out</v>
      </c>
    </row>
    <row r="662" spans="1:11" x14ac:dyDescent="0.2">
      <c r="A662" t="s">
        <v>13136</v>
      </c>
      <c r="B662" t="s">
        <v>12373</v>
      </c>
      <c r="C662" t="s">
        <v>12373</v>
      </c>
      <c r="D662">
        <v>2165</v>
      </c>
      <c r="E662">
        <v>2917</v>
      </c>
      <c r="F662">
        <v>-25</v>
      </c>
      <c r="G662" s="13">
        <v>0.92500000000000004</v>
      </c>
      <c r="H662" s="1" t="s">
        <v>12371</v>
      </c>
      <c r="I662">
        <v>7</v>
      </c>
      <c r="J662">
        <v>596</v>
      </c>
      <c r="K662" t="str">
        <f t="shared" si="10"/>
        <v>Filtered out</v>
      </c>
    </row>
    <row r="663" spans="1:11" x14ac:dyDescent="0.2">
      <c r="A663" t="s">
        <v>13137</v>
      </c>
      <c r="B663" t="s">
        <v>12456</v>
      </c>
      <c r="C663" t="s">
        <v>12373</v>
      </c>
      <c r="D663">
        <v>1698</v>
      </c>
      <c r="E663">
        <v>1834</v>
      </c>
      <c r="F663">
        <v>-7</v>
      </c>
      <c r="G663" s="13">
        <v>0.96</v>
      </c>
      <c r="H663" s="1" t="s">
        <v>12371</v>
      </c>
      <c r="I663">
        <v>4</v>
      </c>
      <c r="J663">
        <v>372</v>
      </c>
      <c r="K663" t="str">
        <f t="shared" si="10"/>
        <v>Filtered out</v>
      </c>
    </row>
    <row r="664" spans="1:11" x14ac:dyDescent="0.2">
      <c r="A664" t="s">
        <v>13138</v>
      </c>
      <c r="B664" t="s">
        <v>12456</v>
      </c>
      <c r="C664" t="s">
        <v>12373</v>
      </c>
      <c r="D664">
        <v>1698</v>
      </c>
      <c r="E664">
        <v>2533</v>
      </c>
      <c r="F664">
        <v>-32</v>
      </c>
      <c r="G664" s="13">
        <v>0.96</v>
      </c>
      <c r="H664" s="1" t="s">
        <v>12371</v>
      </c>
      <c r="I664">
        <v>4</v>
      </c>
      <c r="J664">
        <v>372</v>
      </c>
      <c r="K664" t="str">
        <f t="shared" si="10"/>
        <v>Filtered out</v>
      </c>
    </row>
    <row r="665" spans="1:11" x14ac:dyDescent="0.2">
      <c r="A665" t="s">
        <v>13139</v>
      </c>
      <c r="B665" t="s">
        <v>13140</v>
      </c>
      <c r="C665" t="s">
        <v>12413</v>
      </c>
      <c r="D665">
        <v>1001</v>
      </c>
      <c r="E665">
        <v>1207</v>
      </c>
      <c r="F665">
        <v>-17</v>
      </c>
      <c r="G665" s="13">
        <v>0.75</v>
      </c>
      <c r="H665" s="1" t="s">
        <v>12371</v>
      </c>
      <c r="I665">
        <v>21</v>
      </c>
      <c r="J665">
        <v>35</v>
      </c>
      <c r="K665" t="str">
        <f t="shared" si="10"/>
        <v>Filtered out</v>
      </c>
    </row>
    <row r="666" spans="1:11" x14ac:dyDescent="0.2">
      <c r="A666" t="s">
        <v>13141</v>
      </c>
      <c r="B666" t="s">
        <v>12373</v>
      </c>
      <c r="C666" t="s">
        <v>12373</v>
      </c>
      <c r="D666">
        <v>737</v>
      </c>
      <c r="E666">
        <v>736</v>
      </c>
      <c r="F666">
        <v>0</v>
      </c>
      <c r="G666" s="13">
        <v>0.99099999999999999</v>
      </c>
      <c r="H666" s="1" t="s">
        <v>12371</v>
      </c>
      <c r="I666">
        <v>15</v>
      </c>
      <c r="J666">
        <v>137</v>
      </c>
      <c r="K666" t="str">
        <f t="shared" si="10"/>
        <v>Retained</v>
      </c>
    </row>
    <row r="667" spans="1:11" x14ac:dyDescent="0.2">
      <c r="A667" t="s">
        <v>13142</v>
      </c>
      <c r="B667" t="s">
        <v>12373</v>
      </c>
      <c r="C667" t="s">
        <v>12373</v>
      </c>
      <c r="D667">
        <v>2387</v>
      </c>
      <c r="E667">
        <v>2386</v>
      </c>
      <c r="F667">
        <v>0</v>
      </c>
      <c r="G667" s="13">
        <v>0.98599999999999999</v>
      </c>
      <c r="H667" s="1" t="s">
        <v>12371</v>
      </c>
      <c r="I667">
        <v>6</v>
      </c>
      <c r="J667">
        <v>673</v>
      </c>
      <c r="K667" t="str">
        <f t="shared" si="10"/>
        <v>Retained</v>
      </c>
    </row>
    <row r="668" spans="1:11" x14ac:dyDescent="0.2">
      <c r="A668" t="s">
        <v>13143</v>
      </c>
      <c r="B668" t="s">
        <v>12373</v>
      </c>
      <c r="C668" t="s">
        <v>12373</v>
      </c>
      <c r="D668">
        <v>1196</v>
      </c>
      <c r="E668">
        <v>1210</v>
      </c>
      <c r="F668">
        <v>-1</v>
      </c>
      <c r="G668" s="13">
        <v>0.80500000000000005</v>
      </c>
      <c r="H668" s="1" t="s">
        <v>12371</v>
      </c>
      <c r="I668">
        <v>17</v>
      </c>
      <c r="J668">
        <v>246</v>
      </c>
      <c r="K668" t="str">
        <f t="shared" si="10"/>
        <v>Filtered out</v>
      </c>
    </row>
    <row r="669" spans="1:11" x14ac:dyDescent="0.2">
      <c r="A669" t="s">
        <v>13144</v>
      </c>
      <c r="B669" t="s">
        <v>12508</v>
      </c>
      <c r="C669" t="s">
        <v>12508</v>
      </c>
      <c r="D669">
        <v>1187</v>
      </c>
      <c r="E669">
        <v>1228</v>
      </c>
      <c r="F669">
        <v>-3</v>
      </c>
      <c r="G669" s="13">
        <v>0.86699999999999999</v>
      </c>
      <c r="H669" s="1" t="s">
        <v>12371</v>
      </c>
      <c r="I669">
        <v>1</v>
      </c>
      <c r="J669">
        <v>357</v>
      </c>
      <c r="K669" t="str">
        <f t="shared" si="10"/>
        <v>Filtered out</v>
      </c>
    </row>
    <row r="670" spans="1:11" x14ac:dyDescent="0.2">
      <c r="A670" t="s">
        <v>13145</v>
      </c>
      <c r="B670" t="s">
        <v>12373</v>
      </c>
      <c r="C670" t="s">
        <v>12373</v>
      </c>
      <c r="D670">
        <v>5352</v>
      </c>
      <c r="E670">
        <v>5349</v>
      </c>
      <c r="F670">
        <v>0</v>
      </c>
      <c r="G670" s="13">
        <v>0.755</v>
      </c>
      <c r="H670" s="1" t="s">
        <v>12371</v>
      </c>
      <c r="I670">
        <v>52</v>
      </c>
      <c r="J670">
        <v>1029</v>
      </c>
      <c r="K670" t="str">
        <f t="shared" si="10"/>
        <v>Filtered out</v>
      </c>
    </row>
    <row r="671" spans="1:11" x14ac:dyDescent="0.2">
      <c r="A671" t="s">
        <v>13146</v>
      </c>
      <c r="B671" t="s">
        <v>12508</v>
      </c>
      <c r="C671" t="s">
        <v>12508</v>
      </c>
      <c r="D671">
        <v>1308</v>
      </c>
      <c r="E671">
        <v>1306</v>
      </c>
      <c r="F671">
        <v>0</v>
      </c>
      <c r="G671" s="13">
        <v>0.42199999999999999</v>
      </c>
      <c r="H671" s="1" t="s">
        <v>12371</v>
      </c>
      <c r="I671">
        <v>14</v>
      </c>
      <c r="J671">
        <v>149</v>
      </c>
      <c r="K671" t="str">
        <f t="shared" si="10"/>
        <v>Filtered out</v>
      </c>
    </row>
    <row r="672" spans="1:11" x14ac:dyDescent="0.2">
      <c r="A672" t="s">
        <v>13147</v>
      </c>
      <c r="B672" t="s">
        <v>12373</v>
      </c>
      <c r="C672" t="s">
        <v>12373</v>
      </c>
      <c r="D672">
        <v>1697</v>
      </c>
      <c r="E672">
        <v>4798</v>
      </c>
      <c r="F672">
        <v>-64</v>
      </c>
      <c r="G672" s="13">
        <v>0.85499999999999998</v>
      </c>
      <c r="H672" s="1" t="s">
        <v>12371</v>
      </c>
      <c r="I672">
        <v>4</v>
      </c>
      <c r="J672">
        <v>534</v>
      </c>
      <c r="K672" t="str">
        <f t="shared" si="10"/>
        <v>Filtered out</v>
      </c>
    </row>
    <row r="673" spans="1:11" x14ac:dyDescent="0.2">
      <c r="A673" t="s">
        <v>13148</v>
      </c>
      <c r="B673" t="s">
        <v>12463</v>
      </c>
      <c r="C673" t="s">
        <v>12463</v>
      </c>
      <c r="D673">
        <v>782</v>
      </c>
      <c r="E673">
        <v>782</v>
      </c>
      <c r="F673">
        <v>0</v>
      </c>
      <c r="G673" s="13">
        <v>0.98099999999999998</v>
      </c>
      <c r="H673" s="1" t="s">
        <v>12371</v>
      </c>
      <c r="I673">
        <v>14</v>
      </c>
      <c r="J673">
        <v>75</v>
      </c>
      <c r="K673" t="str">
        <f t="shared" si="10"/>
        <v>Retained</v>
      </c>
    </row>
    <row r="674" spans="1:11" x14ac:dyDescent="0.2">
      <c r="A674" t="s">
        <v>13149</v>
      </c>
      <c r="B674" t="s">
        <v>12373</v>
      </c>
      <c r="C674" t="s">
        <v>12373</v>
      </c>
      <c r="D674">
        <v>1643</v>
      </c>
      <c r="E674">
        <v>1645</v>
      </c>
      <c r="F674">
        <v>0</v>
      </c>
      <c r="G674" s="13">
        <v>0.19500000000000001</v>
      </c>
      <c r="H674" s="1" t="s">
        <v>12371</v>
      </c>
      <c r="I674">
        <v>55</v>
      </c>
      <c r="J674">
        <v>92</v>
      </c>
      <c r="K674" t="str">
        <f t="shared" si="10"/>
        <v>Filtered out</v>
      </c>
    </row>
    <row r="675" spans="1:11" x14ac:dyDescent="0.2">
      <c r="A675" t="s">
        <v>13150</v>
      </c>
      <c r="B675" t="s">
        <v>12373</v>
      </c>
      <c r="C675" t="s">
        <v>12373</v>
      </c>
      <c r="D675">
        <v>822</v>
      </c>
      <c r="E675">
        <v>811</v>
      </c>
      <c r="F675">
        <v>1</v>
      </c>
      <c r="G675" s="13">
        <v>0.28499999999999998</v>
      </c>
      <c r="H675" s="1" t="s">
        <v>12371</v>
      </c>
      <c r="I675">
        <v>5</v>
      </c>
      <c r="J675">
        <v>139</v>
      </c>
      <c r="K675" t="str">
        <f t="shared" si="10"/>
        <v>Filtered out</v>
      </c>
    </row>
    <row r="676" spans="1:11" x14ac:dyDescent="0.2">
      <c r="A676" t="s">
        <v>13151</v>
      </c>
      <c r="B676" t="s">
        <v>12446</v>
      </c>
      <c r="C676" t="s">
        <v>12405</v>
      </c>
      <c r="D676">
        <v>960</v>
      </c>
      <c r="E676">
        <v>1189</v>
      </c>
      <c r="F676">
        <v>-19</v>
      </c>
      <c r="G676" s="13">
        <v>0.52800000000000002</v>
      </c>
      <c r="H676" s="1" t="s">
        <v>12371</v>
      </c>
      <c r="I676">
        <v>7</v>
      </c>
      <c r="J676">
        <v>35</v>
      </c>
      <c r="K676" t="str">
        <f t="shared" si="10"/>
        <v>Filtered out</v>
      </c>
    </row>
    <row r="677" spans="1:11" x14ac:dyDescent="0.2">
      <c r="A677" t="s">
        <v>13152</v>
      </c>
      <c r="B677" t="s">
        <v>12428</v>
      </c>
      <c r="C677" t="s">
        <v>12428</v>
      </c>
      <c r="D677">
        <v>1046</v>
      </c>
      <c r="E677">
        <v>1046</v>
      </c>
      <c r="F677">
        <v>0</v>
      </c>
      <c r="G677" s="13">
        <v>0.94599999999999995</v>
      </c>
      <c r="H677" s="1" t="s">
        <v>12371</v>
      </c>
      <c r="I677">
        <v>20</v>
      </c>
      <c r="J677">
        <v>58</v>
      </c>
      <c r="K677" t="str">
        <f t="shared" si="10"/>
        <v>Retained</v>
      </c>
    </row>
    <row r="678" spans="1:11" x14ac:dyDescent="0.2">
      <c r="A678" t="s">
        <v>13153</v>
      </c>
      <c r="B678" t="s">
        <v>12375</v>
      </c>
      <c r="C678" t="s">
        <v>12373</v>
      </c>
      <c r="D678">
        <v>1584</v>
      </c>
      <c r="E678">
        <v>1888</v>
      </c>
      <c r="F678">
        <v>-16</v>
      </c>
      <c r="G678" s="13">
        <v>0.42599999999999999</v>
      </c>
      <c r="H678" s="1" t="s">
        <v>12371</v>
      </c>
      <c r="I678">
        <v>7</v>
      </c>
      <c r="J678">
        <v>196</v>
      </c>
      <c r="K678" t="str">
        <f t="shared" si="10"/>
        <v>Filtered out</v>
      </c>
    </row>
    <row r="679" spans="1:11" x14ac:dyDescent="0.2">
      <c r="A679" t="s">
        <v>13154</v>
      </c>
      <c r="B679" t="s">
        <v>13155</v>
      </c>
      <c r="C679" t="s">
        <v>12373</v>
      </c>
      <c r="D679">
        <v>468</v>
      </c>
      <c r="E679">
        <v>472</v>
      </c>
      <c r="F679">
        <v>0</v>
      </c>
      <c r="G679" s="13">
        <v>0.60799999999999998</v>
      </c>
      <c r="H679" s="1" t="s">
        <v>12371</v>
      </c>
      <c r="I679">
        <v>4</v>
      </c>
      <c r="J679">
        <v>48</v>
      </c>
      <c r="K679" t="str">
        <f t="shared" si="10"/>
        <v>Filtered out</v>
      </c>
    </row>
    <row r="680" spans="1:11" x14ac:dyDescent="0.2">
      <c r="A680" t="s">
        <v>13156</v>
      </c>
      <c r="B680" t="s">
        <v>12373</v>
      </c>
      <c r="C680" t="s">
        <v>12373</v>
      </c>
      <c r="D680">
        <v>1065</v>
      </c>
      <c r="E680">
        <v>1063</v>
      </c>
      <c r="F680">
        <v>0</v>
      </c>
      <c r="G680" s="13">
        <v>0.96599999999999997</v>
      </c>
      <c r="H680" s="1" t="s">
        <v>12371</v>
      </c>
      <c r="I680">
        <v>4</v>
      </c>
      <c r="J680">
        <v>152</v>
      </c>
      <c r="K680" t="str">
        <f t="shared" si="10"/>
        <v>Retained</v>
      </c>
    </row>
    <row r="681" spans="1:11" x14ac:dyDescent="0.2">
      <c r="A681" t="s">
        <v>13157</v>
      </c>
      <c r="B681" t="s">
        <v>12450</v>
      </c>
      <c r="C681" t="s">
        <v>12450</v>
      </c>
      <c r="D681">
        <v>3527</v>
      </c>
      <c r="E681">
        <v>3532</v>
      </c>
      <c r="F681">
        <v>0</v>
      </c>
      <c r="G681" s="13">
        <v>0.96199999999999997</v>
      </c>
      <c r="H681" s="1" t="s">
        <v>12437</v>
      </c>
      <c r="I681">
        <v>0</v>
      </c>
      <c r="J681" t="s">
        <v>12438</v>
      </c>
      <c r="K681" t="str">
        <f t="shared" si="10"/>
        <v>Filtered out</v>
      </c>
    </row>
    <row r="682" spans="1:11" x14ac:dyDescent="0.2">
      <c r="A682" t="s">
        <v>13158</v>
      </c>
      <c r="B682" t="s">
        <v>12373</v>
      </c>
      <c r="C682" t="s">
        <v>12373</v>
      </c>
      <c r="D682">
        <v>2427</v>
      </c>
      <c r="E682">
        <v>2431</v>
      </c>
      <c r="F682">
        <v>0</v>
      </c>
      <c r="G682" s="13">
        <v>0.78700000000000003</v>
      </c>
      <c r="H682" s="1" t="s">
        <v>12371</v>
      </c>
      <c r="I682">
        <v>12</v>
      </c>
      <c r="J682">
        <v>511</v>
      </c>
      <c r="K682" t="str">
        <f t="shared" si="10"/>
        <v>Filtered out</v>
      </c>
    </row>
    <row r="683" spans="1:11" x14ac:dyDescent="0.2">
      <c r="A683" t="s">
        <v>13159</v>
      </c>
      <c r="B683" t="s">
        <v>12497</v>
      </c>
      <c r="C683" t="s">
        <v>12722</v>
      </c>
      <c r="D683">
        <v>336</v>
      </c>
      <c r="E683">
        <v>802</v>
      </c>
      <c r="F683">
        <v>-58</v>
      </c>
      <c r="G683" s="13">
        <v>0.246</v>
      </c>
      <c r="H683" s="1" t="s">
        <v>12371</v>
      </c>
      <c r="I683">
        <v>2</v>
      </c>
      <c r="J683">
        <v>51</v>
      </c>
      <c r="K683" t="str">
        <f t="shared" si="10"/>
        <v>Filtered out</v>
      </c>
    </row>
    <row r="684" spans="1:11" x14ac:dyDescent="0.2">
      <c r="A684" t="s">
        <v>13160</v>
      </c>
      <c r="B684" t="s">
        <v>12405</v>
      </c>
      <c r="C684" t="s">
        <v>12393</v>
      </c>
      <c r="D684">
        <v>501</v>
      </c>
      <c r="E684">
        <v>585</v>
      </c>
      <c r="F684">
        <v>-14</v>
      </c>
      <c r="G684" s="13">
        <v>0.96199999999999997</v>
      </c>
      <c r="H684" s="1" t="s">
        <v>12371</v>
      </c>
      <c r="I684">
        <v>4</v>
      </c>
      <c r="J684">
        <v>20</v>
      </c>
      <c r="K684" t="str">
        <f t="shared" si="10"/>
        <v>Filtered out</v>
      </c>
    </row>
    <row r="685" spans="1:11" x14ac:dyDescent="0.2">
      <c r="A685" t="s">
        <v>13161</v>
      </c>
      <c r="B685" t="s">
        <v>12405</v>
      </c>
      <c r="C685" t="s">
        <v>12574</v>
      </c>
      <c r="D685">
        <v>501</v>
      </c>
      <c r="E685">
        <v>451</v>
      </c>
      <c r="F685">
        <v>11</v>
      </c>
      <c r="G685" s="13">
        <v>0.33300000000000002</v>
      </c>
      <c r="H685" s="1" t="s">
        <v>12371</v>
      </c>
      <c r="I685">
        <v>4</v>
      </c>
      <c r="J685">
        <v>20</v>
      </c>
      <c r="K685" t="str">
        <f t="shared" si="10"/>
        <v>Filtered out</v>
      </c>
    </row>
    <row r="686" spans="1:11" x14ac:dyDescent="0.2">
      <c r="A686" t="s">
        <v>13162</v>
      </c>
      <c r="B686" t="s">
        <v>12409</v>
      </c>
      <c r="C686" t="s">
        <v>12563</v>
      </c>
      <c r="D686">
        <v>1049</v>
      </c>
      <c r="E686">
        <v>3577</v>
      </c>
      <c r="F686">
        <v>-70</v>
      </c>
      <c r="G686" s="13">
        <v>0.74099999999999999</v>
      </c>
      <c r="H686" s="1" t="s">
        <v>12437</v>
      </c>
      <c r="I686">
        <v>0</v>
      </c>
      <c r="J686" t="s">
        <v>12438</v>
      </c>
      <c r="K686" t="str">
        <f t="shared" si="10"/>
        <v>Filtered out</v>
      </c>
    </row>
    <row r="687" spans="1:11" x14ac:dyDescent="0.2">
      <c r="A687" t="s">
        <v>13163</v>
      </c>
      <c r="B687" t="s">
        <v>12461</v>
      </c>
      <c r="C687" t="s">
        <v>12373</v>
      </c>
      <c r="D687">
        <v>350</v>
      </c>
      <c r="E687">
        <v>1138</v>
      </c>
      <c r="F687">
        <v>-69</v>
      </c>
      <c r="G687" s="13">
        <v>0.79500000000000004</v>
      </c>
      <c r="H687" s="1" t="s">
        <v>12437</v>
      </c>
      <c r="I687">
        <v>0</v>
      </c>
      <c r="J687" t="s">
        <v>12438</v>
      </c>
      <c r="K687" t="str">
        <f t="shared" si="10"/>
        <v>Filtered out</v>
      </c>
    </row>
    <row r="688" spans="1:11" x14ac:dyDescent="0.2">
      <c r="A688" t="s">
        <v>13164</v>
      </c>
      <c r="B688" t="s">
        <v>12373</v>
      </c>
      <c r="C688" t="s">
        <v>12373</v>
      </c>
      <c r="D688">
        <v>9179</v>
      </c>
      <c r="E688">
        <v>9184</v>
      </c>
      <c r="F688">
        <v>0</v>
      </c>
      <c r="G688" s="13">
        <v>0.99099999999999999</v>
      </c>
      <c r="H688" s="1" t="s">
        <v>12371</v>
      </c>
      <c r="I688">
        <v>67</v>
      </c>
      <c r="J688">
        <v>2066</v>
      </c>
      <c r="K688" t="str">
        <f t="shared" si="10"/>
        <v>Retained</v>
      </c>
    </row>
    <row r="689" spans="1:11" x14ac:dyDescent="0.2">
      <c r="A689" t="s">
        <v>13165</v>
      </c>
      <c r="B689" t="s">
        <v>12373</v>
      </c>
      <c r="C689" t="s">
        <v>12373</v>
      </c>
      <c r="D689">
        <v>2109</v>
      </c>
      <c r="E689">
        <v>2104</v>
      </c>
      <c r="F689">
        <v>0</v>
      </c>
      <c r="G689" s="13">
        <v>0.879</v>
      </c>
      <c r="H689" s="1" t="s">
        <v>12371</v>
      </c>
      <c r="I689">
        <v>12</v>
      </c>
      <c r="J689">
        <v>515</v>
      </c>
      <c r="K689" t="str">
        <f t="shared" si="10"/>
        <v>Filtered out</v>
      </c>
    </row>
    <row r="690" spans="1:11" x14ac:dyDescent="0.2">
      <c r="A690" t="s">
        <v>13166</v>
      </c>
      <c r="B690" t="s">
        <v>12373</v>
      </c>
      <c r="C690" t="s">
        <v>12373</v>
      </c>
      <c r="D690">
        <v>2340</v>
      </c>
      <c r="E690">
        <v>2344</v>
      </c>
      <c r="F690">
        <v>0</v>
      </c>
      <c r="G690" s="13">
        <v>0.98799999999999999</v>
      </c>
      <c r="H690" s="1" t="s">
        <v>12371</v>
      </c>
      <c r="I690">
        <v>2</v>
      </c>
      <c r="J690">
        <v>705</v>
      </c>
      <c r="K690" t="str">
        <f t="shared" si="10"/>
        <v>Retained</v>
      </c>
    </row>
    <row r="691" spans="1:11" x14ac:dyDescent="0.2">
      <c r="A691" t="s">
        <v>13167</v>
      </c>
      <c r="B691" t="s">
        <v>12375</v>
      </c>
      <c r="C691" t="s">
        <v>12373</v>
      </c>
      <c r="D691">
        <v>672</v>
      </c>
      <c r="E691">
        <v>1333</v>
      </c>
      <c r="F691">
        <v>-49</v>
      </c>
      <c r="G691" s="13">
        <v>0.98199999999999998</v>
      </c>
      <c r="H691" s="1" t="s">
        <v>12371</v>
      </c>
      <c r="I691">
        <v>1</v>
      </c>
      <c r="J691">
        <v>173</v>
      </c>
      <c r="K691" t="str">
        <f t="shared" si="10"/>
        <v>Filtered out</v>
      </c>
    </row>
    <row r="692" spans="1:11" x14ac:dyDescent="0.2">
      <c r="A692" t="s">
        <v>13168</v>
      </c>
      <c r="B692" t="s">
        <v>12373</v>
      </c>
      <c r="C692" t="s">
        <v>12373</v>
      </c>
      <c r="D692">
        <v>1308</v>
      </c>
      <c r="E692">
        <v>1303</v>
      </c>
      <c r="F692">
        <v>0</v>
      </c>
      <c r="G692" s="13">
        <v>0.99199999999999999</v>
      </c>
      <c r="H692" s="1" t="s">
        <v>12371</v>
      </c>
      <c r="I692">
        <v>1</v>
      </c>
      <c r="J692">
        <v>413</v>
      </c>
      <c r="K692" t="str">
        <f t="shared" si="10"/>
        <v>Retained</v>
      </c>
    </row>
    <row r="693" spans="1:11" x14ac:dyDescent="0.2">
      <c r="A693" t="s">
        <v>13169</v>
      </c>
      <c r="B693" t="s">
        <v>12373</v>
      </c>
      <c r="C693" t="s">
        <v>12373</v>
      </c>
      <c r="D693">
        <v>2678</v>
      </c>
      <c r="E693">
        <v>2683</v>
      </c>
      <c r="F693">
        <v>0</v>
      </c>
      <c r="G693" s="13">
        <v>1</v>
      </c>
      <c r="H693" s="1" t="s">
        <v>12371</v>
      </c>
      <c r="I693">
        <v>16</v>
      </c>
      <c r="J693">
        <v>698</v>
      </c>
      <c r="K693" t="str">
        <f t="shared" si="10"/>
        <v>Filtered out</v>
      </c>
    </row>
    <row r="694" spans="1:11" x14ac:dyDescent="0.2">
      <c r="A694" t="s">
        <v>13170</v>
      </c>
      <c r="B694" t="s">
        <v>12373</v>
      </c>
      <c r="C694" t="s">
        <v>12373</v>
      </c>
      <c r="D694">
        <v>2096</v>
      </c>
      <c r="E694">
        <v>2089</v>
      </c>
      <c r="F694">
        <v>0</v>
      </c>
      <c r="G694" s="13">
        <v>0.67800000000000005</v>
      </c>
      <c r="H694" s="1" t="s">
        <v>12371</v>
      </c>
      <c r="I694">
        <v>34</v>
      </c>
      <c r="J694">
        <v>138</v>
      </c>
      <c r="K694" t="str">
        <f t="shared" si="10"/>
        <v>Filtered out</v>
      </c>
    </row>
    <row r="695" spans="1:11" x14ac:dyDescent="0.2">
      <c r="A695" t="s">
        <v>13171</v>
      </c>
      <c r="B695" t="s">
        <v>12382</v>
      </c>
      <c r="C695" t="s">
        <v>12382</v>
      </c>
      <c r="D695">
        <v>1778</v>
      </c>
      <c r="E695">
        <v>1780</v>
      </c>
      <c r="F695">
        <v>0</v>
      </c>
      <c r="G695" s="13">
        <v>0.96199999999999997</v>
      </c>
      <c r="H695" s="1" t="s">
        <v>12371</v>
      </c>
      <c r="I695">
        <v>16</v>
      </c>
      <c r="J695">
        <v>405</v>
      </c>
      <c r="K695" t="str">
        <f t="shared" si="10"/>
        <v>Retained</v>
      </c>
    </row>
    <row r="696" spans="1:11" x14ac:dyDescent="0.2">
      <c r="A696" t="s">
        <v>13172</v>
      </c>
      <c r="B696" t="s">
        <v>12373</v>
      </c>
      <c r="C696" t="s">
        <v>12373</v>
      </c>
      <c r="D696">
        <v>2063</v>
      </c>
      <c r="E696">
        <v>2062</v>
      </c>
      <c r="F696">
        <v>0</v>
      </c>
      <c r="G696" s="13">
        <v>0.95099999999999996</v>
      </c>
      <c r="H696" s="1" t="s">
        <v>12371</v>
      </c>
      <c r="I696">
        <v>26</v>
      </c>
      <c r="J696">
        <v>454</v>
      </c>
      <c r="K696" t="str">
        <f t="shared" si="10"/>
        <v>Retained</v>
      </c>
    </row>
    <row r="697" spans="1:11" x14ac:dyDescent="0.2">
      <c r="A697" t="s">
        <v>13173</v>
      </c>
      <c r="B697" t="s">
        <v>12816</v>
      </c>
      <c r="C697" t="s">
        <v>12373</v>
      </c>
      <c r="D697">
        <v>833</v>
      </c>
      <c r="E697">
        <v>1517</v>
      </c>
      <c r="F697">
        <v>-45</v>
      </c>
      <c r="G697" s="13">
        <v>0.98199999999999998</v>
      </c>
      <c r="H697" s="1" t="s">
        <v>12371</v>
      </c>
      <c r="I697">
        <v>8</v>
      </c>
      <c r="J697">
        <v>59</v>
      </c>
      <c r="K697" t="str">
        <f t="shared" si="10"/>
        <v>Filtered out</v>
      </c>
    </row>
    <row r="698" spans="1:11" x14ac:dyDescent="0.2">
      <c r="A698" t="s">
        <v>13174</v>
      </c>
      <c r="B698" t="s">
        <v>13175</v>
      </c>
      <c r="C698" t="s">
        <v>13175</v>
      </c>
      <c r="D698">
        <v>4785</v>
      </c>
      <c r="E698">
        <v>4789</v>
      </c>
      <c r="F698">
        <v>0</v>
      </c>
      <c r="G698" s="13">
        <v>0.89600000000000002</v>
      </c>
      <c r="H698" s="1" t="s">
        <v>12371</v>
      </c>
      <c r="I698">
        <v>55</v>
      </c>
      <c r="J698">
        <v>497</v>
      </c>
      <c r="K698" t="str">
        <f t="shared" si="10"/>
        <v>Filtered out</v>
      </c>
    </row>
    <row r="699" spans="1:11" x14ac:dyDescent="0.2">
      <c r="A699" t="s">
        <v>13176</v>
      </c>
      <c r="B699" t="s">
        <v>12373</v>
      </c>
      <c r="C699" t="s">
        <v>12373</v>
      </c>
      <c r="D699">
        <v>1913</v>
      </c>
      <c r="E699">
        <v>1870</v>
      </c>
      <c r="F699">
        <v>2</v>
      </c>
      <c r="G699" s="13">
        <v>0.99</v>
      </c>
      <c r="H699" s="1" t="s">
        <v>12437</v>
      </c>
      <c r="I699">
        <v>0</v>
      </c>
      <c r="J699" t="s">
        <v>12438</v>
      </c>
      <c r="K699" t="str">
        <f t="shared" si="10"/>
        <v>Filtered out</v>
      </c>
    </row>
    <row r="700" spans="1:11" x14ac:dyDescent="0.2">
      <c r="A700" t="s">
        <v>13177</v>
      </c>
      <c r="B700" t="s">
        <v>13178</v>
      </c>
      <c r="C700" t="s">
        <v>13178</v>
      </c>
      <c r="D700">
        <v>303</v>
      </c>
      <c r="E700">
        <v>303</v>
      </c>
      <c r="F700">
        <v>0</v>
      </c>
      <c r="G700" s="13">
        <v>0.99</v>
      </c>
      <c r="H700" s="1" t="s">
        <v>12371</v>
      </c>
      <c r="I700">
        <v>7</v>
      </c>
      <c r="J700">
        <v>13</v>
      </c>
      <c r="K700" t="str">
        <f t="shared" si="10"/>
        <v>Retained</v>
      </c>
    </row>
    <row r="701" spans="1:11" x14ac:dyDescent="0.2">
      <c r="A701" t="s">
        <v>13179</v>
      </c>
      <c r="B701" t="s">
        <v>12373</v>
      </c>
      <c r="C701" t="s">
        <v>12373</v>
      </c>
      <c r="D701">
        <v>362</v>
      </c>
      <c r="E701">
        <v>364</v>
      </c>
      <c r="F701">
        <v>0</v>
      </c>
      <c r="G701" s="13">
        <v>1</v>
      </c>
      <c r="H701" s="1" t="s">
        <v>12371</v>
      </c>
      <c r="I701">
        <v>8</v>
      </c>
      <c r="J701">
        <v>53</v>
      </c>
      <c r="K701" t="str">
        <f t="shared" si="10"/>
        <v>Filtered out</v>
      </c>
    </row>
    <row r="702" spans="1:11" x14ac:dyDescent="0.2">
      <c r="A702" t="s">
        <v>13180</v>
      </c>
      <c r="B702" t="s">
        <v>12373</v>
      </c>
      <c r="C702" t="s">
        <v>12373</v>
      </c>
      <c r="D702">
        <v>987</v>
      </c>
      <c r="E702">
        <v>988</v>
      </c>
      <c r="F702">
        <v>0</v>
      </c>
      <c r="G702" s="13">
        <v>0.43099999999999999</v>
      </c>
      <c r="H702" s="1" t="s">
        <v>12371</v>
      </c>
      <c r="I702">
        <v>17</v>
      </c>
      <c r="J702">
        <v>79</v>
      </c>
      <c r="K702" t="str">
        <f t="shared" si="10"/>
        <v>Filtered out</v>
      </c>
    </row>
    <row r="703" spans="1:11" x14ac:dyDescent="0.2">
      <c r="A703" t="s">
        <v>13180</v>
      </c>
      <c r="B703" t="s">
        <v>12373</v>
      </c>
      <c r="C703" t="s">
        <v>12373</v>
      </c>
      <c r="D703">
        <v>987</v>
      </c>
      <c r="E703">
        <v>988</v>
      </c>
      <c r="F703">
        <v>0</v>
      </c>
      <c r="G703" s="13">
        <v>0.43099999999999999</v>
      </c>
      <c r="H703" s="1" t="s">
        <v>12371</v>
      </c>
      <c r="I703">
        <v>17</v>
      </c>
      <c r="J703">
        <v>79</v>
      </c>
      <c r="K703" t="str">
        <f t="shared" si="10"/>
        <v>Filtered out</v>
      </c>
    </row>
    <row r="704" spans="1:11" x14ac:dyDescent="0.2">
      <c r="A704" t="s">
        <v>13181</v>
      </c>
      <c r="B704" t="s">
        <v>12373</v>
      </c>
      <c r="C704" t="s">
        <v>12373</v>
      </c>
      <c r="D704">
        <v>1224</v>
      </c>
      <c r="E704">
        <v>1225</v>
      </c>
      <c r="F704">
        <v>0</v>
      </c>
      <c r="G704" s="13">
        <v>0.43099999999999999</v>
      </c>
      <c r="H704" s="1" t="s">
        <v>12371</v>
      </c>
      <c r="I704">
        <v>17</v>
      </c>
      <c r="J704">
        <v>79</v>
      </c>
      <c r="K704" t="str">
        <f t="shared" si="10"/>
        <v>Filtered out</v>
      </c>
    </row>
    <row r="705" spans="1:11" x14ac:dyDescent="0.2">
      <c r="A705" t="s">
        <v>13182</v>
      </c>
      <c r="B705" t="s">
        <v>12428</v>
      </c>
      <c r="C705" t="s">
        <v>12373</v>
      </c>
      <c r="D705">
        <v>5037</v>
      </c>
      <c r="E705">
        <v>5317</v>
      </c>
      <c r="F705">
        <v>-5</v>
      </c>
      <c r="G705" s="13">
        <v>0.435</v>
      </c>
      <c r="H705" s="1" t="s">
        <v>12371</v>
      </c>
      <c r="I705">
        <v>56</v>
      </c>
      <c r="J705">
        <v>307</v>
      </c>
      <c r="K705" t="str">
        <f t="shared" si="10"/>
        <v>Filtered out</v>
      </c>
    </row>
    <row r="706" spans="1:11" x14ac:dyDescent="0.2">
      <c r="A706" t="s">
        <v>13183</v>
      </c>
      <c r="B706" t="s">
        <v>12379</v>
      </c>
      <c r="C706" t="s">
        <v>12379</v>
      </c>
      <c r="D706">
        <v>1425</v>
      </c>
      <c r="E706">
        <v>1420</v>
      </c>
      <c r="F706">
        <v>0</v>
      </c>
      <c r="G706" s="13">
        <v>0.97599999999999998</v>
      </c>
      <c r="H706" s="1" t="s">
        <v>12371</v>
      </c>
      <c r="I706">
        <v>2</v>
      </c>
      <c r="J706">
        <v>468</v>
      </c>
      <c r="K706" t="str">
        <f t="shared" si="10"/>
        <v>Retained</v>
      </c>
    </row>
    <row r="707" spans="1:11" x14ac:dyDescent="0.2">
      <c r="A707" t="s">
        <v>13184</v>
      </c>
      <c r="B707" t="s">
        <v>12373</v>
      </c>
      <c r="C707" t="s">
        <v>12373</v>
      </c>
      <c r="D707">
        <v>3959</v>
      </c>
      <c r="E707">
        <v>3961</v>
      </c>
      <c r="F707">
        <v>0</v>
      </c>
      <c r="G707" s="13">
        <v>1</v>
      </c>
      <c r="H707" s="1" t="s">
        <v>12371</v>
      </c>
      <c r="I707">
        <v>127</v>
      </c>
      <c r="J707">
        <v>192</v>
      </c>
      <c r="K707" t="str">
        <f t="shared" si="10"/>
        <v>Filtered out</v>
      </c>
    </row>
    <row r="708" spans="1:11" x14ac:dyDescent="0.2">
      <c r="A708" t="s">
        <v>13185</v>
      </c>
      <c r="B708" t="s">
        <v>12375</v>
      </c>
      <c r="C708" t="s">
        <v>12446</v>
      </c>
      <c r="D708">
        <v>852</v>
      </c>
      <c r="E708">
        <v>949</v>
      </c>
      <c r="F708">
        <v>-10</v>
      </c>
      <c r="G708" s="13">
        <v>0.94399999999999995</v>
      </c>
      <c r="H708" s="1" t="s">
        <v>12371</v>
      </c>
      <c r="I708">
        <v>8</v>
      </c>
      <c r="J708">
        <v>41</v>
      </c>
      <c r="K708" t="str">
        <f t="shared" si="10"/>
        <v>Filtered out</v>
      </c>
    </row>
    <row r="709" spans="1:11" x14ac:dyDescent="0.2">
      <c r="A709" t="s">
        <v>13186</v>
      </c>
      <c r="B709" t="s">
        <v>12722</v>
      </c>
      <c r="C709" t="s">
        <v>12373</v>
      </c>
      <c r="D709">
        <v>594</v>
      </c>
      <c r="E709">
        <v>655</v>
      </c>
      <c r="F709">
        <v>-9</v>
      </c>
      <c r="G709" s="13">
        <v>0.83</v>
      </c>
      <c r="H709" s="1" t="s">
        <v>12371</v>
      </c>
      <c r="I709">
        <v>1</v>
      </c>
      <c r="J709">
        <v>180</v>
      </c>
      <c r="K709" t="str">
        <f t="shared" si="10"/>
        <v>Filtered out</v>
      </c>
    </row>
    <row r="710" spans="1:11" x14ac:dyDescent="0.2">
      <c r="A710" t="s">
        <v>13187</v>
      </c>
      <c r="B710" t="s">
        <v>12453</v>
      </c>
      <c r="C710" t="s">
        <v>12384</v>
      </c>
      <c r="D710">
        <v>3191</v>
      </c>
      <c r="E710">
        <v>4198</v>
      </c>
      <c r="F710">
        <v>-23</v>
      </c>
      <c r="G710" s="13">
        <v>0.98499999999999999</v>
      </c>
      <c r="H710" s="1" t="s">
        <v>12371</v>
      </c>
      <c r="I710">
        <v>32</v>
      </c>
      <c r="J710">
        <v>139</v>
      </c>
      <c r="K710" t="str">
        <f t="shared" si="10"/>
        <v>Filtered out</v>
      </c>
    </row>
    <row r="711" spans="1:11" x14ac:dyDescent="0.2">
      <c r="A711" t="s">
        <v>13188</v>
      </c>
      <c r="B711" t="s">
        <v>12373</v>
      </c>
      <c r="C711" t="s">
        <v>12373</v>
      </c>
      <c r="D711">
        <v>6216</v>
      </c>
      <c r="E711">
        <v>6223</v>
      </c>
      <c r="F711">
        <v>0</v>
      </c>
      <c r="G711" s="13">
        <v>0.89800000000000002</v>
      </c>
      <c r="H711" s="1" t="s">
        <v>12371</v>
      </c>
      <c r="I711">
        <v>126</v>
      </c>
      <c r="J711">
        <v>161</v>
      </c>
      <c r="K711" t="str">
        <f t="shared" si="10"/>
        <v>Filtered out</v>
      </c>
    </row>
    <row r="712" spans="1:11" x14ac:dyDescent="0.2">
      <c r="A712" t="s">
        <v>13189</v>
      </c>
      <c r="B712" t="s">
        <v>12373</v>
      </c>
      <c r="C712" t="s">
        <v>12373</v>
      </c>
      <c r="D712">
        <v>1563</v>
      </c>
      <c r="E712">
        <v>1558</v>
      </c>
      <c r="F712">
        <v>0</v>
      </c>
      <c r="G712" s="13">
        <v>0.99399999999999999</v>
      </c>
      <c r="H712" s="1" t="s">
        <v>12371</v>
      </c>
      <c r="I712">
        <v>16</v>
      </c>
      <c r="J712">
        <v>195</v>
      </c>
      <c r="K712" t="str">
        <f t="shared" si="10"/>
        <v>Retained</v>
      </c>
    </row>
    <row r="713" spans="1:11" x14ac:dyDescent="0.2">
      <c r="A713" t="s">
        <v>13190</v>
      </c>
      <c r="B713" t="s">
        <v>12373</v>
      </c>
      <c r="C713" t="s">
        <v>12373</v>
      </c>
      <c r="D713">
        <v>1233</v>
      </c>
      <c r="E713">
        <v>1237</v>
      </c>
      <c r="F713">
        <v>0</v>
      </c>
      <c r="G713" s="13">
        <v>0.64300000000000002</v>
      </c>
      <c r="H713" s="1" t="s">
        <v>12371</v>
      </c>
      <c r="I713">
        <v>13</v>
      </c>
      <c r="J713">
        <v>62</v>
      </c>
      <c r="K713" t="str">
        <f t="shared" ref="K713:K749" si="11">IF(AND(B713=C713,F713&lt;10,F713&gt;-10,I713&gt;0,G713&gt;90%,G713&lt;100%),"Retained","Filtered out")</f>
        <v>Filtered out</v>
      </c>
    </row>
    <row r="714" spans="1:11" x14ac:dyDescent="0.2">
      <c r="A714" t="s">
        <v>13191</v>
      </c>
      <c r="B714" t="s">
        <v>12468</v>
      </c>
      <c r="C714" t="s">
        <v>12373</v>
      </c>
      <c r="D714">
        <v>3011</v>
      </c>
      <c r="E714">
        <v>3031</v>
      </c>
      <c r="F714">
        <v>0</v>
      </c>
      <c r="G714" s="13">
        <v>0.90100000000000002</v>
      </c>
      <c r="H714" s="1" t="s">
        <v>12371</v>
      </c>
      <c r="I714">
        <v>9</v>
      </c>
      <c r="J714">
        <v>867</v>
      </c>
      <c r="K714" t="str">
        <f t="shared" si="11"/>
        <v>Filtered out</v>
      </c>
    </row>
    <row r="715" spans="1:11" x14ac:dyDescent="0.2">
      <c r="A715" t="s">
        <v>13192</v>
      </c>
      <c r="B715" t="s">
        <v>12380</v>
      </c>
      <c r="C715" t="s">
        <v>12380</v>
      </c>
      <c r="D715">
        <v>1674</v>
      </c>
      <c r="E715">
        <v>1658</v>
      </c>
      <c r="F715">
        <v>0</v>
      </c>
      <c r="G715" s="13">
        <v>0.99299999999999999</v>
      </c>
      <c r="H715" s="1" t="s">
        <v>12371</v>
      </c>
      <c r="I715">
        <v>6</v>
      </c>
      <c r="J715">
        <v>368</v>
      </c>
      <c r="K715" t="str">
        <f t="shared" si="11"/>
        <v>Retained</v>
      </c>
    </row>
    <row r="716" spans="1:11" x14ac:dyDescent="0.2">
      <c r="A716" t="s">
        <v>13193</v>
      </c>
      <c r="B716" t="s">
        <v>12382</v>
      </c>
      <c r="C716" t="s">
        <v>12382</v>
      </c>
      <c r="D716">
        <v>1805</v>
      </c>
      <c r="E716">
        <v>2251</v>
      </c>
      <c r="F716">
        <v>-19</v>
      </c>
      <c r="G716" s="13">
        <v>0.34399999999999997</v>
      </c>
      <c r="H716" s="1" t="s">
        <v>12371</v>
      </c>
      <c r="I716">
        <v>32</v>
      </c>
      <c r="J716">
        <v>90</v>
      </c>
      <c r="K716" t="str">
        <f t="shared" si="11"/>
        <v>Filtered out</v>
      </c>
    </row>
    <row r="717" spans="1:11" x14ac:dyDescent="0.2">
      <c r="A717" t="s">
        <v>13194</v>
      </c>
      <c r="B717" t="s">
        <v>12373</v>
      </c>
      <c r="C717" t="s">
        <v>12373</v>
      </c>
      <c r="D717">
        <v>1739</v>
      </c>
      <c r="E717">
        <v>1739</v>
      </c>
      <c r="F717">
        <v>0</v>
      </c>
      <c r="G717" s="13">
        <v>0.997</v>
      </c>
      <c r="H717" s="1" t="s">
        <v>12371</v>
      </c>
      <c r="I717">
        <v>2</v>
      </c>
      <c r="J717">
        <v>570</v>
      </c>
      <c r="K717" t="str">
        <f t="shared" si="11"/>
        <v>Retained</v>
      </c>
    </row>
    <row r="718" spans="1:11" x14ac:dyDescent="0.2">
      <c r="A718" t="s">
        <v>13195</v>
      </c>
      <c r="B718" t="s">
        <v>12373</v>
      </c>
      <c r="C718" t="s">
        <v>12373</v>
      </c>
      <c r="D718">
        <v>1883</v>
      </c>
      <c r="E718">
        <v>1888</v>
      </c>
      <c r="F718">
        <v>0</v>
      </c>
      <c r="G718" s="13">
        <v>0.76</v>
      </c>
      <c r="H718" s="1" t="s">
        <v>12371</v>
      </c>
      <c r="I718">
        <v>15</v>
      </c>
      <c r="J718">
        <v>319</v>
      </c>
      <c r="K718" t="str">
        <f t="shared" si="11"/>
        <v>Filtered out</v>
      </c>
    </row>
    <row r="719" spans="1:11" x14ac:dyDescent="0.2">
      <c r="A719" t="s">
        <v>13196</v>
      </c>
      <c r="B719" t="s">
        <v>12884</v>
      </c>
      <c r="C719" t="s">
        <v>12591</v>
      </c>
      <c r="D719">
        <v>300</v>
      </c>
      <c r="E719">
        <v>1592</v>
      </c>
      <c r="F719">
        <v>-81</v>
      </c>
      <c r="G719" s="13">
        <v>0.22800000000000001</v>
      </c>
      <c r="H719" s="1" t="s">
        <v>12371</v>
      </c>
      <c r="I719">
        <v>1</v>
      </c>
      <c r="J719">
        <v>83</v>
      </c>
      <c r="K719" t="str">
        <f t="shared" si="11"/>
        <v>Filtered out</v>
      </c>
    </row>
    <row r="720" spans="1:11" x14ac:dyDescent="0.2">
      <c r="A720" t="s">
        <v>13197</v>
      </c>
      <c r="B720" t="s">
        <v>12373</v>
      </c>
      <c r="C720" t="s">
        <v>12373</v>
      </c>
      <c r="D720">
        <v>1397</v>
      </c>
      <c r="E720">
        <v>1398</v>
      </c>
      <c r="F720">
        <v>0</v>
      </c>
      <c r="G720" s="13">
        <v>0.97699999999999998</v>
      </c>
      <c r="H720" s="1" t="s">
        <v>12371</v>
      </c>
      <c r="I720">
        <v>5</v>
      </c>
      <c r="J720">
        <v>420</v>
      </c>
      <c r="K720" t="str">
        <f t="shared" si="11"/>
        <v>Retained</v>
      </c>
    </row>
    <row r="721" spans="1:11" x14ac:dyDescent="0.2">
      <c r="A721" t="s">
        <v>13198</v>
      </c>
      <c r="B721" t="s">
        <v>12375</v>
      </c>
      <c r="C721" t="s">
        <v>12373</v>
      </c>
      <c r="D721">
        <v>2240</v>
      </c>
      <c r="E721">
        <v>4489</v>
      </c>
      <c r="F721">
        <v>-50</v>
      </c>
      <c r="G721" s="13">
        <v>0.62</v>
      </c>
      <c r="H721" s="1" t="s">
        <v>12371</v>
      </c>
      <c r="I721">
        <v>4</v>
      </c>
      <c r="J721">
        <v>439</v>
      </c>
      <c r="K721" t="str">
        <f t="shared" si="11"/>
        <v>Filtered out</v>
      </c>
    </row>
    <row r="722" spans="1:11" x14ac:dyDescent="0.2">
      <c r="A722" t="s">
        <v>13199</v>
      </c>
      <c r="B722" t="s">
        <v>12373</v>
      </c>
      <c r="C722" t="s">
        <v>12373</v>
      </c>
      <c r="D722">
        <v>1550</v>
      </c>
      <c r="E722">
        <v>2065</v>
      </c>
      <c r="F722">
        <v>-24</v>
      </c>
      <c r="G722" s="13">
        <v>0.77700000000000002</v>
      </c>
      <c r="H722" s="1" t="s">
        <v>12371</v>
      </c>
      <c r="I722">
        <v>18</v>
      </c>
      <c r="J722">
        <v>185</v>
      </c>
      <c r="K722" t="str">
        <f t="shared" si="11"/>
        <v>Filtered out</v>
      </c>
    </row>
    <row r="723" spans="1:11" x14ac:dyDescent="0.2">
      <c r="A723" t="s">
        <v>13200</v>
      </c>
      <c r="B723" t="s">
        <v>13201</v>
      </c>
      <c r="C723" t="s">
        <v>12612</v>
      </c>
      <c r="D723">
        <v>2489</v>
      </c>
      <c r="E723">
        <v>2524</v>
      </c>
      <c r="F723">
        <v>-1</v>
      </c>
      <c r="G723" s="13">
        <v>0.78800000000000003</v>
      </c>
      <c r="H723" s="1" t="s">
        <v>12371</v>
      </c>
      <c r="I723">
        <v>31</v>
      </c>
      <c r="J723">
        <v>158</v>
      </c>
      <c r="K723" t="str">
        <f t="shared" si="11"/>
        <v>Filtered out</v>
      </c>
    </row>
    <row r="724" spans="1:11" x14ac:dyDescent="0.2">
      <c r="A724" t="s">
        <v>13202</v>
      </c>
      <c r="B724" t="s">
        <v>13203</v>
      </c>
      <c r="C724" t="s">
        <v>12373</v>
      </c>
      <c r="D724">
        <v>708</v>
      </c>
      <c r="E724">
        <v>1714</v>
      </c>
      <c r="F724">
        <v>-58</v>
      </c>
      <c r="G724" s="13">
        <v>0.38600000000000001</v>
      </c>
      <c r="H724" s="1" t="s">
        <v>12371</v>
      </c>
      <c r="I724">
        <v>2</v>
      </c>
      <c r="J724">
        <v>199</v>
      </c>
      <c r="K724" t="str">
        <f t="shared" si="11"/>
        <v>Filtered out</v>
      </c>
    </row>
    <row r="725" spans="1:11" x14ac:dyDescent="0.2">
      <c r="A725" t="s">
        <v>13204</v>
      </c>
      <c r="B725" t="s">
        <v>13205</v>
      </c>
      <c r="C725" t="s">
        <v>12428</v>
      </c>
      <c r="D725">
        <v>1329</v>
      </c>
      <c r="E725">
        <v>1459</v>
      </c>
      <c r="F725">
        <v>-8</v>
      </c>
      <c r="G725" s="13">
        <v>0.755</v>
      </c>
      <c r="H725" s="1" t="s">
        <v>12371</v>
      </c>
      <c r="I725">
        <v>3</v>
      </c>
      <c r="J725">
        <v>300</v>
      </c>
      <c r="K725" t="str">
        <f t="shared" si="11"/>
        <v>Filtered out</v>
      </c>
    </row>
    <row r="726" spans="1:11" x14ac:dyDescent="0.2">
      <c r="A726" t="s">
        <v>13206</v>
      </c>
      <c r="B726" t="s">
        <v>12488</v>
      </c>
      <c r="C726" t="s">
        <v>13207</v>
      </c>
      <c r="D726">
        <v>2204</v>
      </c>
      <c r="E726">
        <v>2216</v>
      </c>
      <c r="F726">
        <v>0</v>
      </c>
      <c r="G726" s="13">
        <v>0.93700000000000006</v>
      </c>
      <c r="H726" s="1" t="s">
        <v>12371</v>
      </c>
      <c r="I726">
        <v>15</v>
      </c>
      <c r="J726">
        <v>135</v>
      </c>
      <c r="K726" t="str">
        <f t="shared" si="11"/>
        <v>Filtered out</v>
      </c>
    </row>
    <row r="727" spans="1:11" x14ac:dyDescent="0.2">
      <c r="A727" t="s">
        <v>13208</v>
      </c>
      <c r="B727" t="s">
        <v>12428</v>
      </c>
      <c r="C727" t="s">
        <v>12373</v>
      </c>
      <c r="D727">
        <v>1215</v>
      </c>
      <c r="E727">
        <v>1693</v>
      </c>
      <c r="F727">
        <v>-28</v>
      </c>
      <c r="G727" s="13">
        <v>0.75600000000000001</v>
      </c>
      <c r="H727" s="1" t="s">
        <v>12371</v>
      </c>
      <c r="I727">
        <v>5</v>
      </c>
      <c r="J727">
        <v>226</v>
      </c>
      <c r="K727" t="str">
        <f t="shared" si="11"/>
        <v>Filtered out</v>
      </c>
    </row>
    <row r="728" spans="1:11" x14ac:dyDescent="0.2">
      <c r="A728" t="s">
        <v>13209</v>
      </c>
      <c r="B728" t="s">
        <v>12373</v>
      </c>
      <c r="C728" t="s">
        <v>12373</v>
      </c>
      <c r="D728">
        <v>1577</v>
      </c>
      <c r="E728">
        <v>1579</v>
      </c>
      <c r="F728">
        <v>0</v>
      </c>
      <c r="G728" s="13">
        <v>0.67100000000000004</v>
      </c>
      <c r="H728" s="1" t="s">
        <v>12371</v>
      </c>
      <c r="I728">
        <v>7</v>
      </c>
      <c r="J728">
        <v>354</v>
      </c>
      <c r="K728" t="str">
        <f t="shared" si="11"/>
        <v>Filtered out</v>
      </c>
    </row>
    <row r="729" spans="1:11" x14ac:dyDescent="0.2">
      <c r="A729" t="s">
        <v>13210</v>
      </c>
      <c r="B729" t="s">
        <v>12373</v>
      </c>
      <c r="C729" t="s">
        <v>12373</v>
      </c>
      <c r="D729">
        <v>2120</v>
      </c>
      <c r="E729">
        <v>2119</v>
      </c>
      <c r="F729">
        <v>0</v>
      </c>
      <c r="G729" s="13">
        <v>0.68500000000000005</v>
      </c>
      <c r="H729" s="1" t="s">
        <v>12371</v>
      </c>
      <c r="I729">
        <v>28</v>
      </c>
      <c r="J729">
        <v>92</v>
      </c>
      <c r="K729" t="str">
        <f t="shared" si="11"/>
        <v>Filtered out</v>
      </c>
    </row>
    <row r="730" spans="1:11" x14ac:dyDescent="0.2">
      <c r="A730" t="s">
        <v>13211</v>
      </c>
      <c r="B730" t="s">
        <v>12431</v>
      </c>
      <c r="C730" t="s">
        <v>12373</v>
      </c>
      <c r="D730">
        <v>2355</v>
      </c>
      <c r="E730">
        <v>2377</v>
      </c>
      <c r="F730">
        <v>0</v>
      </c>
      <c r="G730" s="13">
        <v>0.97299999999999998</v>
      </c>
      <c r="H730" s="1" t="s">
        <v>12371</v>
      </c>
      <c r="I730">
        <v>19</v>
      </c>
      <c r="J730">
        <v>425</v>
      </c>
      <c r="K730" t="str">
        <f t="shared" si="11"/>
        <v>Filtered out</v>
      </c>
    </row>
    <row r="731" spans="1:11" x14ac:dyDescent="0.2">
      <c r="A731" t="s">
        <v>13212</v>
      </c>
      <c r="B731" t="s">
        <v>12373</v>
      </c>
      <c r="C731" t="s">
        <v>12373</v>
      </c>
      <c r="D731">
        <v>1443</v>
      </c>
      <c r="E731">
        <v>2746</v>
      </c>
      <c r="F731">
        <v>-47</v>
      </c>
      <c r="G731" s="13">
        <v>0.88500000000000001</v>
      </c>
      <c r="H731" s="1" t="s">
        <v>12371</v>
      </c>
      <c r="I731">
        <v>8</v>
      </c>
      <c r="J731">
        <v>302</v>
      </c>
      <c r="K731" t="str">
        <f t="shared" si="11"/>
        <v>Filtered out</v>
      </c>
    </row>
    <row r="732" spans="1:11" x14ac:dyDescent="0.2">
      <c r="A732" t="s">
        <v>13213</v>
      </c>
      <c r="B732" t="s">
        <v>12376</v>
      </c>
      <c r="C732" t="s">
        <v>12373</v>
      </c>
      <c r="D732">
        <v>2247</v>
      </c>
      <c r="E732">
        <v>3502</v>
      </c>
      <c r="F732">
        <v>-35</v>
      </c>
      <c r="G732" s="13">
        <v>0.97899999999999998</v>
      </c>
      <c r="H732" s="1" t="s">
        <v>12371</v>
      </c>
      <c r="I732">
        <v>16</v>
      </c>
      <c r="J732">
        <v>333</v>
      </c>
      <c r="K732" t="str">
        <f t="shared" si="11"/>
        <v>Filtered out</v>
      </c>
    </row>
    <row r="733" spans="1:11" x14ac:dyDescent="0.2">
      <c r="A733" t="s">
        <v>13214</v>
      </c>
      <c r="B733" t="s">
        <v>13215</v>
      </c>
      <c r="C733" t="s">
        <v>12375</v>
      </c>
      <c r="D733">
        <v>710</v>
      </c>
      <c r="E733">
        <v>1144</v>
      </c>
      <c r="F733">
        <v>-37</v>
      </c>
      <c r="G733" s="13">
        <v>0.59799999999999998</v>
      </c>
      <c r="H733" s="1" t="s">
        <v>12437</v>
      </c>
      <c r="I733">
        <v>0</v>
      </c>
      <c r="J733" t="s">
        <v>12438</v>
      </c>
      <c r="K733" t="str">
        <f t="shared" si="11"/>
        <v>Filtered out</v>
      </c>
    </row>
    <row r="734" spans="1:11" x14ac:dyDescent="0.2">
      <c r="A734" t="s">
        <v>13216</v>
      </c>
      <c r="B734" t="s">
        <v>12382</v>
      </c>
      <c r="C734" t="s">
        <v>12382</v>
      </c>
      <c r="D734">
        <v>2706</v>
      </c>
      <c r="E734">
        <v>2722</v>
      </c>
      <c r="F734">
        <v>0</v>
      </c>
      <c r="G734" s="13">
        <v>0.94</v>
      </c>
      <c r="H734" s="1" t="s">
        <v>12371</v>
      </c>
      <c r="I734">
        <v>1</v>
      </c>
      <c r="J734">
        <v>795</v>
      </c>
      <c r="K734" t="str">
        <f t="shared" si="11"/>
        <v>Retained</v>
      </c>
    </row>
    <row r="735" spans="1:11" x14ac:dyDescent="0.2">
      <c r="A735" t="s">
        <v>13217</v>
      </c>
      <c r="B735" t="s">
        <v>13218</v>
      </c>
      <c r="C735" t="s">
        <v>12373</v>
      </c>
      <c r="D735">
        <v>1889</v>
      </c>
      <c r="E735">
        <v>3607</v>
      </c>
      <c r="F735">
        <v>-47</v>
      </c>
      <c r="G735" s="13">
        <v>0.86599999999999999</v>
      </c>
      <c r="H735" s="1" t="s">
        <v>12371</v>
      </c>
      <c r="I735">
        <v>2</v>
      </c>
      <c r="J735">
        <v>367</v>
      </c>
      <c r="K735" t="str">
        <f t="shared" si="11"/>
        <v>Filtered out</v>
      </c>
    </row>
    <row r="736" spans="1:11" x14ac:dyDescent="0.2">
      <c r="A736" t="s">
        <v>13219</v>
      </c>
      <c r="B736" t="s">
        <v>12696</v>
      </c>
      <c r="C736" t="s">
        <v>12375</v>
      </c>
      <c r="D736">
        <v>1908</v>
      </c>
      <c r="E736">
        <v>1979</v>
      </c>
      <c r="F736">
        <v>-3</v>
      </c>
      <c r="G736" s="13">
        <v>0.32300000000000001</v>
      </c>
      <c r="H736" s="1" t="s">
        <v>12371</v>
      </c>
      <c r="I736">
        <v>9</v>
      </c>
      <c r="J736">
        <v>130</v>
      </c>
      <c r="K736" t="str">
        <f t="shared" si="11"/>
        <v>Filtered out</v>
      </c>
    </row>
    <row r="737" spans="1:11" x14ac:dyDescent="0.2">
      <c r="A737" t="s">
        <v>13220</v>
      </c>
      <c r="B737" t="s">
        <v>12373</v>
      </c>
      <c r="C737" t="s">
        <v>12373</v>
      </c>
      <c r="D737">
        <v>1263</v>
      </c>
      <c r="E737">
        <v>1263</v>
      </c>
      <c r="F737">
        <v>0</v>
      </c>
      <c r="G737" s="13">
        <v>0.97399999999999998</v>
      </c>
      <c r="H737" s="1" t="s">
        <v>12371</v>
      </c>
      <c r="I737">
        <v>15</v>
      </c>
      <c r="J737">
        <v>165</v>
      </c>
      <c r="K737" t="str">
        <f t="shared" si="11"/>
        <v>Retained</v>
      </c>
    </row>
    <row r="738" spans="1:11" x14ac:dyDescent="0.2">
      <c r="A738" t="s">
        <v>13221</v>
      </c>
      <c r="B738" t="s">
        <v>12718</v>
      </c>
      <c r="C738" t="s">
        <v>12416</v>
      </c>
      <c r="D738">
        <v>903</v>
      </c>
      <c r="E738">
        <v>4591</v>
      </c>
      <c r="F738">
        <v>-80</v>
      </c>
      <c r="G738" s="13">
        <v>0.78100000000000003</v>
      </c>
      <c r="H738" s="1" t="s">
        <v>12371</v>
      </c>
      <c r="I738">
        <v>5</v>
      </c>
      <c r="J738">
        <v>205</v>
      </c>
      <c r="K738" t="str">
        <f t="shared" si="11"/>
        <v>Filtered out</v>
      </c>
    </row>
    <row r="739" spans="1:11" x14ac:dyDescent="0.2">
      <c r="A739" t="s">
        <v>13222</v>
      </c>
      <c r="B739" t="s">
        <v>12373</v>
      </c>
      <c r="C739" t="s">
        <v>12373</v>
      </c>
      <c r="D739">
        <v>891</v>
      </c>
      <c r="E739">
        <v>889</v>
      </c>
      <c r="F739">
        <v>0</v>
      </c>
      <c r="G739" s="13">
        <v>0.95</v>
      </c>
      <c r="H739" s="1" t="s">
        <v>12371</v>
      </c>
      <c r="I739">
        <v>3</v>
      </c>
      <c r="J739">
        <v>37</v>
      </c>
      <c r="K739" t="str">
        <f t="shared" si="11"/>
        <v>Retained</v>
      </c>
    </row>
    <row r="740" spans="1:11" x14ac:dyDescent="0.2">
      <c r="A740" t="s">
        <v>13223</v>
      </c>
      <c r="B740" t="s">
        <v>12882</v>
      </c>
      <c r="C740" t="s">
        <v>12882</v>
      </c>
      <c r="D740">
        <v>579</v>
      </c>
      <c r="E740">
        <v>580</v>
      </c>
      <c r="F740">
        <v>0</v>
      </c>
      <c r="G740" s="13">
        <v>0.91200000000000003</v>
      </c>
      <c r="H740" s="1" t="s">
        <v>12371</v>
      </c>
      <c r="I740">
        <v>2</v>
      </c>
      <c r="J740">
        <v>173</v>
      </c>
      <c r="K740" t="str">
        <f t="shared" si="11"/>
        <v>Retained</v>
      </c>
    </row>
    <row r="741" spans="1:11" x14ac:dyDescent="0.2">
      <c r="A741" t="s">
        <v>13224</v>
      </c>
      <c r="B741" t="s">
        <v>12375</v>
      </c>
      <c r="C741" t="s">
        <v>12373</v>
      </c>
      <c r="D741">
        <v>504</v>
      </c>
      <c r="E741">
        <v>508</v>
      </c>
      <c r="F741">
        <v>0</v>
      </c>
      <c r="G741" s="13">
        <v>0.94299999999999995</v>
      </c>
      <c r="H741" s="1" t="s">
        <v>12371</v>
      </c>
      <c r="I741">
        <v>2</v>
      </c>
      <c r="J741">
        <v>144</v>
      </c>
      <c r="K741" t="str">
        <f t="shared" si="11"/>
        <v>Filtered out</v>
      </c>
    </row>
    <row r="742" spans="1:11" x14ac:dyDescent="0.2">
      <c r="A742" t="s">
        <v>13225</v>
      </c>
      <c r="B742" t="s">
        <v>12574</v>
      </c>
      <c r="C742" t="s">
        <v>12574</v>
      </c>
      <c r="D742">
        <v>242</v>
      </c>
      <c r="E742">
        <v>355</v>
      </c>
      <c r="F742">
        <v>-31</v>
      </c>
      <c r="G742" s="13">
        <v>0.65700000000000003</v>
      </c>
      <c r="H742" s="1" t="s">
        <v>12371</v>
      </c>
      <c r="I742">
        <v>1</v>
      </c>
      <c r="J742">
        <v>40</v>
      </c>
      <c r="K742" t="str">
        <f t="shared" si="11"/>
        <v>Filtered out</v>
      </c>
    </row>
    <row r="743" spans="1:11" x14ac:dyDescent="0.2">
      <c r="A743" t="s">
        <v>13226</v>
      </c>
      <c r="B743" t="s">
        <v>12373</v>
      </c>
      <c r="C743" t="s">
        <v>12373</v>
      </c>
      <c r="D743">
        <v>1247</v>
      </c>
      <c r="E743">
        <v>1264</v>
      </c>
      <c r="F743">
        <v>-1</v>
      </c>
      <c r="G743" s="13">
        <v>0.92600000000000005</v>
      </c>
      <c r="H743" s="1" t="s">
        <v>12371</v>
      </c>
      <c r="I743">
        <v>17</v>
      </c>
      <c r="J743">
        <v>37</v>
      </c>
      <c r="K743" t="str">
        <f t="shared" si="11"/>
        <v>Retained</v>
      </c>
    </row>
    <row r="744" spans="1:11" x14ac:dyDescent="0.2">
      <c r="A744" t="s">
        <v>13227</v>
      </c>
      <c r="B744" t="s">
        <v>12508</v>
      </c>
      <c r="C744" t="s">
        <v>12373</v>
      </c>
      <c r="D744">
        <v>1454</v>
      </c>
      <c r="E744">
        <v>1447</v>
      </c>
      <c r="F744">
        <v>0</v>
      </c>
      <c r="G744" s="13">
        <v>0.77600000000000002</v>
      </c>
      <c r="H744" s="1" t="s">
        <v>12371</v>
      </c>
      <c r="I744">
        <v>8</v>
      </c>
      <c r="J744">
        <v>146</v>
      </c>
      <c r="K744" t="str">
        <f t="shared" si="11"/>
        <v>Filtered out</v>
      </c>
    </row>
    <row r="745" spans="1:11" x14ac:dyDescent="0.2">
      <c r="A745" t="s">
        <v>13228</v>
      </c>
      <c r="B745" t="s">
        <v>13229</v>
      </c>
      <c r="C745" t="s">
        <v>13229</v>
      </c>
      <c r="D745">
        <v>3539</v>
      </c>
      <c r="E745">
        <v>3539</v>
      </c>
      <c r="F745">
        <v>0</v>
      </c>
      <c r="G745" s="13">
        <v>0.97399999999999998</v>
      </c>
      <c r="H745" s="1" t="s">
        <v>12371</v>
      </c>
      <c r="I745">
        <v>45</v>
      </c>
      <c r="J745">
        <v>15</v>
      </c>
      <c r="K745" t="str">
        <f t="shared" si="11"/>
        <v>Retained</v>
      </c>
    </row>
    <row r="746" spans="1:11" x14ac:dyDescent="0.2">
      <c r="A746" t="s">
        <v>13230</v>
      </c>
      <c r="B746" t="s">
        <v>12373</v>
      </c>
      <c r="C746" t="s">
        <v>12373</v>
      </c>
      <c r="D746">
        <v>1638</v>
      </c>
      <c r="E746">
        <v>1633</v>
      </c>
      <c r="F746">
        <v>0</v>
      </c>
      <c r="G746" s="13">
        <v>0.98499999999999999</v>
      </c>
      <c r="H746" s="1" t="s">
        <v>12371</v>
      </c>
      <c r="I746">
        <v>15</v>
      </c>
      <c r="J746">
        <v>112</v>
      </c>
      <c r="K746" t="str">
        <f t="shared" si="11"/>
        <v>Retained</v>
      </c>
    </row>
    <row r="747" spans="1:11" x14ac:dyDescent="0.2">
      <c r="A747" t="s">
        <v>13231</v>
      </c>
      <c r="B747" t="s">
        <v>12575</v>
      </c>
      <c r="C747" t="s">
        <v>12373</v>
      </c>
      <c r="D747">
        <v>1713</v>
      </c>
      <c r="E747">
        <v>2002</v>
      </c>
      <c r="F747">
        <v>-14</v>
      </c>
      <c r="G747" s="13">
        <v>0.81100000000000005</v>
      </c>
      <c r="H747" s="1" t="s">
        <v>12371</v>
      </c>
      <c r="I747">
        <v>17</v>
      </c>
      <c r="J747">
        <v>166</v>
      </c>
      <c r="K747" t="str">
        <f t="shared" si="11"/>
        <v>Filtered out</v>
      </c>
    </row>
    <row r="748" spans="1:11" x14ac:dyDescent="0.2">
      <c r="A748" t="s">
        <v>13232</v>
      </c>
      <c r="B748" t="s">
        <v>12574</v>
      </c>
      <c r="C748" t="s">
        <v>12373</v>
      </c>
      <c r="D748">
        <v>950</v>
      </c>
      <c r="E748">
        <v>2266</v>
      </c>
      <c r="F748">
        <v>-58</v>
      </c>
      <c r="G748" s="13">
        <v>0.76100000000000001</v>
      </c>
      <c r="H748" s="1" t="s">
        <v>12371</v>
      </c>
      <c r="I748">
        <v>2</v>
      </c>
      <c r="J748">
        <v>91</v>
      </c>
      <c r="K748" t="str">
        <f t="shared" si="11"/>
        <v>Filtered out</v>
      </c>
    </row>
    <row r="749" spans="1:11" x14ac:dyDescent="0.2">
      <c r="A749" t="s">
        <v>13233</v>
      </c>
      <c r="B749" t="s">
        <v>12373</v>
      </c>
      <c r="C749" t="s">
        <v>12373</v>
      </c>
      <c r="D749">
        <v>4257</v>
      </c>
      <c r="E749">
        <v>4270</v>
      </c>
      <c r="F749">
        <v>0</v>
      </c>
      <c r="G749" s="13">
        <v>0.98299999999999998</v>
      </c>
      <c r="H749" s="1" t="s">
        <v>12371</v>
      </c>
      <c r="I749">
        <v>32</v>
      </c>
      <c r="J749">
        <v>958</v>
      </c>
      <c r="K749" t="str">
        <f t="shared" si="11"/>
        <v>Retained</v>
      </c>
    </row>
  </sheetData>
  <autoFilter ref="K6:K749" xr:uid="{543D17D4-8925-A046-A114-37F6AA945AC3}"/>
  <mergeCells count="1">
    <mergeCell ref="A3:O3"/>
  </mergeCells>
  <conditionalFormatting sqref="K1:K2 K4:K1048576">
    <cfRule type="containsText" dxfId="4" priority="1" operator="containsText" text="Keep">
      <formula>NOT(ISERROR(SEARCH("Keep",K1)))</formula>
    </cfRule>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EA71-840A-3E44-AC64-65787DFDA03C}">
  <dimension ref="A1:P1201"/>
  <sheetViews>
    <sheetView workbookViewId="0"/>
  </sheetViews>
  <sheetFormatPr baseColWidth="10" defaultRowHeight="16" x14ac:dyDescent="0.2"/>
  <cols>
    <col min="1" max="1" width="18.6640625" customWidth="1"/>
    <col min="2" max="2" width="14.33203125" bestFit="1" customWidth="1"/>
    <col min="3" max="3" width="10.1640625" bestFit="1" customWidth="1"/>
    <col min="4" max="4" width="16" bestFit="1" customWidth="1"/>
    <col min="5" max="5" width="11.83203125" bestFit="1" customWidth="1"/>
    <col min="6" max="6" width="13" bestFit="1" customWidth="1"/>
    <col min="7" max="7" width="9" bestFit="1" customWidth="1"/>
    <col min="8" max="8" width="15.6640625" bestFit="1" customWidth="1"/>
    <col min="9" max="9" width="14.83203125" customWidth="1"/>
    <col min="10" max="10" width="17.83203125" bestFit="1" customWidth="1"/>
  </cols>
  <sheetData>
    <row r="1" spans="1:16" ht="21" x14ac:dyDescent="0.25">
      <c r="A1" s="25" t="s">
        <v>15154</v>
      </c>
    </row>
    <row r="2" spans="1:16" x14ac:dyDescent="0.2">
      <c r="A2" s="9" t="s">
        <v>15110</v>
      </c>
    </row>
    <row r="3" spans="1:16" ht="58" customHeight="1" x14ac:dyDescent="0.2">
      <c r="A3" s="33" t="s">
        <v>15111</v>
      </c>
      <c r="B3" s="33"/>
      <c r="C3" s="33"/>
      <c r="D3" s="33"/>
      <c r="E3" s="33"/>
      <c r="F3" s="33"/>
      <c r="G3" s="33"/>
      <c r="H3" s="33"/>
      <c r="I3" s="33"/>
      <c r="J3" s="33"/>
      <c r="K3" s="33"/>
      <c r="L3" s="33"/>
      <c r="M3" s="33"/>
      <c r="N3" s="33"/>
      <c r="O3" s="33"/>
      <c r="P3" s="33"/>
    </row>
    <row r="6" spans="1:16" x14ac:dyDescent="0.2">
      <c r="A6" s="9" t="s">
        <v>13234</v>
      </c>
      <c r="B6" s="9" t="s">
        <v>13235</v>
      </c>
      <c r="C6" s="9" t="s">
        <v>13236</v>
      </c>
      <c r="D6" s="9" t="s">
        <v>13237</v>
      </c>
      <c r="E6" s="9" t="s">
        <v>13238</v>
      </c>
      <c r="F6" s="9" t="s">
        <v>13239</v>
      </c>
      <c r="G6" s="9" t="s">
        <v>12367</v>
      </c>
      <c r="H6" s="9" t="s">
        <v>13240</v>
      </c>
      <c r="I6" s="9" t="s">
        <v>13241</v>
      </c>
      <c r="J6" s="9" t="s">
        <v>13242</v>
      </c>
      <c r="K6" s="9" t="s">
        <v>12368</v>
      </c>
    </row>
    <row r="7" spans="1:16" x14ac:dyDescent="0.2">
      <c r="A7" t="s">
        <v>13244</v>
      </c>
      <c r="B7" t="s">
        <v>13245</v>
      </c>
      <c r="C7" t="s">
        <v>13246</v>
      </c>
      <c r="D7">
        <v>175</v>
      </c>
      <c r="E7">
        <v>655</v>
      </c>
      <c r="F7">
        <v>-73</v>
      </c>
      <c r="G7" s="13">
        <v>0.29399999999999998</v>
      </c>
      <c r="H7" t="s">
        <v>70</v>
      </c>
      <c r="I7">
        <v>0</v>
      </c>
      <c r="J7" t="s">
        <v>190</v>
      </c>
      <c r="K7" t="str">
        <f>IF(AND(B7=C7,F7&lt;10,F7&gt;-10,I7&gt;0,G7&gt;90%,G7&lt;100%),"Retained","Filtered out")</f>
        <v>Filtered out</v>
      </c>
    </row>
    <row r="8" spans="1:16" x14ac:dyDescent="0.2">
      <c r="A8" t="s">
        <v>13247</v>
      </c>
      <c r="B8" t="s">
        <v>13248</v>
      </c>
      <c r="C8" t="s">
        <v>13246</v>
      </c>
      <c r="D8">
        <v>115</v>
      </c>
      <c r="E8">
        <v>367</v>
      </c>
      <c r="F8">
        <v>-68</v>
      </c>
      <c r="G8" s="13">
        <v>0.97399999999999998</v>
      </c>
      <c r="H8" t="s">
        <v>70</v>
      </c>
      <c r="I8">
        <v>0</v>
      </c>
      <c r="J8" t="s">
        <v>190</v>
      </c>
      <c r="K8" t="str">
        <f t="shared" ref="K8:K71" si="0">IF(AND(B8=C8,F8&lt;10,F8&gt;-10,I8&gt;0,G8&gt;90%,G8&lt;100%),"Retained","Filtered out")</f>
        <v>Filtered out</v>
      </c>
    </row>
    <row r="9" spans="1:16" x14ac:dyDescent="0.2">
      <c r="A9" t="s">
        <v>13249</v>
      </c>
      <c r="B9" t="s">
        <v>13246</v>
      </c>
      <c r="C9" t="s">
        <v>13246</v>
      </c>
      <c r="D9">
        <v>2512</v>
      </c>
      <c r="E9">
        <v>2512</v>
      </c>
      <c r="F9">
        <v>0</v>
      </c>
      <c r="G9" s="13">
        <v>1</v>
      </c>
      <c r="H9" t="s">
        <v>25</v>
      </c>
      <c r="I9">
        <v>1</v>
      </c>
      <c r="J9">
        <v>119</v>
      </c>
      <c r="K9" t="str">
        <f t="shared" si="0"/>
        <v>Filtered out</v>
      </c>
    </row>
    <row r="10" spans="1:16" x14ac:dyDescent="0.2">
      <c r="A10" t="s">
        <v>13250</v>
      </c>
      <c r="B10" t="s">
        <v>13246</v>
      </c>
      <c r="C10" t="s">
        <v>13246</v>
      </c>
      <c r="D10">
        <v>4453</v>
      </c>
      <c r="E10">
        <v>4453</v>
      </c>
      <c r="F10">
        <v>0</v>
      </c>
      <c r="G10" s="13">
        <v>0.98199999999999998</v>
      </c>
      <c r="H10" t="s">
        <v>25</v>
      </c>
      <c r="I10">
        <v>1</v>
      </c>
      <c r="J10">
        <v>1316</v>
      </c>
      <c r="K10" t="str">
        <f t="shared" si="0"/>
        <v>Retained</v>
      </c>
    </row>
    <row r="11" spans="1:16" x14ac:dyDescent="0.2">
      <c r="A11" t="s">
        <v>13251</v>
      </c>
      <c r="B11" t="s">
        <v>13252</v>
      </c>
      <c r="C11" t="s">
        <v>13252</v>
      </c>
      <c r="D11">
        <v>1216</v>
      </c>
      <c r="E11">
        <v>1717</v>
      </c>
      <c r="F11">
        <v>-29</v>
      </c>
      <c r="G11" s="13">
        <v>0.96499999999999997</v>
      </c>
      <c r="H11" t="s">
        <v>25</v>
      </c>
      <c r="I11">
        <v>1</v>
      </c>
      <c r="J11">
        <v>373</v>
      </c>
      <c r="K11" t="str">
        <f t="shared" si="0"/>
        <v>Filtered out</v>
      </c>
    </row>
    <row r="12" spans="1:16" x14ac:dyDescent="0.2">
      <c r="A12" t="s">
        <v>13253</v>
      </c>
      <c r="B12" t="s">
        <v>13254</v>
      </c>
      <c r="C12" t="s">
        <v>13255</v>
      </c>
      <c r="D12">
        <v>523</v>
      </c>
      <c r="E12">
        <v>1066</v>
      </c>
      <c r="F12">
        <v>-50</v>
      </c>
      <c r="G12" s="13">
        <v>0.97699999999999998</v>
      </c>
      <c r="H12" t="s">
        <v>25</v>
      </c>
      <c r="I12">
        <v>1</v>
      </c>
      <c r="J12">
        <v>156</v>
      </c>
      <c r="K12" t="str">
        <f t="shared" si="0"/>
        <v>Filtered out</v>
      </c>
    </row>
    <row r="13" spans="1:16" x14ac:dyDescent="0.2">
      <c r="A13" t="s">
        <v>13256</v>
      </c>
      <c r="B13" t="s">
        <v>13252</v>
      </c>
      <c r="C13" t="s">
        <v>13257</v>
      </c>
      <c r="D13">
        <v>1696</v>
      </c>
      <c r="E13">
        <v>1804</v>
      </c>
      <c r="F13">
        <v>-5</v>
      </c>
      <c r="G13" s="13">
        <v>0.92800000000000005</v>
      </c>
      <c r="H13" t="s">
        <v>25</v>
      </c>
      <c r="I13">
        <v>2</v>
      </c>
      <c r="J13">
        <v>429</v>
      </c>
      <c r="K13" t="str">
        <f t="shared" si="0"/>
        <v>Filtered out</v>
      </c>
    </row>
    <row r="14" spans="1:16" x14ac:dyDescent="0.2">
      <c r="A14" t="s">
        <v>13258</v>
      </c>
      <c r="B14" t="s">
        <v>13246</v>
      </c>
      <c r="C14" t="s">
        <v>13246</v>
      </c>
      <c r="D14">
        <v>2476</v>
      </c>
      <c r="E14">
        <v>2476</v>
      </c>
      <c r="F14">
        <v>0</v>
      </c>
      <c r="G14" s="13">
        <v>0.96499999999999997</v>
      </c>
      <c r="H14" t="s">
        <v>25</v>
      </c>
      <c r="I14">
        <v>1</v>
      </c>
      <c r="J14">
        <v>758</v>
      </c>
      <c r="K14" t="str">
        <f t="shared" si="0"/>
        <v>Retained</v>
      </c>
    </row>
    <row r="15" spans="1:16" x14ac:dyDescent="0.2">
      <c r="A15" t="s">
        <v>13259</v>
      </c>
      <c r="B15" t="s">
        <v>13246</v>
      </c>
      <c r="C15" t="s">
        <v>13246</v>
      </c>
      <c r="D15">
        <v>196</v>
      </c>
      <c r="E15">
        <v>508</v>
      </c>
      <c r="F15">
        <v>-61</v>
      </c>
      <c r="G15" s="13">
        <v>0.96899999999999997</v>
      </c>
      <c r="H15" t="s">
        <v>70</v>
      </c>
      <c r="I15">
        <v>0</v>
      </c>
      <c r="J15" t="s">
        <v>190</v>
      </c>
      <c r="K15" t="str">
        <f t="shared" si="0"/>
        <v>Filtered out</v>
      </c>
    </row>
    <row r="16" spans="1:16" x14ac:dyDescent="0.2">
      <c r="A16" t="s">
        <v>13260</v>
      </c>
      <c r="B16" t="s">
        <v>13246</v>
      </c>
      <c r="C16" t="s">
        <v>13246</v>
      </c>
      <c r="D16">
        <v>67</v>
      </c>
      <c r="E16">
        <v>298</v>
      </c>
      <c r="F16">
        <v>-77</v>
      </c>
      <c r="G16" s="13">
        <v>0.95499999999999996</v>
      </c>
      <c r="H16" t="s">
        <v>70</v>
      </c>
      <c r="I16">
        <v>0</v>
      </c>
      <c r="J16" t="s">
        <v>190</v>
      </c>
      <c r="K16" t="str">
        <f t="shared" si="0"/>
        <v>Filtered out</v>
      </c>
    </row>
    <row r="17" spans="1:11" x14ac:dyDescent="0.2">
      <c r="A17" t="s">
        <v>13261</v>
      </c>
      <c r="B17" t="s">
        <v>13262</v>
      </c>
      <c r="C17" t="s">
        <v>13263</v>
      </c>
      <c r="D17">
        <v>481</v>
      </c>
      <c r="E17">
        <v>1543</v>
      </c>
      <c r="F17">
        <v>-68</v>
      </c>
      <c r="G17" s="13">
        <v>0.99299999999999999</v>
      </c>
      <c r="H17" t="s">
        <v>70</v>
      </c>
      <c r="I17">
        <v>0</v>
      </c>
      <c r="J17" t="s">
        <v>190</v>
      </c>
      <c r="K17" t="str">
        <f t="shared" si="0"/>
        <v>Filtered out</v>
      </c>
    </row>
    <row r="18" spans="1:11" x14ac:dyDescent="0.2">
      <c r="A18" t="s">
        <v>13264</v>
      </c>
      <c r="B18" t="s">
        <v>13265</v>
      </c>
      <c r="C18" t="s">
        <v>13266</v>
      </c>
      <c r="D18">
        <v>1156</v>
      </c>
      <c r="E18">
        <v>1267</v>
      </c>
      <c r="F18">
        <v>-8</v>
      </c>
      <c r="G18" s="13">
        <v>0.52100000000000002</v>
      </c>
      <c r="H18" t="s">
        <v>25</v>
      </c>
      <c r="I18">
        <v>3</v>
      </c>
      <c r="J18">
        <v>123</v>
      </c>
      <c r="K18" t="str">
        <f t="shared" si="0"/>
        <v>Filtered out</v>
      </c>
    </row>
    <row r="19" spans="1:11" x14ac:dyDescent="0.2">
      <c r="A19" t="s">
        <v>13267</v>
      </c>
      <c r="B19" t="s">
        <v>13268</v>
      </c>
      <c r="C19" t="s">
        <v>13246</v>
      </c>
      <c r="D19">
        <v>136</v>
      </c>
      <c r="E19">
        <v>1933</v>
      </c>
      <c r="F19">
        <v>-92</v>
      </c>
      <c r="G19" s="13">
        <v>1</v>
      </c>
      <c r="H19" t="s">
        <v>70</v>
      </c>
      <c r="I19">
        <v>0</v>
      </c>
      <c r="J19" t="s">
        <v>190</v>
      </c>
      <c r="K19" t="str">
        <f t="shared" si="0"/>
        <v>Filtered out</v>
      </c>
    </row>
    <row r="20" spans="1:11" x14ac:dyDescent="0.2">
      <c r="A20" t="s">
        <v>13269</v>
      </c>
      <c r="B20" t="s">
        <v>13270</v>
      </c>
      <c r="C20" t="s">
        <v>13246</v>
      </c>
      <c r="D20">
        <v>7621</v>
      </c>
      <c r="E20">
        <v>9106</v>
      </c>
      <c r="F20">
        <v>-16</v>
      </c>
      <c r="G20" s="13">
        <v>0.995</v>
      </c>
      <c r="H20" t="s">
        <v>25</v>
      </c>
      <c r="I20">
        <v>1</v>
      </c>
      <c r="J20">
        <v>1779</v>
      </c>
      <c r="K20" t="str">
        <f t="shared" si="0"/>
        <v>Filtered out</v>
      </c>
    </row>
    <row r="21" spans="1:11" x14ac:dyDescent="0.2">
      <c r="A21" t="s">
        <v>13271</v>
      </c>
      <c r="B21" t="s">
        <v>13246</v>
      </c>
      <c r="C21" t="s">
        <v>13246</v>
      </c>
      <c r="D21">
        <v>4231</v>
      </c>
      <c r="E21">
        <v>4225</v>
      </c>
      <c r="F21">
        <v>0</v>
      </c>
      <c r="G21" s="13">
        <v>0.97799999999999998</v>
      </c>
      <c r="H21" t="s">
        <v>25</v>
      </c>
      <c r="I21">
        <v>2</v>
      </c>
      <c r="J21">
        <v>1328</v>
      </c>
      <c r="K21" t="str">
        <f t="shared" si="0"/>
        <v>Retained</v>
      </c>
    </row>
    <row r="22" spans="1:11" x14ac:dyDescent="0.2">
      <c r="A22" t="s">
        <v>13272</v>
      </c>
      <c r="B22" t="s">
        <v>13246</v>
      </c>
      <c r="C22" t="s">
        <v>13246</v>
      </c>
      <c r="D22">
        <v>1105</v>
      </c>
      <c r="E22">
        <v>1102</v>
      </c>
      <c r="F22">
        <v>0</v>
      </c>
      <c r="G22" s="13">
        <v>0.95699999999999996</v>
      </c>
      <c r="H22" t="s">
        <v>25</v>
      </c>
      <c r="I22">
        <v>1</v>
      </c>
      <c r="J22">
        <v>47</v>
      </c>
      <c r="K22" t="str">
        <f t="shared" si="0"/>
        <v>Retained</v>
      </c>
    </row>
    <row r="23" spans="1:11" x14ac:dyDescent="0.2">
      <c r="A23" t="s">
        <v>13273</v>
      </c>
      <c r="B23" t="s">
        <v>13254</v>
      </c>
      <c r="C23" t="s">
        <v>13246</v>
      </c>
      <c r="D23">
        <v>2800</v>
      </c>
      <c r="E23">
        <v>3289</v>
      </c>
      <c r="F23">
        <v>-14</v>
      </c>
      <c r="G23" s="13">
        <v>0.98099999999999998</v>
      </c>
      <c r="H23" t="s">
        <v>25</v>
      </c>
      <c r="I23">
        <v>1</v>
      </c>
      <c r="J23">
        <v>803</v>
      </c>
      <c r="K23" t="str">
        <f t="shared" si="0"/>
        <v>Filtered out</v>
      </c>
    </row>
    <row r="24" spans="1:11" x14ac:dyDescent="0.2">
      <c r="A24" t="s">
        <v>13274</v>
      </c>
      <c r="B24" t="s">
        <v>13246</v>
      </c>
      <c r="C24" t="s">
        <v>13266</v>
      </c>
      <c r="D24">
        <v>616</v>
      </c>
      <c r="E24">
        <v>352</v>
      </c>
      <c r="F24">
        <v>75</v>
      </c>
      <c r="G24" s="13">
        <v>1</v>
      </c>
      <c r="H24" t="s">
        <v>25</v>
      </c>
      <c r="I24">
        <v>3</v>
      </c>
      <c r="J24">
        <v>41</v>
      </c>
      <c r="K24" t="str">
        <f t="shared" si="0"/>
        <v>Filtered out</v>
      </c>
    </row>
    <row r="25" spans="1:11" x14ac:dyDescent="0.2">
      <c r="A25" t="s">
        <v>13275</v>
      </c>
      <c r="B25" t="s">
        <v>13254</v>
      </c>
      <c r="C25" t="s">
        <v>13246</v>
      </c>
      <c r="D25">
        <v>265</v>
      </c>
      <c r="E25">
        <v>298</v>
      </c>
      <c r="F25">
        <v>-11</v>
      </c>
      <c r="G25" s="13">
        <v>0.86199999999999999</v>
      </c>
      <c r="H25" t="s">
        <v>25</v>
      </c>
      <c r="I25">
        <v>1</v>
      </c>
      <c r="J25">
        <v>24</v>
      </c>
      <c r="K25" t="str">
        <f t="shared" si="0"/>
        <v>Filtered out</v>
      </c>
    </row>
    <row r="26" spans="1:11" x14ac:dyDescent="0.2">
      <c r="A26" t="s">
        <v>13276</v>
      </c>
      <c r="B26" t="s">
        <v>13255</v>
      </c>
      <c r="C26" t="s">
        <v>13246</v>
      </c>
      <c r="D26">
        <v>4246</v>
      </c>
      <c r="E26">
        <v>8401</v>
      </c>
      <c r="F26">
        <v>-49</v>
      </c>
      <c r="G26" s="13">
        <v>0.83699999999999997</v>
      </c>
      <c r="H26" t="s">
        <v>25</v>
      </c>
      <c r="I26">
        <v>2</v>
      </c>
      <c r="J26">
        <v>8</v>
      </c>
      <c r="K26" t="str">
        <f t="shared" si="0"/>
        <v>Filtered out</v>
      </c>
    </row>
    <row r="27" spans="1:11" x14ac:dyDescent="0.2">
      <c r="A27" t="s">
        <v>13277</v>
      </c>
      <c r="B27" t="s">
        <v>13278</v>
      </c>
      <c r="C27" t="s">
        <v>13263</v>
      </c>
      <c r="D27">
        <v>823</v>
      </c>
      <c r="E27">
        <v>559</v>
      </c>
      <c r="F27">
        <v>47</v>
      </c>
      <c r="G27" s="13">
        <v>0.97799999999999998</v>
      </c>
      <c r="H27" t="s">
        <v>25</v>
      </c>
      <c r="I27">
        <v>1</v>
      </c>
      <c r="J27">
        <v>19</v>
      </c>
      <c r="K27" t="str">
        <f t="shared" si="0"/>
        <v>Filtered out</v>
      </c>
    </row>
    <row r="28" spans="1:11" x14ac:dyDescent="0.2">
      <c r="A28" t="s">
        <v>13279</v>
      </c>
      <c r="B28" t="s">
        <v>13280</v>
      </c>
      <c r="C28" t="s">
        <v>13246</v>
      </c>
      <c r="D28">
        <v>9640</v>
      </c>
      <c r="E28">
        <v>9712</v>
      </c>
      <c r="F28">
        <v>0</v>
      </c>
      <c r="G28" s="13">
        <v>0.998</v>
      </c>
      <c r="H28" t="s">
        <v>25</v>
      </c>
      <c r="I28">
        <v>1</v>
      </c>
      <c r="J28">
        <v>4</v>
      </c>
      <c r="K28" t="str">
        <f t="shared" si="0"/>
        <v>Filtered out</v>
      </c>
    </row>
    <row r="29" spans="1:11" x14ac:dyDescent="0.2">
      <c r="A29" t="s">
        <v>13281</v>
      </c>
      <c r="B29" t="s">
        <v>13282</v>
      </c>
      <c r="C29" t="s">
        <v>13283</v>
      </c>
      <c r="D29">
        <v>2923</v>
      </c>
      <c r="E29">
        <v>1387</v>
      </c>
      <c r="F29">
        <v>110</v>
      </c>
      <c r="G29" s="13">
        <v>0.96099999999999997</v>
      </c>
      <c r="H29" t="s">
        <v>25</v>
      </c>
      <c r="I29">
        <v>1</v>
      </c>
      <c r="J29">
        <v>2</v>
      </c>
      <c r="K29" t="str">
        <f t="shared" si="0"/>
        <v>Filtered out</v>
      </c>
    </row>
    <row r="30" spans="1:11" x14ac:dyDescent="0.2">
      <c r="A30" t="s">
        <v>13284</v>
      </c>
      <c r="B30" t="s">
        <v>13246</v>
      </c>
      <c r="C30" t="s">
        <v>13246</v>
      </c>
      <c r="D30">
        <v>181</v>
      </c>
      <c r="E30">
        <v>202</v>
      </c>
      <c r="F30">
        <v>-10</v>
      </c>
      <c r="G30" s="13">
        <v>0.98299999999999998</v>
      </c>
      <c r="H30" t="s">
        <v>70</v>
      </c>
      <c r="I30">
        <v>0</v>
      </c>
      <c r="J30" t="s">
        <v>190</v>
      </c>
      <c r="K30" t="str">
        <f t="shared" si="0"/>
        <v>Filtered out</v>
      </c>
    </row>
    <row r="31" spans="1:11" x14ac:dyDescent="0.2">
      <c r="A31" t="s">
        <v>13285</v>
      </c>
      <c r="B31" t="s">
        <v>13246</v>
      </c>
      <c r="C31" t="s">
        <v>13246</v>
      </c>
      <c r="D31">
        <v>2473</v>
      </c>
      <c r="E31">
        <v>2455</v>
      </c>
      <c r="F31">
        <v>0</v>
      </c>
      <c r="G31" s="13">
        <v>0.98899999999999999</v>
      </c>
      <c r="H31" t="s">
        <v>25</v>
      </c>
      <c r="I31">
        <v>1</v>
      </c>
      <c r="J31">
        <v>821</v>
      </c>
      <c r="K31" t="str">
        <f t="shared" si="0"/>
        <v>Retained</v>
      </c>
    </row>
    <row r="32" spans="1:11" x14ac:dyDescent="0.2">
      <c r="A32" t="s">
        <v>13286</v>
      </c>
      <c r="B32" t="s">
        <v>13287</v>
      </c>
      <c r="C32" t="s">
        <v>13246</v>
      </c>
      <c r="D32">
        <v>376</v>
      </c>
      <c r="E32">
        <v>433</v>
      </c>
      <c r="F32">
        <v>-13</v>
      </c>
      <c r="G32" s="13">
        <v>0.93</v>
      </c>
      <c r="H32" t="s">
        <v>25</v>
      </c>
      <c r="I32">
        <v>1</v>
      </c>
      <c r="J32">
        <v>8</v>
      </c>
      <c r="K32" t="str">
        <f t="shared" si="0"/>
        <v>Filtered out</v>
      </c>
    </row>
    <row r="33" spans="1:11" x14ac:dyDescent="0.2">
      <c r="A33" t="s">
        <v>13288</v>
      </c>
      <c r="B33" t="s">
        <v>13289</v>
      </c>
      <c r="C33" t="s">
        <v>13289</v>
      </c>
      <c r="D33">
        <v>1537</v>
      </c>
      <c r="E33">
        <v>1537</v>
      </c>
      <c r="F33">
        <v>0</v>
      </c>
      <c r="G33" s="13">
        <v>0.98799999999999999</v>
      </c>
      <c r="H33" t="s">
        <v>25</v>
      </c>
      <c r="I33">
        <v>1</v>
      </c>
      <c r="J33">
        <v>6</v>
      </c>
      <c r="K33" t="str">
        <f t="shared" si="0"/>
        <v>Retained</v>
      </c>
    </row>
    <row r="34" spans="1:11" x14ac:dyDescent="0.2">
      <c r="A34" t="s">
        <v>8</v>
      </c>
      <c r="B34" t="s">
        <v>13246</v>
      </c>
      <c r="C34" t="s">
        <v>13246</v>
      </c>
      <c r="D34">
        <v>2398</v>
      </c>
      <c r="E34">
        <v>2380</v>
      </c>
      <c r="F34">
        <v>0</v>
      </c>
      <c r="G34" s="13">
        <v>0.97499999999999998</v>
      </c>
      <c r="H34" t="s">
        <v>25</v>
      </c>
      <c r="I34">
        <v>2</v>
      </c>
      <c r="J34">
        <v>194</v>
      </c>
      <c r="K34" t="str">
        <f t="shared" si="0"/>
        <v>Retained</v>
      </c>
    </row>
    <row r="35" spans="1:11" x14ac:dyDescent="0.2">
      <c r="A35" t="s">
        <v>13291</v>
      </c>
      <c r="B35" t="s">
        <v>13246</v>
      </c>
      <c r="C35" t="s">
        <v>13246</v>
      </c>
      <c r="D35">
        <v>223</v>
      </c>
      <c r="E35">
        <v>199</v>
      </c>
      <c r="F35">
        <v>12</v>
      </c>
      <c r="G35" s="13">
        <v>0.95499999999999996</v>
      </c>
      <c r="H35" t="s">
        <v>70</v>
      </c>
      <c r="I35">
        <v>0</v>
      </c>
      <c r="J35" t="s">
        <v>190</v>
      </c>
      <c r="K35" t="str">
        <f t="shared" si="0"/>
        <v>Filtered out</v>
      </c>
    </row>
    <row r="36" spans="1:11" x14ac:dyDescent="0.2">
      <c r="A36" t="s">
        <v>13292</v>
      </c>
      <c r="B36" t="s">
        <v>13293</v>
      </c>
      <c r="C36" t="s">
        <v>13293</v>
      </c>
      <c r="D36">
        <v>307</v>
      </c>
      <c r="E36">
        <v>151</v>
      </c>
      <c r="F36">
        <v>103</v>
      </c>
      <c r="G36" s="13">
        <v>0.98</v>
      </c>
      <c r="H36" t="s">
        <v>25</v>
      </c>
      <c r="I36">
        <v>2</v>
      </c>
      <c r="J36">
        <v>7</v>
      </c>
      <c r="K36" t="str">
        <f t="shared" si="0"/>
        <v>Filtered out</v>
      </c>
    </row>
    <row r="37" spans="1:11" x14ac:dyDescent="0.2">
      <c r="A37" t="s">
        <v>13294</v>
      </c>
      <c r="B37" t="s">
        <v>13295</v>
      </c>
      <c r="C37" t="s">
        <v>13295</v>
      </c>
      <c r="D37">
        <v>301</v>
      </c>
      <c r="E37">
        <v>1399</v>
      </c>
      <c r="F37">
        <v>-78</v>
      </c>
      <c r="G37" s="13">
        <v>0.97</v>
      </c>
      <c r="H37" t="s">
        <v>70</v>
      </c>
      <c r="I37">
        <v>0</v>
      </c>
      <c r="J37" t="s">
        <v>190</v>
      </c>
      <c r="K37" t="str">
        <f t="shared" si="0"/>
        <v>Filtered out</v>
      </c>
    </row>
    <row r="38" spans="1:11" x14ac:dyDescent="0.2">
      <c r="A38" t="s">
        <v>13296</v>
      </c>
      <c r="B38" t="s">
        <v>13246</v>
      </c>
      <c r="C38" t="s">
        <v>13246</v>
      </c>
      <c r="D38">
        <v>1516</v>
      </c>
      <c r="E38">
        <v>1516</v>
      </c>
      <c r="F38">
        <v>0</v>
      </c>
      <c r="G38" s="13">
        <v>0.98399999999999999</v>
      </c>
      <c r="H38" t="s">
        <v>25</v>
      </c>
      <c r="I38">
        <v>1</v>
      </c>
      <c r="J38">
        <v>330</v>
      </c>
      <c r="K38" t="str">
        <f t="shared" si="0"/>
        <v>Retained</v>
      </c>
    </row>
    <row r="39" spans="1:11" x14ac:dyDescent="0.2">
      <c r="A39" t="s">
        <v>2</v>
      </c>
      <c r="B39" t="s">
        <v>13297</v>
      </c>
      <c r="C39" t="s">
        <v>13297</v>
      </c>
      <c r="D39">
        <v>2569</v>
      </c>
      <c r="E39">
        <v>2569</v>
      </c>
      <c r="F39">
        <v>0</v>
      </c>
      <c r="G39" s="13">
        <v>0.98599999999999999</v>
      </c>
      <c r="H39" t="s">
        <v>25</v>
      </c>
      <c r="I39">
        <v>1</v>
      </c>
      <c r="J39">
        <v>585</v>
      </c>
      <c r="K39" t="str">
        <f t="shared" si="0"/>
        <v>Retained</v>
      </c>
    </row>
    <row r="40" spans="1:11" x14ac:dyDescent="0.2">
      <c r="A40" t="s">
        <v>13299</v>
      </c>
      <c r="B40" t="s">
        <v>13246</v>
      </c>
      <c r="C40" t="s">
        <v>13246</v>
      </c>
      <c r="D40">
        <v>3157</v>
      </c>
      <c r="E40">
        <v>3748</v>
      </c>
      <c r="F40">
        <v>-15</v>
      </c>
      <c r="G40" s="13">
        <v>0.98799999999999999</v>
      </c>
      <c r="H40" t="s">
        <v>25</v>
      </c>
      <c r="I40">
        <v>1</v>
      </c>
      <c r="J40">
        <v>1015</v>
      </c>
      <c r="K40" t="str">
        <f t="shared" si="0"/>
        <v>Filtered out</v>
      </c>
    </row>
    <row r="41" spans="1:11" x14ac:dyDescent="0.2">
      <c r="A41" t="s">
        <v>13300</v>
      </c>
      <c r="B41" t="s">
        <v>13265</v>
      </c>
      <c r="C41" t="s">
        <v>190</v>
      </c>
      <c r="D41">
        <v>136</v>
      </c>
      <c r="E41">
        <v>1</v>
      </c>
      <c r="F41">
        <v>13500</v>
      </c>
      <c r="G41" t="s">
        <v>190</v>
      </c>
      <c r="H41">
        <v>0</v>
      </c>
      <c r="I41" t="s">
        <v>190</v>
      </c>
      <c r="J41" t="s">
        <v>190</v>
      </c>
      <c r="K41" t="s">
        <v>14814</v>
      </c>
    </row>
    <row r="42" spans="1:11" x14ac:dyDescent="0.2">
      <c r="A42" t="s">
        <v>13301</v>
      </c>
      <c r="B42" t="s">
        <v>13246</v>
      </c>
      <c r="C42" t="s">
        <v>13246</v>
      </c>
      <c r="D42">
        <v>1141</v>
      </c>
      <c r="E42">
        <v>1141</v>
      </c>
      <c r="F42">
        <v>0</v>
      </c>
      <c r="G42" s="13">
        <v>0.96099999999999997</v>
      </c>
      <c r="H42" t="s">
        <v>25</v>
      </c>
      <c r="I42">
        <v>2</v>
      </c>
      <c r="J42">
        <v>33</v>
      </c>
      <c r="K42" t="str">
        <f t="shared" si="0"/>
        <v>Retained</v>
      </c>
    </row>
    <row r="43" spans="1:11" x14ac:dyDescent="0.2">
      <c r="A43" t="s">
        <v>13302</v>
      </c>
      <c r="B43" t="s">
        <v>13246</v>
      </c>
      <c r="C43" t="s">
        <v>13246</v>
      </c>
      <c r="D43">
        <v>3355</v>
      </c>
      <c r="E43">
        <v>3823</v>
      </c>
      <c r="F43">
        <v>-12</v>
      </c>
      <c r="G43" s="13">
        <v>0.98199999999999998</v>
      </c>
      <c r="H43" t="s">
        <v>25</v>
      </c>
      <c r="I43">
        <v>1</v>
      </c>
      <c r="J43">
        <v>974</v>
      </c>
      <c r="K43" t="str">
        <f t="shared" si="0"/>
        <v>Filtered out</v>
      </c>
    </row>
    <row r="44" spans="1:11" x14ac:dyDescent="0.2">
      <c r="A44" t="s">
        <v>13303</v>
      </c>
      <c r="B44" t="s">
        <v>13304</v>
      </c>
      <c r="C44" t="s">
        <v>13283</v>
      </c>
      <c r="D44">
        <v>163</v>
      </c>
      <c r="E44">
        <v>538</v>
      </c>
      <c r="F44">
        <v>-69</v>
      </c>
      <c r="G44" s="13">
        <v>0.96199999999999997</v>
      </c>
      <c r="H44" t="s">
        <v>70</v>
      </c>
      <c r="I44">
        <v>0</v>
      </c>
      <c r="J44" t="s">
        <v>190</v>
      </c>
      <c r="K44" t="str">
        <f t="shared" si="0"/>
        <v>Filtered out</v>
      </c>
    </row>
    <row r="45" spans="1:11" x14ac:dyDescent="0.2">
      <c r="A45" t="s">
        <v>26</v>
      </c>
      <c r="B45" t="s">
        <v>13305</v>
      </c>
      <c r="C45" t="s">
        <v>13246</v>
      </c>
      <c r="D45">
        <v>928</v>
      </c>
      <c r="E45">
        <v>1012</v>
      </c>
      <c r="F45">
        <v>-8</v>
      </c>
      <c r="G45" s="13">
        <v>0.997</v>
      </c>
      <c r="H45" t="s">
        <v>25</v>
      </c>
      <c r="I45">
        <v>1</v>
      </c>
      <c r="J45">
        <v>111</v>
      </c>
      <c r="K45" t="str">
        <f t="shared" si="0"/>
        <v>Filtered out</v>
      </c>
    </row>
    <row r="46" spans="1:11" x14ac:dyDescent="0.2">
      <c r="A46" t="s">
        <v>13307</v>
      </c>
      <c r="B46" t="s">
        <v>13283</v>
      </c>
      <c r="C46" t="s">
        <v>13248</v>
      </c>
      <c r="D46">
        <v>1363</v>
      </c>
      <c r="E46">
        <v>1462</v>
      </c>
      <c r="F46">
        <v>-6</v>
      </c>
      <c r="G46" s="13">
        <v>0.85899999999999999</v>
      </c>
      <c r="H46" t="s">
        <v>25</v>
      </c>
      <c r="I46">
        <v>1</v>
      </c>
      <c r="J46">
        <v>40</v>
      </c>
      <c r="K46" t="str">
        <f t="shared" si="0"/>
        <v>Filtered out</v>
      </c>
    </row>
    <row r="47" spans="1:11" x14ac:dyDescent="0.2">
      <c r="A47" t="s">
        <v>9</v>
      </c>
      <c r="B47" t="s">
        <v>13308</v>
      </c>
      <c r="C47" t="s">
        <v>13308</v>
      </c>
      <c r="D47">
        <v>904</v>
      </c>
      <c r="E47">
        <v>904</v>
      </c>
      <c r="F47">
        <v>0</v>
      </c>
      <c r="G47" s="13">
        <v>0.98699999999999999</v>
      </c>
      <c r="H47" t="s">
        <v>25</v>
      </c>
      <c r="I47">
        <v>1</v>
      </c>
      <c r="J47">
        <v>10</v>
      </c>
      <c r="K47" t="str">
        <f t="shared" si="0"/>
        <v>Retained</v>
      </c>
    </row>
    <row r="48" spans="1:11" x14ac:dyDescent="0.2">
      <c r="A48" t="s">
        <v>13310</v>
      </c>
      <c r="B48" t="s">
        <v>13304</v>
      </c>
      <c r="C48" t="s">
        <v>13245</v>
      </c>
      <c r="D48">
        <v>2023</v>
      </c>
      <c r="E48">
        <v>2440</v>
      </c>
      <c r="F48">
        <v>-17</v>
      </c>
      <c r="G48" s="13">
        <v>0.98099999999999998</v>
      </c>
      <c r="H48" t="s">
        <v>25</v>
      </c>
      <c r="I48">
        <v>1</v>
      </c>
      <c r="J48">
        <v>373</v>
      </c>
      <c r="K48" t="str">
        <f t="shared" si="0"/>
        <v>Filtered out</v>
      </c>
    </row>
    <row r="49" spans="1:11" x14ac:dyDescent="0.2">
      <c r="A49" t="s">
        <v>13311</v>
      </c>
      <c r="B49" t="s">
        <v>13312</v>
      </c>
      <c r="C49" t="s">
        <v>13312</v>
      </c>
      <c r="D49">
        <v>5794</v>
      </c>
      <c r="E49">
        <v>6793</v>
      </c>
      <c r="F49">
        <v>-14</v>
      </c>
      <c r="G49" s="13">
        <v>0.96799999999999997</v>
      </c>
      <c r="H49" t="s">
        <v>25</v>
      </c>
      <c r="I49">
        <v>1</v>
      </c>
      <c r="J49">
        <v>1919</v>
      </c>
      <c r="K49" t="str">
        <f t="shared" si="0"/>
        <v>Filtered out</v>
      </c>
    </row>
    <row r="50" spans="1:11" x14ac:dyDescent="0.2">
      <c r="A50" t="s">
        <v>13313</v>
      </c>
      <c r="B50" t="s">
        <v>13314</v>
      </c>
      <c r="C50" t="s">
        <v>13248</v>
      </c>
      <c r="D50">
        <v>1552</v>
      </c>
      <c r="E50">
        <v>1054</v>
      </c>
      <c r="F50">
        <v>47</v>
      </c>
      <c r="G50" s="13">
        <v>0.997</v>
      </c>
      <c r="H50" t="s">
        <v>25</v>
      </c>
      <c r="I50">
        <v>1</v>
      </c>
      <c r="J50">
        <v>93</v>
      </c>
      <c r="K50" t="str">
        <f t="shared" si="0"/>
        <v>Filtered out</v>
      </c>
    </row>
    <row r="51" spans="1:11" x14ac:dyDescent="0.2">
      <c r="A51" t="s">
        <v>13315</v>
      </c>
      <c r="B51" t="s">
        <v>13316</v>
      </c>
      <c r="C51" t="s">
        <v>13316</v>
      </c>
      <c r="D51">
        <v>352</v>
      </c>
      <c r="E51">
        <v>1396</v>
      </c>
      <c r="F51">
        <v>-74</v>
      </c>
      <c r="G51" s="13">
        <v>0.92300000000000004</v>
      </c>
      <c r="H51" t="s">
        <v>25</v>
      </c>
      <c r="I51">
        <v>1</v>
      </c>
      <c r="J51">
        <v>115</v>
      </c>
      <c r="K51" t="str">
        <f t="shared" si="0"/>
        <v>Filtered out</v>
      </c>
    </row>
    <row r="52" spans="1:11" x14ac:dyDescent="0.2">
      <c r="A52" t="s">
        <v>13317</v>
      </c>
      <c r="B52" t="s">
        <v>13318</v>
      </c>
      <c r="C52" t="s">
        <v>13318</v>
      </c>
      <c r="D52">
        <v>1291</v>
      </c>
      <c r="E52">
        <v>1291</v>
      </c>
      <c r="F52">
        <v>0</v>
      </c>
      <c r="G52" s="13">
        <v>0.95299999999999996</v>
      </c>
      <c r="H52" t="s">
        <v>25</v>
      </c>
      <c r="I52">
        <v>2</v>
      </c>
      <c r="J52">
        <v>345</v>
      </c>
      <c r="K52" t="str">
        <f t="shared" si="0"/>
        <v>Retained</v>
      </c>
    </row>
    <row r="53" spans="1:11" x14ac:dyDescent="0.2">
      <c r="A53" t="s">
        <v>13319</v>
      </c>
      <c r="B53" t="s">
        <v>13263</v>
      </c>
      <c r="C53" t="s">
        <v>13263</v>
      </c>
      <c r="D53">
        <v>934</v>
      </c>
      <c r="E53">
        <v>2266</v>
      </c>
      <c r="F53">
        <v>-58</v>
      </c>
      <c r="G53" s="13">
        <v>0.85899999999999999</v>
      </c>
      <c r="H53" t="s">
        <v>25</v>
      </c>
      <c r="I53">
        <v>1</v>
      </c>
      <c r="J53">
        <v>181</v>
      </c>
      <c r="K53" t="str">
        <f t="shared" si="0"/>
        <v>Filtered out</v>
      </c>
    </row>
    <row r="54" spans="1:11" x14ac:dyDescent="0.2">
      <c r="A54" t="s">
        <v>13320</v>
      </c>
      <c r="B54" t="s">
        <v>13321</v>
      </c>
      <c r="C54" t="s">
        <v>13246</v>
      </c>
      <c r="D54">
        <v>127</v>
      </c>
      <c r="E54">
        <v>340</v>
      </c>
      <c r="F54">
        <v>-62</v>
      </c>
      <c r="G54" s="13">
        <v>0.33300000000000002</v>
      </c>
      <c r="H54" t="s">
        <v>70</v>
      </c>
      <c r="I54">
        <v>0</v>
      </c>
      <c r="J54" t="s">
        <v>190</v>
      </c>
      <c r="K54" t="str">
        <f t="shared" si="0"/>
        <v>Filtered out</v>
      </c>
    </row>
    <row r="55" spans="1:11" x14ac:dyDescent="0.2">
      <c r="A55" t="s">
        <v>13322</v>
      </c>
      <c r="B55" t="s">
        <v>13323</v>
      </c>
      <c r="C55" t="s">
        <v>13323</v>
      </c>
      <c r="D55">
        <v>2977</v>
      </c>
      <c r="E55">
        <v>3082</v>
      </c>
      <c r="F55">
        <v>-3</v>
      </c>
      <c r="G55" s="13">
        <v>0.96199999999999997</v>
      </c>
      <c r="H55" t="s">
        <v>25</v>
      </c>
      <c r="I55">
        <v>1</v>
      </c>
      <c r="J55">
        <v>618</v>
      </c>
      <c r="K55" t="str">
        <f t="shared" si="0"/>
        <v>Retained</v>
      </c>
    </row>
    <row r="56" spans="1:11" x14ac:dyDescent="0.2">
      <c r="A56" t="s">
        <v>13324</v>
      </c>
      <c r="B56" t="s">
        <v>13325</v>
      </c>
      <c r="C56" t="s">
        <v>13246</v>
      </c>
      <c r="D56">
        <v>169</v>
      </c>
      <c r="E56">
        <v>1378</v>
      </c>
      <c r="F56">
        <v>-87</v>
      </c>
      <c r="G56" s="13">
        <v>0.92700000000000005</v>
      </c>
      <c r="H56" t="s">
        <v>70</v>
      </c>
      <c r="I56">
        <v>0</v>
      </c>
      <c r="J56" t="s">
        <v>190</v>
      </c>
      <c r="K56" t="str">
        <f t="shared" si="0"/>
        <v>Filtered out</v>
      </c>
    </row>
    <row r="57" spans="1:11" x14ac:dyDescent="0.2">
      <c r="A57" t="s">
        <v>13326</v>
      </c>
      <c r="B57" t="s">
        <v>13263</v>
      </c>
      <c r="C57" t="s">
        <v>13254</v>
      </c>
      <c r="D57">
        <v>2368</v>
      </c>
      <c r="E57">
        <v>2554</v>
      </c>
      <c r="F57">
        <v>-7</v>
      </c>
      <c r="G57" s="13">
        <v>0.96799999999999997</v>
      </c>
      <c r="H57" t="s">
        <v>25</v>
      </c>
      <c r="I57">
        <v>1</v>
      </c>
      <c r="J57">
        <v>142</v>
      </c>
      <c r="K57" t="str">
        <f t="shared" si="0"/>
        <v>Filtered out</v>
      </c>
    </row>
    <row r="58" spans="1:11" x14ac:dyDescent="0.2">
      <c r="A58" t="s">
        <v>13327</v>
      </c>
      <c r="B58" t="s">
        <v>13312</v>
      </c>
      <c r="C58" t="s">
        <v>13312</v>
      </c>
      <c r="D58">
        <v>886</v>
      </c>
      <c r="E58">
        <v>847</v>
      </c>
      <c r="F58">
        <v>4</v>
      </c>
      <c r="G58" s="13">
        <v>0.81499999999999995</v>
      </c>
      <c r="H58" t="s">
        <v>25</v>
      </c>
      <c r="I58">
        <v>1</v>
      </c>
      <c r="J58">
        <v>290</v>
      </c>
      <c r="K58" t="str">
        <f t="shared" si="0"/>
        <v>Filtered out</v>
      </c>
    </row>
    <row r="59" spans="1:11" x14ac:dyDescent="0.2">
      <c r="A59" t="s">
        <v>13328</v>
      </c>
      <c r="B59" t="s">
        <v>13246</v>
      </c>
      <c r="C59" t="s">
        <v>13246</v>
      </c>
      <c r="D59">
        <v>1084</v>
      </c>
      <c r="E59">
        <v>2023</v>
      </c>
      <c r="F59">
        <v>-46</v>
      </c>
      <c r="G59" s="13">
        <v>0.90700000000000003</v>
      </c>
      <c r="H59" t="s">
        <v>25</v>
      </c>
      <c r="I59">
        <v>1</v>
      </c>
      <c r="J59">
        <v>327</v>
      </c>
      <c r="K59" t="str">
        <f t="shared" si="0"/>
        <v>Filtered out</v>
      </c>
    </row>
    <row r="60" spans="1:11" x14ac:dyDescent="0.2">
      <c r="A60" t="s">
        <v>13329</v>
      </c>
      <c r="B60" t="s">
        <v>13246</v>
      </c>
      <c r="C60" t="s">
        <v>13246</v>
      </c>
      <c r="D60">
        <v>1258</v>
      </c>
      <c r="E60">
        <v>1258</v>
      </c>
      <c r="F60">
        <v>0</v>
      </c>
      <c r="G60" s="13">
        <v>0.97599999999999998</v>
      </c>
      <c r="H60" t="s">
        <v>25</v>
      </c>
      <c r="I60">
        <v>1</v>
      </c>
      <c r="J60">
        <v>30</v>
      </c>
      <c r="K60" t="str">
        <f t="shared" si="0"/>
        <v>Retained</v>
      </c>
    </row>
    <row r="61" spans="1:11" x14ac:dyDescent="0.2">
      <c r="A61" t="s">
        <v>13330</v>
      </c>
      <c r="B61" t="s">
        <v>13304</v>
      </c>
      <c r="C61" t="s">
        <v>13304</v>
      </c>
      <c r="D61">
        <v>1045</v>
      </c>
      <c r="E61">
        <v>1402</v>
      </c>
      <c r="F61">
        <v>-25</v>
      </c>
      <c r="G61" s="13">
        <v>0.69</v>
      </c>
      <c r="H61" t="s">
        <v>25</v>
      </c>
      <c r="I61">
        <v>1</v>
      </c>
      <c r="J61">
        <v>86</v>
      </c>
      <c r="K61" t="str">
        <f t="shared" si="0"/>
        <v>Filtered out</v>
      </c>
    </row>
    <row r="62" spans="1:11" x14ac:dyDescent="0.2">
      <c r="A62" t="s">
        <v>13331</v>
      </c>
      <c r="B62" t="s">
        <v>13295</v>
      </c>
      <c r="C62" t="s">
        <v>13246</v>
      </c>
      <c r="D62">
        <v>145</v>
      </c>
      <c r="E62">
        <v>1005</v>
      </c>
      <c r="F62">
        <v>-85</v>
      </c>
      <c r="G62" s="13">
        <v>0.45</v>
      </c>
      <c r="H62" t="s">
        <v>70</v>
      </c>
      <c r="I62">
        <v>0</v>
      </c>
      <c r="J62" t="s">
        <v>190</v>
      </c>
      <c r="K62" t="str">
        <f t="shared" si="0"/>
        <v>Filtered out</v>
      </c>
    </row>
    <row r="63" spans="1:11" x14ac:dyDescent="0.2">
      <c r="A63" t="s">
        <v>13332</v>
      </c>
      <c r="B63" t="s">
        <v>13295</v>
      </c>
      <c r="C63" t="s">
        <v>13333</v>
      </c>
      <c r="D63">
        <v>469</v>
      </c>
      <c r="E63">
        <v>583</v>
      </c>
      <c r="F63">
        <v>-19</v>
      </c>
      <c r="G63" s="13">
        <v>0.42099999999999999</v>
      </c>
      <c r="H63" t="s">
        <v>25</v>
      </c>
      <c r="I63">
        <v>1</v>
      </c>
      <c r="J63">
        <v>70</v>
      </c>
      <c r="K63" t="str">
        <f t="shared" si="0"/>
        <v>Filtered out</v>
      </c>
    </row>
    <row r="64" spans="1:11" x14ac:dyDescent="0.2">
      <c r="A64" t="s">
        <v>13334</v>
      </c>
      <c r="B64" t="s">
        <v>13283</v>
      </c>
      <c r="C64" t="s">
        <v>13266</v>
      </c>
      <c r="D64">
        <v>652</v>
      </c>
      <c r="E64">
        <v>1411</v>
      </c>
      <c r="F64">
        <v>-53</v>
      </c>
      <c r="G64" s="13">
        <v>0.77600000000000002</v>
      </c>
      <c r="H64" t="s">
        <v>25</v>
      </c>
      <c r="I64">
        <v>1</v>
      </c>
      <c r="J64">
        <v>210</v>
      </c>
      <c r="K64" t="str">
        <f t="shared" si="0"/>
        <v>Filtered out</v>
      </c>
    </row>
    <row r="65" spans="1:11" x14ac:dyDescent="0.2">
      <c r="A65" t="s">
        <v>13335</v>
      </c>
      <c r="B65" t="s">
        <v>13246</v>
      </c>
      <c r="C65" t="s">
        <v>13246</v>
      </c>
      <c r="D65">
        <v>136</v>
      </c>
      <c r="E65">
        <v>499</v>
      </c>
      <c r="F65">
        <v>-72</v>
      </c>
      <c r="G65" s="13">
        <v>0.95599999999999996</v>
      </c>
      <c r="H65" t="s">
        <v>70</v>
      </c>
      <c r="I65">
        <v>0</v>
      </c>
      <c r="J65" t="s">
        <v>190</v>
      </c>
      <c r="K65" t="str">
        <f t="shared" si="0"/>
        <v>Filtered out</v>
      </c>
    </row>
    <row r="66" spans="1:11" x14ac:dyDescent="0.2">
      <c r="A66" t="s">
        <v>13336</v>
      </c>
      <c r="B66" t="s">
        <v>13304</v>
      </c>
      <c r="C66" t="s">
        <v>13337</v>
      </c>
      <c r="D66">
        <v>118</v>
      </c>
      <c r="E66">
        <v>403</v>
      </c>
      <c r="F66">
        <v>-70</v>
      </c>
      <c r="G66" s="13">
        <v>0.92300000000000004</v>
      </c>
      <c r="H66" t="s">
        <v>70</v>
      </c>
      <c r="I66">
        <v>0</v>
      </c>
      <c r="J66" t="s">
        <v>190</v>
      </c>
      <c r="K66" t="str">
        <f t="shared" si="0"/>
        <v>Filtered out</v>
      </c>
    </row>
    <row r="67" spans="1:11" x14ac:dyDescent="0.2">
      <c r="A67" t="s">
        <v>13338</v>
      </c>
      <c r="B67" t="s">
        <v>13312</v>
      </c>
      <c r="C67" t="s">
        <v>13283</v>
      </c>
      <c r="D67">
        <v>160</v>
      </c>
      <c r="E67">
        <v>1336</v>
      </c>
      <c r="F67">
        <v>-88</v>
      </c>
      <c r="G67" s="13">
        <v>0.92300000000000004</v>
      </c>
      <c r="H67" t="s">
        <v>70</v>
      </c>
      <c r="I67">
        <v>0</v>
      </c>
      <c r="J67" t="s">
        <v>190</v>
      </c>
      <c r="K67" t="str">
        <f t="shared" si="0"/>
        <v>Filtered out</v>
      </c>
    </row>
    <row r="68" spans="1:11" x14ac:dyDescent="0.2">
      <c r="A68" t="s">
        <v>13339</v>
      </c>
      <c r="B68" t="s">
        <v>13293</v>
      </c>
      <c r="C68" t="s">
        <v>13246</v>
      </c>
      <c r="D68">
        <v>205</v>
      </c>
      <c r="E68">
        <v>640</v>
      </c>
      <c r="F68">
        <v>-67</v>
      </c>
      <c r="G68" s="13">
        <v>0.92600000000000005</v>
      </c>
      <c r="H68" t="s">
        <v>70</v>
      </c>
      <c r="I68">
        <v>0</v>
      </c>
      <c r="J68" t="s">
        <v>190</v>
      </c>
      <c r="K68" t="str">
        <f t="shared" si="0"/>
        <v>Filtered out</v>
      </c>
    </row>
    <row r="69" spans="1:11" x14ac:dyDescent="0.2">
      <c r="A69" t="s">
        <v>13340</v>
      </c>
      <c r="B69" t="s">
        <v>13246</v>
      </c>
      <c r="C69" t="s">
        <v>13246</v>
      </c>
      <c r="D69">
        <v>3700</v>
      </c>
      <c r="E69">
        <v>3703</v>
      </c>
      <c r="F69">
        <v>0</v>
      </c>
      <c r="G69" s="13">
        <v>0.98899999999999999</v>
      </c>
      <c r="H69" t="s">
        <v>25</v>
      </c>
      <c r="I69">
        <v>1</v>
      </c>
      <c r="J69">
        <v>1221</v>
      </c>
      <c r="K69" t="str">
        <f t="shared" si="0"/>
        <v>Retained</v>
      </c>
    </row>
    <row r="70" spans="1:11" x14ac:dyDescent="0.2">
      <c r="A70" t="s">
        <v>13341</v>
      </c>
      <c r="B70" t="s">
        <v>13246</v>
      </c>
      <c r="C70" t="s">
        <v>13246</v>
      </c>
      <c r="D70">
        <v>5170</v>
      </c>
      <c r="E70">
        <v>5170</v>
      </c>
      <c r="F70">
        <v>0</v>
      </c>
      <c r="G70" s="13">
        <v>0.98399999999999999</v>
      </c>
      <c r="H70" t="s">
        <v>25</v>
      </c>
      <c r="I70">
        <v>1</v>
      </c>
      <c r="J70">
        <v>304</v>
      </c>
      <c r="K70" t="str">
        <f t="shared" si="0"/>
        <v>Retained</v>
      </c>
    </row>
    <row r="71" spans="1:11" x14ac:dyDescent="0.2">
      <c r="A71" t="s">
        <v>13342</v>
      </c>
      <c r="B71" t="s">
        <v>13246</v>
      </c>
      <c r="C71" t="s">
        <v>13246</v>
      </c>
      <c r="D71">
        <v>5623</v>
      </c>
      <c r="E71">
        <v>5623</v>
      </c>
      <c r="F71">
        <v>0</v>
      </c>
      <c r="G71" s="13">
        <v>0.98499999999999999</v>
      </c>
      <c r="H71" t="s">
        <v>25</v>
      </c>
      <c r="I71">
        <v>2</v>
      </c>
      <c r="J71">
        <v>304</v>
      </c>
      <c r="K71" t="str">
        <f t="shared" si="0"/>
        <v>Retained</v>
      </c>
    </row>
    <row r="72" spans="1:11" x14ac:dyDescent="0.2">
      <c r="A72" t="s">
        <v>13343</v>
      </c>
      <c r="B72" t="s">
        <v>13246</v>
      </c>
      <c r="C72" t="s">
        <v>13246</v>
      </c>
      <c r="D72">
        <v>6223</v>
      </c>
      <c r="E72">
        <v>6223</v>
      </c>
      <c r="F72">
        <v>0</v>
      </c>
      <c r="G72" s="13">
        <v>0.98799999999999999</v>
      </c>
      <c r="H72" t="s">
        <v>25</v>
      </c>
      <c r="I72">
        <v>3</v>
      </c>
      <c r="J72">
        <v>13</v>
      </c>
      <c r="K72" t="str">
        <f t="shared" ref="K72:K135" si="1">IF(AND(B72=C72,F72&lt;10,F72&gt;-10,I72&gt;0,G72&gt;90%,G72&lt;100%),"Retained","Filtered out")</f>
        <v>Retained</v>
      </c>
    </row>
    <row r="73" spans="1:11" x14ac:dyDescent="0.2">
      <c r="A73" t="s">
        <v>13344</v>
      </c>
      <c r="B73" t="s">
        <v>13263</v>
      </c>
      <c r="C73" t="s">
        <v>13246</v>
      </c>
      <c r="D73">
        <v>208</v>
      </c>
      <c r="E73">
        <v>382</v>
      </c>
      <c r="F73">
        <v>-45</v>
      </c>
      <c r="G73" s="13">
        <v>0.98599999999999999</v>
      </c>
      <c r="H73" t="s">
        <v>70</v>
      </c>
      <c r="I73">
        <v>0</v>
      </c>
      <c r="J73" t="s">
        <v>190</v>
      </c>
      <c r="K73" t="str">
        <f t="shared" si="1"/>
        <v>Filtered out</v>
      </c>
    </row>
    <row r="74" spans="1:11" x14ac:dyDescent="0.2">
      <c r="A74" t="s">
        <v>13345</v>
      </c>
      <c r="B74" t="s">
        <v>13346</v>
      </c>
      <c r="C74" t="s">
        <v>13246</v>
      </c>
      <c r="D74">
        <v>2548</v>
      </c>
      <c r="E74">
        <v>3088</v>
      </c>
      <c r="F74">
        <v>-17</v>
      </c>
      <c r="G74" s="13">
        <v>0.93799999999999994</v>
      </c>
      <c r="H74" t="s">
        <v>25</v>
      </c>
      <c r="I74">
        <v>2</v>
      </c>
      <c r="J74">
        <v>11</v>
      </c>
      <c r="K74" t="str">
        <f t="shared" si="1"/>
        <v>Filtered out</v>
      </c>
    </row>
    <row r="75" spans="1:11" x14ac:dyDescent="0.2">
      <c r="A75" t="s">
        <v>13347</v>
      </c>
      <c r="B75" t="s">
        <v>13246</v>
      </c>
      <c r="C75" t="s">
        <v>13246</v>
      </c>
      <c r="D75">
        <v>874</v>
      </c>
      <c r="E75">
        <v>877</v>
      </c>
      <c r="F75">
        <v>0</v>
      </c>
      <c r="G75" s="13">
        <v>0.95499999999999996</v>
      </c>
      <c r="H75" t="s">
        <v>25</v>
      </c>
      <c r="I75">
        <v>2</v>
      </c>
      <c r="J75">
        <v>64</v>
      </c>
      <c r="K75" t="str">
        <f t="shared" si="1"/>
        <v>Retained</v>
      </c>
    </row>
    <row r="76" spans="1:11" x14ac:dyDescent="0.2">
      <c r="A76" t="s">
        <v>13348</v>
      </c>
      <c r="B76" t="s">
        <v>13349</v>
      </c>
      <c r="C76" t="s">
        <v>13350</v>
      </c>
      <c r="D76">
        <v>397</v>
      </c>
      <c r="E76">
        <v>304</v>
      </c>
      <c r="F76">
        <v>30</v>
      </c>
      <c r="G76" s="13">
        <v>0.54500000000000004</v>
      </c>
      <c r="H76" t="s">
        <v>25</v>
      </c>
      <c r="I76">
        <v>1</v>
      </c>
      <c r="J76">
        <v>59</v>
      </c>
      <c r="K76" t="str">
        <f t="shared" si="1"/>
        <v>Filtered out</v>
      </c>
    </row>
    <row r="77" spans="1:11" x14ac:dyDescent="0.2">
      <c r="A77" t="s">
        <v>13351</v>
      </c>
      <c r="B77" t="s">
        <v>13270</v>
      </c>
      <c r="C77" t="s">
        <v>13246</v>
      </c>
      <c r="D77">
        <v>160</v>
      </c>
      <c r="E77">
        <v>292</v>
      </c>
      <c r="F77">
        <v>-45</v>
      </c>
      <c r="G77" s="13">
        <v>1</v>
      </c>
      <c r="H77" t="s">
        <v>70</v>
      </c>
      <c r="I77">
        <v>0</v>
      </c>
      <c r="J77" t="s">
        <v>190</v>
      </c>
      <c r="K77" t="str">
        <f t="shared" si="1"/>
        <v>Filtered out</v>
      </c>
    </row>
    <row r="78" spans="1:11" x14ac:dyDescent="0.2">
      <c r="A78" t="s">
        <v>13352</v>
      </c>
      <c r="B78" t="s">
        <v>13353</v>
      </c>
      <c r="C78" t="s">
        <v>13246</v>
      </c>
      <c r="D78">
        <v>583</v>
      </c>
      <c r="E78">
        <v>712</v>
      </c>
      <c r="F78">
        <v>-18</v>
      </c>
      <c r="G78" s="13">
        <v>0.995</v>
      </c>
      <c r="H78" t="s">
        <v>25</v>
      </c>
      <c r="I78">
        <v>1</v>
      </c>
      <c r="J78">
        <v>4</v>
      </c>
      <c r="K78" t="str">
        <f t="shared" si="1"/>
        <v>Filtered out</v>
      </c>
    </row>
    <row r="79" spans="1:11" x14ac:dyDescent="0.2">
      <c r="A79" t="s">
        <v>13354</v>
      </c>
      <c r="B79" t="s">
        <v>13355</v>
      </c>
      <c r="C79" t="s">
        <v>13355</v>
      </c>
      <c r="D79">
        <v>109</v>
      </c>
      <c r="E79">
        <v>220</v>
      </c>
      <c r="F79">
        <v>-50</v>
      </c>
      <c r="G79" s="13">
        <v>0.97199999999999998</v>
      </c>
      <c r="H79" t="s">
        <v>70</v>
      </c>
      <c r="I79">
        <v>0</v>
      </c>
      <c r="J79" t="s">
        <v>190</v>
      </c>
      <c r="K79" t="str">
        <f t="shared" si="1"/>
        <v>Filtered out</v>
      </c>
    </row>
    <row r="80" spans="1:11" x14ac:dyDescent="0.2">
      <c r="A80" t="s">
        <v>13356</v>
      </c>
      <c r="B80" t="s">
        <v>13321</v>
      </c>
      <c r="C80" t="s">
        <v>13263</v>
      </c>
      <c r="D80">
        <v>226</v>
      </c>
      <c r="E80">
        <v>289</v>
      </c>
      <c r="F80">
        <v>-21</v>
      </c>
      <c r="G80" s="13">
        <v>1</v>
      </c>
      <c r="H80" t="s">
        <v>70</v>
      </c>
      <c r="I80">
        <v>0</v>
      </c>
      <c r="J80" t="s">
        <v>190</v>
      </c>
      <c r="K80" t="str">
        <f t="shared" si="1"/>
        <v>Filtered out</v>
      </c>
    </row>
    <row r="81" spans="1:11" x14ac:dyDescent="0.2">
      <c r="A81" t="s">
        <v>13357</v>
      </c>
      <c r="B81" t="s">
        <v>13358</v>
      </c>
      <c r="C81" t="s">
        <v>13246</v>
      </c>
      <c r="D81">
        <v>388</v>
      </c>
      <c r="E81">
        <v>988</v>
      </c>
      <c r="F81">
        <v>-60</v>
      </c>
      <c r="G81" s="13">
        <v>1</v>
      </c>
      <c r="H81" t="s">
        <v>25</v>
      </c>
      <c r="I81">
        <v>1</v>
      </c>
      <c r="J81">
        <v>3</v>
      </c>
      <c r="K81" t="str">
        <f t="shared" si="1"/>
        <v>Filtered out</v>
      </c>
    </row>
    <row r="82" spans="1:11" x14ac:dyDescent="0.2">
      <c r="A82" t="s">
        <v>13359</v>
      </c>
      <c r="B82" t="s">
        <v>13360</v>
      </c>
      <c r="C82" t="s">
        <v>13360</v>
      </c>
      <c r="D82">
        <v>3304</v>
      </c>
      <c r="E82">
        <v>3304</v>
      </c>
      <c r="F82">
        <v>0</v>
      </c>
      <c r="G82" s="13">
        <v>0.99299999999999999</v>
      </c>
      <c r="H82" t="s">
        <v>25</v>
      </c>
      <c r="I82">
        <v>1</v>
      </c>
      <c r="J82">
        <v>310</v>
      </c>
      <c r="K82" t="str">
        <f t="shared" si="1"/>
        <v>Retained</v>
      </c>
    </row>
    <row r="83" spans="1:11" x14ac:dyDescent="0.2">
      <c r="A83" t="s">
        <v>13361</v>
      </c>
      <c r="B83" t="s">
        <v>13314</v>
      </c>
      <c r="C83" t="s">
        <v>13246</v>
      </c>
      <c r="D83">
        <v>2032</v>
      </c>
      <c r="E83">
        <v>2200</v>
      </c>
      <c r="F83">
        <v>-7</v>
      </c>
      <c r="G83" s="13">
        <v>0.996</v>
      </c>
      <c r="H83" t="s">
        <v>25</v>
      </c>
      <c r="I83">
        <v>1</v>
      </c>
      <c r="J83">
        <v>181</v>
      </c>
      <c r="K83" t="str">
        <f t="shared" si="1"/>
        <v>Filtered out</v>
      </c>
    </row>
    <row r="84" spans="1:11" x14ac:dyDescent="0.2">
      <c r="A84" t="s">
        <v>13362</v>
      </c>
      <c r="B84" t="s">
        <v>13246</v>
      </c>
      <c r="C84" t="s">
        <v>13246</v>
      </c>
      <c r="D84">
        <v>2083</v>
      </c>
      <c r="E84">
        <v>2752</v>
      </c>
      <c r="F84">
        <v>-24</v>
      </c>
      <c r="G84" s="13">
        <v>0.99299999999999999</v>
      </c>
      <c r="H84" t="s">
        <v>25</v>
      </c>
      <c r="I84">
        <v>1</v>
      </c>
      <c r="J84">
        <v>693</v>
      </c>
      <c r="K84" t="str">
        <f t="shared" si="1"/>
        <v>Filtered out</v>
      </c>
    </row>
    <row r="85" spans="1:11" x14ac:dyDescent="0.2">
      <c r="A85" t="s">
        <v>13363</v>
      </c>
      <c r="B85" t="s">
        <v>13364</v>
      </c>
      <c r="C85" t="s">
        <v>13364</v>
      </c>
      <c r="D85">
        <v>970</v>
      </c>
      <c r="E85">
        <v>970</v>
      </c>
      <c r="F85">
        <v>0</v>
      </c>
      <c r="G85" s="13">
        <v>0.99099999999999999</v>
      </c>
      <c r="H85" t="s">
        <v>25</v>
      </c>
      <c r="I85">
        <v>1</v>
      </c>
      <c r="J85">
        <v>2</v>
      </c>
      <c r="K85" t="str">
        <f t="shared" si="1"/>
        <v>Retained</v>
      </c>
    </row>
    <row r="86" spans="1:11" x14ac:dyDescent="0.2">
      <c r="A86" t="s">
        <v>13365</v>
      </c>
      <c r="B86" t="s">
        <v>13246</v>
      </c>
      <c r="C86" t="s">
        <v>13246</v>
      </c>
      <c r="D86">
        <v>3442</v>
      </c>
      <c r="E86">
        <v>3445</v>
      </c>
      <c r="F86">
        <v>0</v>
      </c>
      <c r="G86" s="13">
        <v>0.98299999999999998</v>
      </c>
      <c r="H86" t="s">
        <v>25</v>
      </c>
      <c r="I86">
        <v>2</v>
      </c>
      <c r="J86">
        <v>232</v>
      </c>
      <c r="K86" t="str">
        <f t="shared" si="1"/>
        <v>Retained</v>
      </c>
    </row>
    <row r="87" spans="1:11" x14ac:dyDescent="0.2">
      <c r="A87" t="s">
        <v>13366</v>
      </c>
      <c r="B87" t="s">
        <v>13346</v>
      </c>
      <c r="C87" t="s">
        <v>190</v>
      </c>
      <c r="D87">
        <v>127</v>
      </c>
      <c r="E87">
        <v>1</v>
      </c>
      <c r="F87">
        <v>12600</v>
      </c>
      <c r="G87" t="s">
        <v>190</v>
      </c>
      <c r="H87">
        <v>0</v>
      </c>
      <c r="I87" t="s">
        <v>190</v>
      </c>
      <c r="J87" t="s">
        <v>190</v>
      </c>
      <c r="K87" t="s">
        <v>14814</v>
      </c>
    </row>
    <row r="88" spans="1:11" x14ac:dyDescent="0.2">
      <c r="A88" t="s">
        <v>13367</v>
      </c>
      <c r="B88" t="s">
        <v>13368</v>
      </c>
      <c r="C88" t="s">
        <v>13369</v>
      </c>
      <c r="D88">
        <v>1711</v>
      </c>
      <c r="E88">
        <v>1513</v>
      </c>
      <c r="F88">
        <v>13</v>
      </c>
      <c r="G88" s="13">
        <v>0.97599999999999998</v>
      </c>
      <c r="H88" t="s">
        <v>25</v>
      </c>
      <c r="I88">
        <v>1</v>
      </c>
      <c r="J88">
        <v>319</v>
      </c>
      <c r="K88" t="str">
        <f t="shared" si="1"/>
        <v>Filtered out</v>
      </c>
    </row>
    <row r="89" spans="1:11" x14ac:dyDescent="0.2">
      <c r="A89" t="s">
        <v>13370</v>
      </c>
      <c r="B89" t="s">
        <v>13312</v>
      </c>
      <c r="C89" t="s">
        <v>13371</v>
      </c>
      <c r="D89">
        <v>136</v>
      </c>
      <c r="E89">
        <v>238</v>
      </c>
      <c r="F89">
        <v>-42</v>
      </c>
      <c r="G89" s="13">
        <v>0.95599999999999996</v>
      </c>
      <c r="H89" t="s">
        <v>70</v>
      </c>
      <c r="I89">
        <v>0</v>
      </c>
      <c r="J89" t="s">
        <v>190</v>
      </c>
      <c r="K89" t="str">
        <f t="shared" si="1"/>
        <v>Filtered out</v>
      </c>
    </row>
    <row r="90" spans="1:11" x14ac:dyDescent="0.2">
      <c r="A90" t="s">
        <v>13372</v>
      </c>
      <c r="B90" t="s">
        <v>13373</v>
      </c>
      <c r="C90" t="s">
        <v>13369</v>
      </c>
      <c r="D90">
        <v>244</v>
      </c>
      <c r="E90">
        <v>565</v>
      </c>
      <c r="F90">
        <v>-56</v>
      </c>
      <c r="G90" s="13">
        <v>0.94899999999999995</v>
      </c>
      <c r="H90" t="s">
        <v>25</v>
      </c>
      <c r="I90">
        <v>1</v>
      </c>
      <c r="J90">
        <v>3</v>
      </c>
      <c r="K90" t="str">
        <f t="shared" si="1"/>
        <v>Filtered out</v>
      </c>
    </row>
    <row r="91" spans="1:11" x14ac:dyDescent="0.2">
      <c r="A91" t="s">
        <v>13374</v>
      </c>
      <c r="B91" t="s">
        <v>13375</v>
      </c>
      <c r="C91" t="s">
        <v>13268</v>
      </c>
      <c r="D91">
        <v>736</v>
      </c>
      <c r="E91">
        <v>1255</v>
      </c>
      <c r="F91">
        <v>-41</v>
      </c>
      <c r="G91" s="13">
        <v>0.98</v>
      </c>
      <c r="H91" t="s">
        <v>25</v>
      </c>
      <c r="I91">
        <v>1</v>
      </c>
      <c r="J91">
        <v>3</v>
      </c>
      <c r="K91" t="str">
        <f t="shared" si="1"/>
        <v>Filtered out</v>
      </c>
    </row>
    <row r="92" spans="1:11" x14ac:dyDescent="0.2">
      <c r="A92" t="s">
        <v>13376</v>
      </c>
      <c r="B92" t="s">
        <v>13377</v>
      </c>
      <c r="C92" t="s">
        <v>13369</v>
      </c>
      <c r="D92">
        <v>175</v>
      </c>
      <c r="E92">
        <v>286</v>
      </c>
      <c r="F92">
        <v>-38</v>
      </c>
      <c r="G92" s="13">
        <v>0.98299999999999998</v>
      </c>
      <c r="H92" t="s">
        <v>70</v>
      </c>
      <c r="I92">
        <v>0</v>
      </c>
      <c r="J92" t="s">
        <v>190</v>
      </c>
      <c r="K92" t="str">
        <f t="shared" si="1"/>
        <v>Filtered out</v>
      </c>
    </row>
    <row r="93" spans="1:11" x14ac:dyDescent="0.2">
      <c r="A93" t="s">
        <v>13378</v>
      </c>
      <c r="B93" t="s">
        <v>13379</v>
      </c>
      <c r="C93" t="s">
        <v>13263</v>
      </c>
      <c r="D93">
        <v>178</v>
      </c>
      <c r="E93">
        <v>223</v>
      </c>
      <c r="F93">
        <v>-20</v>
      </c>
      <c r="G93" s="13">
        <v>0.5</v>
      </c>
      <c r="H93" t="s">
        <v>25</v>
      </c>
      <c r="I93">
        <v>1</v>
      </c>
      <c r="J93">
        <v>36</v>
      </c>
      <c r="K93" t="str">
        <f t="shared" si="1"/>
        <v>Filtered out</v>
      </c>
    </row>
    <row r="94" spans="1:11" x14ac:dyDescent="0.2">
      <c r="A94" t="s">
        <v>13380</v>
      </c>
      <c r="B94" t="s">
        <v>13246</v>
      </c>
      <c r="C94" t="s">
        <v>13246</v>
      </c>
      <c r="D94">
        <v>988</v>
      </c>
      <c r="E94">
        <v>985</v>
      </c>
      <c r="F94">
        <v>0</v>
      </c>
      <c r="G94" s="13">
        <v>0.93600000000000005</v>
      </c>
      <c r="H94" t="s">
        <v>25</v>
      </c>
      <c r="I94">
        <v>1</v>
      </c>
      <c r="J94">
        <v>326</v>
      </c>
      <c r="K94" t="str">
        <f t="shared" si="1"/>
        <v>Retained</v>
      </c>
    </row>
    <row r="95" spans="1:11" x14ac:dyDescent="0.2">
      <c r="A95" t="s">
        <v>13381</v>
      </c>
      <c r="B95" t="s">
        <v>13312</v>
      </c>
      <c r="C95" t="s">
        <v>13312</v>
      </c>
      <c r="D95">
        <v>4015</v>
      </c>
      <c r="E95">
        <v>2602</v>
      </c>
      <c r="F95">
        <v>54</v>
      </c>
      <c r="G95" s="13">
        <v>0.83699999999999997</v>
      </c>
      <c r="H95" t="s">
        <v>25</v>
      </c>
      <c r="I95">
        <v>1</v>
      </c>
      <c r="J95">
        <v>968</v>
      </c>
      <c r="K95" t="str">
        <f t="shared" si="1"/>
        <v>Filtered out</v>
      </c>
    </row>
    <row r="96" spans="1:11" x14ac:dyDescent="0.2">
      <c r="A96" t="s">
        <v>13382</v>
      </c>
      <c r="B96" t="s">
        <v>13246</v>
      </c>
      <c r="C96" t="s">
        <v>13246</v>
      </c>
      <c r="D96">
        <v>850</v>
      </c>
      <c r="E96">
        <v>841</v>
      </c>
      <c r="F96">
        <v>1</v>
      </c>
      <c r="G96" s="13">
        <v>0.96799999999999997</v>
      </c>
      <c r="H96" t="s">
        <v>25</v>
      </c>
      <c r="I96">
        <v>1</v>
      </c>
      <c r="J96">
        <v>281</v>
      </c>
      <c r="K96" t="str">
        <f t="shared" si="1"/>
        <v>Retained</v>
      </c>
    </row>
    <row r="97" spans="1:11" x14ac:dyDescent="0.2">
      <c r="A97" t="s">
        <v>13383</v>
      </c>
      <c r="B97" t="s">
        <v>13373</v>
      </c>
      <c r="C97" t="s">
        <v>13373</v>
      </c>
      <c r="D97">
        <v>1432</v>
      </c>
      <c r="E97">
        <v>1432</v>
      </c>
      <c r="F97">
        <v>0</v>
      </c>
      <c r="G97" s="13">
        <v>0.94799999999999995</v>
      </c>
      <c r="H97" t="s">
        <v>25</v>
      </c>
      <c r="I97">
        <v>2</v>
      </c>
      <c r="J97">
        <v>164</v>
      </c>
      <c r="K97" t="str">
        <f t="shared" si="1"/>
        <v>Retained</v>
      </c>
    </row>
    <row r="98" spans="1:11" x14ac:dyDescent="0.2">
      <c r="A98" t="s">
        <v>13384</v>
      </c>
      <c r="B98" t="s">
        <v>13385</v>
      </c>
      <c r="C98" t="s">
        <v>13246</v>
      </c>
      <c r="D98">
        <v>166</v>
      </c>
      <c r="E98">
        <v>451</v>
      </c>
      <c r="F98">
        <v>-63</v>
      </c>
      <c r="G98" s="13">
        <v>0.92500000000000004</v>
      </c>
      <c r="H98" t="s">
        <v>70</v>
      </c>
      <c r="I98">
        <v>0</v>
      </c>
      <c r="J98" t="s">
        <v>190</v>
      </c>
      <c r="K98" t="str">
        <f t="shared" si="1"/>
        <v>Filtered out</v>
      </c>
    </row>
    <row r="99" spans="1:11" x14ac:dyDescent="0.2">
      <c r="A99" t="s">
        <v>13386</v>
      </c>
      <c r="B99" t="s">
        <v>13246</v>
      </c>
      <c r="C99" t="s">
        <v>13246</v>
      </c>
      <c r="D99">
        <v>604</v>
      </c>
      <c r="E99">
        <v>604</v>
      </c>
      <c r="F99">
        <v>0</v>
      </c>
      <c r="G99" s="13">
        <v>0.92500000000000004</v>
      </c>
      <c r="H99" t="s">
        <v>25</v>
      </c>
      <c r="I99">
        <v>1</v>
      </c>
      <c r="J99">
        <v>131</v>
      </c>
      <c r="K99" t="str">
        <f t="shared" si="1"/>
        <v>Retained</v>
      </c>
    </row>
    <row r="100" spans="1:11" x14ac:dyDescent="0.2">
      <c r="A100" t="s">
        <v>13387</v>
      </c>
      <c r="B100" t="s">
        <v>13318</v>
      </c>
      <c r="C100" t="s">
        <v>13248</v>
      </c>
      <c r="D100">
        <v>3616</v>
      </c>
      <c r="E100">
        <v>3628</v>
      </c>
      <c r="F100">
        <v>0</v>
      </c>
      <c r="G100" s="13">
        <v>0.93799999999999994</v>
      </c>
      <c r="H100" t="s">
        <v>25</v>
      </c>
      <c r="I100">
        <v>2</v>
      </c>
      <c r="J100">
        <v>1074</v>
      </c>
      <c r="K100" t="str">
        <f t="shared" si="1"/>
        <v>Filtered out</v>
      </c>
    </row>
    <row r="101" spans="1:11" x14ac:dyDescent="0.2">
      <c r="A101" t="s">
        <v>13388</v>
      </c>
      <c r="B101" t="s">
        <v>13266</v>
      </c>
      <c r="C101" t="s">
        <v>13246</v>
      </c>
      <c r="D101">
        <v>400</v>
      </c>
      <c r="E101">
        <v>670</v>
      </c>
      <c r="F101">
        <v>-40</v>
      </c>
      <c r="G101" s="13">
        <v>0.88</v>
      </c>
      <c r="H101" t="s">
        <v>25</v>
      </c>
      <c r="I101">
        <v>1</v>
      </c>
      <c r="J101">
        <v>27</v>
      </c>
      <c r="K101" t="str">
        <f t="shared" si="1"/>
        <v>Filtered out</v>
      </c>
    </row>
    <row r="102" spans="1:11" x14ac:dyDescent="0.2">
      <c r="A102" t="s">
        <v>13389</v>
      </c>
      <c r="B102" t="s">
        <v>13390</v>
      </c>
      <c r="C102" t="s">
        <v>13390</v>
      </c>
      <c r="D102">
        <v>1477</v>
      </c>
      <c r="E102">
        <v>1432</v>
      </c>
      <c r="F102">
        <v>3</v>
      </c>
      <c r="G102" s="13">
        <v>0.97899999999999998</v>
      </c>
      <c r="H102" t="s">
        <v>25</v>
      </c>
      <c r="I102">
        <v>1</v>
      </c>
      <c r="J102">
        <v>461</v>
      </c>
      <c r="K102" t="str">
        <f t="shared" si="1"/>
        <v>Retained</v>
      </c>
    </row>
    <row r="103" spans="1:11" x14ac:dyDescent="0.2">
      <c r="A103" t="s">
        <v>13391</v>
      </c>
      <c r="B103" t="s">
        <v>13369</v>
      </c>
      <c r="C103" t="s">
        <v>13385</v>
      </c>
      <c r="D103">
        <v>2593</v>
      </c>
      <c r="E103">
        <v>4006</v>
      </c>
      <c r="F103">
        <v>-35</v>
      </c>
      <c r="G103" s="13">
        <v>0.97799999999999998</v>
      </c>
      <c r="H103" t="s">
        <v>25</v>
      </c>
      <c r="I103">
        <v>2</v>
      </c>
      <c r="J103">
        <v>226</v>
      </c>
      <c r="K103" t="str">
        <f t="shared" si="1"/>
        <v>Filtered out</v>
      </c>
    </row>
    <row r="104" spans="1:11" x14ac:dyDescent="0.2">
      <c r="A104" t="s">
        <v>13392</v>
      </c>
      <c r="B104" t="s">
        <v>13312</v>
      </c>
      <c r="C104" t="s">
        <v>13312</v>
      </c>
      <c r="D104">
        <v>853</v>
      </c>
      <c r="E104">
        <v>853</v>
      </c>
      <c r="F104">
        <v>0</v>
      </c>
      <c r="G104" s="13">
        <v>0.93</v>
      </c>
      <c r="H104" t="s">
        <v>25</v>
      </c>
      <c r="I104">
        <v>1</v>
      </c>
      <c r="J104">
        <v>145</v>
      </c>
      <c r="K104" t="str">
        <f t="shared" si="1"/>
        <v>Retained</v>
      </c>
    </row>
    <row r="105" spans="1:11" x14ac:dyDescent="0.2">
      <c r="A105" t="s">
        <v>13393</v>
      </c>
      <c r="B105" t="s">
        <v>13394</v>
      </c>
      <c r="C105" t="s">
        <v>13316</v>
      </c>
      <c r="D105">
        <v>262</v>
      </c>
      <c r="E105">
        <v>253</v>
      </c>
      <c r="F105">
        <v>3</v>
      </c>
      <c r="G105" s="13">
        <v>0.88200000000000001</v>
      </c>
      <c r="H105" t="s">
        <v>25</v>
      </c>
      <c r="I105">
        <v>1</v>
      </c>
      <c r="J105">
        <v>85</v>
      </c>
      <c r="K105" t="str">
        <f t="shared" si="1"/>
        <v>Filtered out</v>
      </c>
    </row>
    <row r="106" spans="1:11" x14ac:dyDescent="0.2">
      <c r="A106" t="s">
        <v>13395</v>
      </c>
      <c r="B106" t="s">
        <v>13245</v>
      </c>
      <c r="C106" t="s">
        <v>13246</v>
      </c>
      <c r="D106">
        <v>220</v>
      </c>
      <c r="E106">
        <v>307</v>
      </c>
      <c r="F106">
        <v>-28</v>
      </c>
      <c r="G106" s="13">
        <v>0.26400000000000001</v>
      </c>
      <c r="H106" t="s">
        <v>70</v>
      </c>
      <c r="I106">
        <v>0</v>
      </c>
      <c r="J106" t="s">
        <v>190</v>
      </c>
      <c r="K106" t="str">
        <f t="shared" si="1"/>
        <v>Filtered out</v>
      </c>
    </row>
    <row r="107" spans="1:11" x14ac:dyDescent="0.2">
      <c r="A107" t="s">
        <v>13396</v>
      </c>
      <c r="B107" t="s">
        <v>13397</v>
      </c>
      <c r="C107" t="s">
        <v>13246</v>
      </c>
      <c r="D107">
        <v>238</v>
      </c>
      <c r="E107">
        <v>3076</v>
      </c>
      <c r="F107">
        <v>-92</v>
      </c>
      <c r="G107" s="13">
        <v>0.27900000000000003</v>
      </c>
      <c r="H107" t="s">
        <v>70</v>
      </c>
      <c r="I107">
        <v>0</v>
      </c>
      <c r="J107" t="s">
        <v>190</v>
      </c>
      <c r="K107" t="str">
        <f t="shared" si="1"/>
        <v>Filtered out</v>
      </c>
    </row>
    <row r="108" spans="1:11" x14ac:dyDescent="0.2">
      <c r="A108" t="s">
        <v>13398</v>
      </c>
      <c r="B108" t="s">
        <v>13246</v>
      </c>
      <c r="C108" t="s">
        <v>13246</v>
      </c>
      <c r="D108">
        <v>409</v>
      </c>
      <c r="E108">
        <v>1570</v>
      </c>
      <c r="F108">
        <v>-73</v>
      </c>
      <c r="G108" s="13">
        <v>0.97799999999999998</v>
      </c>
      <c r="H108" t="s">
        <v>70</v>
      </c>
      <c r="I108">
        <v>0</v>
      </c>
      <c r="J108" t="s">
        <v>190</v>
      </c>
      <c r="K108" t="str">
        <f t="shared" si="1"/>
        <v>Filtered out</v>
      </c>
    </row>
    <row r="109" spans="1:11" x14ac:dyDescent="0.2">
      <c r="A109" t="s">
        <v>13399</v>
      </c>
      <c r="B109" t="s">
        <v>13246</v>
      </c>
      <c r="C109" t="s">
        <v>13246</v>
      </c>
      <c r="D109">
        <v>181</v>
      </c>
      <c r="E109">
        <v>298</v>
      </c>
      <c r="F109">
        <v>-39</v>
      </c>
      <c r="G109" s="13">
        <v>0.9</v>
      </c>
      <c r="H109" t="s">
        <v>70</v>
      </c>
      <c r="I109">
        <v>0</v>
      </c>
      <c r="J109" t="s">
        <v>190</v>
      </c>
      <c r="K109" t="str">
        <f t="shared" si="1"/>
        <v>Filtered out</v>
      </c>
    </row>
    <row r="110" spans="1:11" x14ac:dyDescent="0.2">
      <c r="A110" t="s">
        <v>13400</v>
      </c>
      <c r="B110" t="s">
        <v>13401</v>
      </c>
      <c r="C110" t="s">
        <v>13401</v>
      </c>
      <c r="D110">
        <v>775</v>
      </c>
      <c r="E110">
        <v>775</v>
      </c>
      <c r="F110">
        <v>0</v>
      </c>
      <c r="G110" s="13">
        <v>0.98099999999999998</v>
      </c>
      <c r="H110" t="s">
        <v>25</v>
      </c>
      <c r="I110">
        <v>1</v>
      </c>
      <c r="J110">
        <v>5</v>
      </c>
      <c r="K110" t="str">
        <f t="shared" si="1"/>
        <v>Retained</v>
      </c>
    </row>
    <row r="111" spans="1:11" x14ac:dyDescent="0.2">
      <c r="A111" t="s">
        <v>13402</v>
      </c>
      <c r="B111" t="s">
        <v>13295</v>
      </c>
      <c r="C111" t="s">
        <v>13246</v>
      </c>
      <c r="D111">
        <v>1459</v>
      </c>
      <c r="E111">
        <v>2044</v>
      </c>
      <c r="F111">
        <v>-28</v>
      </c>
      <c r="G111" s="13">
        <v>0.94399999999999995</v>
      </c>
      <c r="H111" t="s">
        <v>25</v>
      </c>
      <c r="I111">
        <v>1</v>
      </c>
      <c r="J111">
        <v>17</v>
      </c>
      <c r="K111" t="str">
        <f t="shared" si="1"/>
        <v>Filtered out</v>
      </c>
    </row>
    <row r="112" spans="1:11" x14ac:dyDescent="0.2">
      <c r="A112" t="s">
        <v>13403</v>
      </c>
      <c r="B112" t="s">
        <v>13308</v>
      </c>
      <c r="C112" t="s">
        <v>13377</v>
      </c>
      <c r="D112">
        <v>304</v>
      </c>
      <c r="E112">
        <v>400</v>
      </c>
      <c r="F112">
        <v>-24</v>
      </c>
      <c r="G112" s="13">
        <v>0.96</v>
      </c>
      <c r="H112" t="s">
        <v>25</v>
      </c>
      <c r="I112">
        <v>6</v>
      </c>
      <c r="J112">
        <v>18</v>
      </c>
      <c r="K112" t="str">
        <f t="shared" si="1"/>
        <v>Filtered out</v>
      </c>
    </row>
    <row r="113" spans="1:11" x14ac:dyDescent="0.2">
      <c r="A113" t="s">
        <v>13404</v>
      </c>
      <c r="B113" t="s">
        <v>13304</v>
      </c>
      <c r="C113" t="s">
        <v>13405</v>
      </c>
      <c r="D113">
        <v>1327</v>
      </c>
      <c r="E113">
        <v>1183</v>
      </c>
      <c r="F113">
        <v>12</v>
      </c>
      <c r="G113" s="13">
        <v>0.995</v>
      </c>
      <c r="H113" t="s">
        <v>25</v>
      </c>
      <c r="I113">
        <v>1</v>
      </c>
      <c r="J113">
        <v>49</v>
      </c>
      <c r="K113" t="str">
        <f t="shared" si="1"/>
        <v>Filtered out</v>
      </c>
    </row>
    <row r="114" spans="1:11" x14ac:dyDescent="0.2">
      <c r="A114" t="s">
        <v>13406</v>
      </c>
      <c r="B114" t="s">
        <v>13254</v>
      </c>
      <c r="C114" t="s">
        <v>13246</v>
      </c>
      <c r="D114">
        <v>832</v>
      </c>
      <c r="E114">
        <v>2269</v>
      </c>
      <c r="F114">
        <v>-63</v>
      </c>
      <c r="G114" s="13">
        <v>0.98599999999999999</v>
      </c>
      <c r="H114" t="s">
        <v>70</v>
      </c>
      <c r="I114">
        <v>0</v>
      </c>
      <c r="J114" t="s">
        <v>190</v>
      </c>
      <c r="K114" t="str">
        <f t="shared" si="1"/>
        <v>Filtered out</v>
      </c>
    </row>
    <row r="115" spans="1:11" x14ac:dyDescent="0.2">
      <c r="A115" t="s">
        <v>13407</v>
      </c>
      <c r="B115" t="s">
        <v>13263</v>
      </c>
      <c r="C115" t="s">
        <v>13263</v>
      </c>
      <c r="D115">
        <v>2659</v>
      </c>
      <c r="E115">
        <v>3601</v>
      </c>
      <c r="F115">
        <v>-26</v>
      </c>
      <c r="G115" s="13">
        <v>0.83499999999999996</v>
      </c>
      <c r="H115" t="s">
        <v>25</v>
      </c>
      <c r="I115">
        <v>1</v>
      </c>
      <c r="J115">
        <v>605</v>
      </c>
      <c r="K115" t="str">
        <f t="shared" si="1"/>
        <v>Filtered out</v>
      </c>
    </row>
    <row r="116" spans="1:11" x14ac:dyDescent="0.2">
      <c r="A116" t="s">
        <v>13408</v>
      </c>
      <c r="B116" t="s">
        <v>13371</v>
      </c>
      <c r="C116" t="s">
        <v>13371</v>
      </c>
      <c r="D116">
        <v>181</v>
      </c>
      <c r="E116">
        <v>898</v>
      </c>
      <c r="F116">
        <v>-79</v>
      </c>
      <c r="G116" s="13">
        <v>1</v>
      </c>
      <c r="H116" t="s">
        <v>70</v>
      </c>
      <c r="I116">
        <v>0</v>
      </c>
      <c r="J116" t="s">
        <v>190</v>
      </c>
      <c r="K116" t="str">
        <f t="shared" si="1"/>
        <v>Filtered out</v>
      </c>
    </row>
    <row r="117" spans="1:11" x14ac:dyDescent="0.2">
      <c r="A117" t="s">
        <v>13409</v>
      </c>
      <c r="B117" t="s">
        <v>13410</v>
      </c>
      <c r="C117" t="s">
        <v>13246</v>
      </c>
      <c r="D117">
        <v>2431</v>
      </c>
      <c r="E117">
        <v>2539</v>
      </c>
      <c r="F117">
        <v>-4</v>
      </c>
      <c r="G117" s="13">
        <v>0.97799999999999998</v>
      </c>
      <c r="H117" t="s">
        <v>25</v>
      </c>
      <c r="I117">
        <v>1</v>
      </c>
      <c r="J117">
        <v>283</v>
      </c>
      <c r="K117" t="str">
        <f t="shared" si="1"/>
        <v>Filtered out</v>
      </c>
    </row>
    <row r="118" spans="1:11" x14ac:dyDescent="0.2">
      <c r="A118" t="s">
        <v>13411</v>
      </c>
      <c r="B118" t="s">
        <v>13412</v>
      </c>
      <c r="C118" t="s">
        <v>13412</v>
      </c>
      <c r="D118">
        <v>367</v>
      </c>
      <c r="E118">
        <v>475</v>
      </c>
      <c r="F118">
        <v>-22</v>
      </c>
      <c r="G118" s="13">
        <v>0.98399999999999999</v>
      </c>
      <c r="H118" t="s">
        <v>25</v>
      </c>
      <c r="I118">
        <v>1</v>
      </c>
      <c r="J118">
        <v>11</v>
      </c>
      <c r="K118" t="str">
        <f t="shared" si="1"/>
        <v>Filtered out</v>
      </c>
    </row>
    <row r="119" spans="1:11" x14ac:dyDescent="0.2">
      <c r="A119" t="s">
        <v>13413</v>
      </c>
      <c r="B119" t="s">
        <v>13414</v>
      </c>
      <c r="C119" t="s">
        <v>13246</v>
      </c>
      <c r="D119">
        <v>238</v>
      </c>
      <c r="E119">
        <v>499</v>
      </c>
      <c r="F119">
        <v>-52</v>
      </c>
      <c r="G119" s="13">
        <v>1</v>
      </c>
      <c r="H119" t="s">
        <v>70</v>
      </c>
      <c r="I119">
        <v>0</v>
      </c>
      <c r="J119" t="s">
        <v>190</v>
      </c>
      <c r="K119" t="str">
        <f t="shared" si="1"/>
        <v>Filtered out</v>
      </c>
    </row>
    <row r="120" spans="1:11" x14ac:dyDescent="0.2">
      <c r="A120" t="s">
        <v>13415</v>
      </c>
      <c r="B120" t="s">
        <v>13414</v>
      </c>
      <c r="C120" t="s">
        <v>13246</v>
      </c>
      <c r="D120">
        <v>121</v>
      </c>
      <c r="E120">
        <v>298</v>
      </c>
      <c r="F120">
        <v>-59</v>
      </c>
      <c r="G120" s="13">
        <v>1</v>
      </c>
      <c r="H120" t="s">
        <v>70</v>
      </c>
      <c r="I120">
        <v>0</v>
      </c>
      <c r="J120" t="s">
        <v>190</v>
      </c>
      <c r="K120" t="str">
        <f t="shared" si="1"/>
        <v>Filtered out</v>
      </c>
    </row>
    <row r="121" spans="1:11" x14ac:dyDescent="0.2">
      <c r="A121" t="s">
        <v>13416</v>
      </c>
      <c r="B121" t="s">
        <v>13417</v>
      </c>
      <c r="C121" t="s">
        <v>13418</v>
      </c>
      <c r="D121">
        <v>139</v>
      </c>
      <c r="E121">
        <v>283</v>
      </c>
      <c r="F121">
        <v>-50</v>
      </c>
      <c r="G121" s="13">
        <v>0.95699999999999996</v>
      </c>
      <c r="H121" t="s">
        <v>70</v>
      </c>
      <c r="I121">
        <v>0</v>
      </c>
      <c r="J121" t="s">
        <v>190</v>
      </c>
      <c r="K121" t="str">
        <f t="shared" si="1"/>
        <v>Filtered out</v>
      </c>
    </row>
    <row r="122" spans="1:11" x14ac:dyDescent="0.2">
      <c r="A122" t="s">
        <v>13419</v>
      </c>
      <c r="B122" t="s">
        <v>13246</v>
      </c>
      <c r="C122" t="s">
        <v>13246</v>
      </c>
      <c r="D122">
        <v>1144</v>
      </c>
      <c r="E122">
        <v>1147</v>
      </c>
      <c r="F122">
        <v>0</v>
      </c>
      <c r="G122" s="13">
        <v>0.99199999999999999</v>
      </c>
      <c r="H122" t="s">
        <v>25</v>
      </c>
      <c r="I122">
        <v>1</v>
      </c>
      <c r="J122">
        <v>369</v>
      </c>
      <c r="K122" t="str">
        <f t="shared" si="1"/>
        <v>Retained</v>
      </c>
    </row>
    <row r="123" spans="1:11" x14ac:dyDescent="0.2">
      <c r="A123" t="s">
        <v>13420</v>
      </c>
      <c r="B123" t="s">
        <v>13421</v>
      </c>
      <c r="C123" t="s">
        <v>13246</v>
      </c>
      <c r="D123">
        <v>148</v>
      </c>
      <c r="E123">
        <v>697</v>
      </c>
      <c r="F123">
        <v>-78</v>
      </c>
      <c r="G123" s="13">
        <v>0.75800000000000001</v>
      </c>
      <c r="H123" t="s">
        <v>70</v>
      </c>
      <c r="I123">
        <v>0</v>
      </c>
      <c r="J123" t="s">
        <v>190</v>
      </c>
      <c r="K123" t="str">
        <f t="shared" si="1"/>
        <v>Filtered out</v>
      </c>
    </row>
    <row r="124" spans="1:11" x14ac:dyDescent="0.2">
      <c r="A124" t="s">
        <v>13422</v>
      </c>
      <c r="B124" t="s">
        <v>13312</v>
      </c>
      <c r="C124" t="s">
        <v>13368</v>
      </c>
      <c r="D124">
        <v>154</v>
      </c>
      <c r="E124">
        <v>232</v>
      </c>
      <c r="F124">
        <v>-33</v>
      </c>
      <c r="G124" s="13">
        <v>0.98</v>
      </c>
      <c r="H124" t="s">
        <v>70</v>
      </c>
      <c r="I124">
        <v>0</v>
      </c>
      <c r="J124" t="s">
        <v>190</v>
      </c>
      <c r="K124" t="str">
        <f t="shared" si="1"/>
        <v>Filtered out</v>
      </c>
    </row>
    <row r="125" spans="1:11" x14ac:dyDescent="0.2">
      <c r="A125" t="s">
        <v>13423</v>
      </c>
      <c r="B125" t="s">
        <v>13283</v>
      </c>
      <c r="C125" t="s">
        <v>13385</v>
      </c>
      <c r="D125">
        <v>253</v>
      </c>
      <c r="E125">
        <v>931</v>
      </c>
      <c r="F125">
        <v>-72</v>
      </c>
      <c r="G125" s="13">
        <v>0.98799999999999999</v>
      </c>
      <c r="H125" t="s">
        <v>70</v>
      </c>
      <c r="I125">
        <v>0</v>
      </c>
      <c r="J125" t="s">
        <v>190</v>
      </c>
      <c r="K125" t="str">
        <f t="shared" si="1"/>
        <v>Filtered out</v>
      </c>
    </row>
    <row r="126" spans="1:11" x14ac:dyDescent="0.2">
      <c r="A126" t="s">
        <v>37</v>
      </c>
      <c r="B126" t="s">
        <v>13373</v>
      </c>
      <c r="C126" t="s">
        <v>13246</v>
      </c>
      <c r="D126">
        <v>811</v>
      </c>
      <c r="E126">
        <v>1054</v>
      </c>
      <c r="F126">
        <v>-23</v>
      </c>
      <c r="G126" s="13">
        <v>0.97399999999999998</v>
      </c>
      <c r="H126" t="s">
        <v>25</v>
      </c>
      <c r="I126">
        <v>1</v>
      </c>
      <c r="J126">
        <v>83</v>
      </c>
      <c r="K126" t="str">
        <f t="shared" si="1"/>
        <v>Filtered out</v>
      </c>
    </row>
    <row r="127" spans="1:11" x14ac:dyDescent="0.2">
      <c r="A127" t="s">
        <v>13425</v>
      </c>
      <c r="B127" t="s">
        <v>13421</v>
      </c>
      <c r="C127" t="s">
        <v>13421</v>
      </c>
      <c r="D127">
        <v>1012</v>
      </c>
      <c r="E127">
        <v>1012</v>
      </c>
      <c r="F127">
        <v>0</v>
      </c>
      <c r="G127" s="13">
        <v>1</v>
      </c>
      <c r="H127" t="s">
        <v>25</v>
      </c>
      <c r="I127">
        <v>1</v>
      </c>
      <c r="J127">
        <v>4</v>
      </c>
      <c r="K127" t="str">
        <f t="shared" si="1"/>
        <v>Filtered out</v>
      </c>
    </row>
    <row r="128" spans="1:11" x14ac:dyDescent="0.2">
      <c r="A128" t="s">
        <v>13426</v>
      </c>
      <c r="B128" t="s">
        <v>13246</v>
      </c>
      <c r="C128" t="s">
        <v>13246</v>
      </c>
      <c r="D128">
        <v>646</v>
      </c>
      <c r="E128">
        <v>349</v>
      </c>
      <c r="F128">
        <v>85</v>
      </c>
      <c r="G128" s="13">
        <v>1</v>
      </c>
      <c r="H128" t="s">
        <v>25</v>
      </c>
      <c r="I128">
        <v>1</v>
      </c>
      <c r="J128">
        <v>209</v>
      </c>
      <c r="K128" t="str">
        <f t="shared" si="1"/>
        <v>Filtered out</v>
      </c>
    </row>
    <row r="129" spans="1:11" x14ac:dyDescent="0.2">
      <c r="A129" t="s">
        <v>13427</v>
      </c>
      <c r="B129" t="s">
        <v>13428</v>
      </c>
      <c r="C129" t="s">
        <v>13246</v>
      </c>
      <c r="D129">
        <v>14323</v>
      </c>
      <c r="E129">
        <v>16765</v>
      </c>
      <c r="F129">
        <v>-14</v>
      </c>
      <c r="G129" s="13">
        <v>0.98899999999999999</v>
      </c>
      <c r="H129" t="s">
        <v>25</v>
      </c>
      <c r="I129">
        <v>2</v>
      </c>
      <c r="J129">
        <v>8</v>
      </c>
      <c r="K129" t="str">
        <f t="shared" si="1"/>
        <v>Filtered out</v>
      </c>
    </row>
    <row r="130" spans="1:11" x14ac:dyDescent="0.2">
      <c r="A130" t="s">
        <v>13429</v>
      </c>
      <c r="B130" t="s">
        <v>13394</v>
      </c>
      <c r="C130" t="s">
        <v>13394</v>
      </c>
      <c r="D130">
        <v>2998</v>
      </c>
      <c r="E130">
        <v>2986</v>
      </c>
      <c r="F130">
        <v>0</v>
      </c>
      <c r="G130" s="13">
        <v>0.97499999999999998</v>
      </c>
      <c r="H130" t="s">
        <v>25</v>
      </c>
      <c r="I130">
        <v>1</v>
      </c>
      <c r="J130">
        <v>349</v>
      </c>
      <c r="K130" t="str">
        <f t="shared" si="1"/>
        <v>Retained</v>
      </c>
    </row>
    <row r="131" spans="1:11" x14ac:dyDescent="0.2">
      <c r="A131" t="s">
        <v>13430</v>
      </c>
      <c r="B131" t="s">
        <v>13337</v>
      </c>
      <c r="C131" t="s">
        <v>13418</v>
      </c>
      <c r="D131">
        <v>388</v>
      </c>
      <c r="E131">
        <v>709</v>
      </c>
      <c r="F131">
        <v>-45</v>
      </c>
      <c r="G131" s="13">
        <v>0.81399999999999995</v>
      </c>
      <c r="H131" t="s">
        <v>25</v>
      </c>
      <c r="I131">
        <v>1</v>
      </c>
      <c r="J131">
        <v>87</v>
      </c>
      <c r="K131" t="str">
        <f t="shared" si="1"/>
        <v>Filtered out</v>
      </c>
    </row>
    <row r="132" spans="1:11" x14ac:dyDescent="0.2">
      <c r="A132" t="s">
        <v>13431</v>
      </c>
      <c r="B132" t="s">
        <v>13355</v>
      </c>
      <c r="C132" t="s">
        <v>13246</v>
      </c>
      <c r="D132">
        <v>3319</v>
      </c>
      <c r="E132">
        <v>3412</v>
      </c>
      <c r="F132">
        <v>-2</v>
      </c>
      <c r="G132" s="13">
        <v>0.97599999999999998</v>
      </c>
      <c r="H132" t="s">
        <v>25</v>
      </c>
      <c r="I132">
        <v>1</v>
      </c>
      <c r="J132">
        <v>635</v>
      </c>
      <c r="K132" t="str">
        <f t="shared" si="1"/>
        <v>Filtered out</v>
      </c>
    </row>
    <row r="133" spans="1:11" x14ac:dyDescent="0.2">
      <c r="A133" t="s">
        <v>13432</v>
      </c>
      <c r="B133" t="s">
        <v>13248</v>
      </c>
      <c r="C133" t="s">
        <v>13246</v>
      </c>
      <c r="D133">
        <v>595</v>
      </c>
      <c r="E133">
        <v>1414</v>
      </c>
      <c r="F133">
        <v>-57</v>
      </c>
      <c r="G133" s="13">
        <v>0.90800000000000003</v>
      </c>
      <c r="H133" t="s">
        <v>25</v>
      </c>
      <c r="I133">
        <v>1</v>
      </c>
      <c r="J133">
        <v>190</v>
      </c>
      <c r="K133" t="str">
        <f t="shared" si="1"/>
        <v>Filtered out</v>
      </c>
    </row>
    <row r="134" spans="1:11" x14ac:dyDescent="0.2">
      <c r="A134" t="s">
        <v>56</v>
      </c>
      <c r="B134" t="s">
        <v>13246</v>
      </c>
      <c r="C134" t="s">
        <v>13246</v>
      </c>
      <c r="D134">
        <v>1066</v>
      </c>
      <c r="E134">
        <v>1063</v>
      </c>
      <c r="F134">
        <v>0</v>
      </c>
      <c r="G134" s="13">
        <v>0.99199999999999999</v>
      </c>
      <c r="H134" t="s">
        <v>25</v>
      </c>
      <c r="I134">
        <v>1</v>
      </c>
      <c r="J134">
        <v>325</v>
      </c>
      <c r="K134" t="str">
        <f t="shared" si="1"/>
        <v>Retained</v>
      </c>
    </row>
    <row r="135" spans="1:11" x14ac:dyDescent="0.2">
      <c r="A135" t="s">
        <v>13434</v>
      </c>
      <c r="B135" t="s">
        <v>13318</v>
      </c>
      <c r="C135" t="s">
        <v>13318</v>
      </c>
      <c r="D135">
        <v>1039</v>
      </c>
      <c r="E135">
        <v>1039</v>
      </c>
      <c r="F135">
        <v>0</v>
      </c>
      <c r="G135" s="13">
        <v>0.97099999999999997</v>
      </c>
      <c r="H135" t="s">
        <v>25</v>
      </c>
      <c r="I135">
        <v>2</v>
      </c>
      <c r="J135">
        <v>247</v>
      </c>
      <c r="K135" t="str">
        <f t="shared" si="1"/>
        <v>Retained</v>
      </c>
    </row>
    <row r="136" spans="1:11" x14ac:dyDescent="0.2">
      <c r="A136" t="s">
        <v>13435</v>
      </c>
      <c r="B136" t="s">
        <v>13318</v>
      </c>
      <c r="C136" t="s">
        <v>13318</v>
      </c>
      <c r="D136">
        <v>1153</v>
      </c>
      <c r="E136">
        <v>1153</v>
      </c>
      <c r="F136">
        <v>0</v>
      </c>
      <c r="G136" s="13">
        <v>0.995</v>
      </c>
      <c r="H136" t="s">
        <v>25</v>
      </c>
      <c r="I136">
        <v>1</v>
      </c>
      <c r="J136">
        <v>152</v>
      </c>
      <c r="K136" t="str">
        <f t="shared" ref="K136:K199" si="2">IF(AND(B136=C136,F136&lt;10,F136&gt;-10,I136&gt;0,G136&gt;90%,G136&lt;100%),"Retained","Filtered out")</f>
        <v>Retained</v>
      </c>
    </row>
    <row r="137" spans="1:11" x14ac:dyDescent="0.2">
      <c r="A137" t="s">
        <v>13436</v>
      </c>
      <c r="B137" t="s">
        <v>13346</v>
      </c>
      <c r="C137" t="s">
        <v>13346</v>
      </c>
      <c r="D137">
        <v>217</v>
      </c>
      <c r="E137">
        <v>265</v>
      </c>
      <c r="F137">
        <v>-18</v>
      </c>
      <c r="G137" s="13">
        <v>1</v>
      </c>
      <c r="H137" t="s">
        <v>70</v>
      </c>
      <c r="I137">
        <v>0</v>
      </c>
      <c r="J137" t="s">
        <v>190</v>
      </c>
      <c r="K137" t="str">
        <f t="shared" si="2"/>
        <v>Filtered out</v>
      </c>
    </row>
    <row r="138" spans="1:11" x14ac:dyDescent="0.2">
      <c r="A138" t="s">
        <v>13437</v>
      </c>
      <c r="B138" t="s">
        <v>13337</v>
      </c>
      <c r="C138" t="s">
        <v>13246</v>
      </c>
      <c r="D138">
        <v>1999</v>
      </c>
      <c r="E138">
        <v>2059</v>
      </c>
      <c r="F138">
        <v>-2</v>
      </c>
      <c r="G138" s="13">
        <v>0.99199999999999999</v>
      </c>
      <c r="H138" t="s">
        <v>25</v>
      </c>
      <c r="I138">
        <v>1</v>
      </c>
      <c r="J138">
        <v>3</v>
      </c>
      <c r="K138" t="str">
        <f t="shared" si="2"/>
        <v>Filtered out</v>
      </c>
    </row>
    <row r="139" spans="1:11" x14ac:dyDescent="0.2">
      <c r="A139" t="s">
        <v>13438</v>
      </c>
      <c r="B139" t="s">
        <v>13246</v>
      </c>
      <c r="C139" t="s">
        <v>13246</v>
      </c>
      <c r="D139">
        <v>139</v>
      </c>
      <c r="E139">
        <v>250</v>
      </c>
      <c r="F139">
        <v>-44</v>
      </c>
      <c r="G139" s="13">
        <v>0.95699999999999996</v>
      </c>
      <c r="H139" t="s">
        <v>70</v>
      </c>
      <c r="I139">
        <v>0</v>
      </c>
      <c r="J139" t="s">
        <v>190</v>
      </c>
      <c r="K139" t="str">
        <f t="shared" si="2"/>
        <v>Filtered out</v>
      </c>
    </row>
    <row r="140" spans="1:11" x14ac:dyDescent="0.2">
      <c r="A140" t="s">
        <v>7</v>
      </c>
      <c r="B140" t="s">
        <v>13246</v>
      </c>
      <c r="C140" t="s">
        <v>13246</v>
      </c>
      <c r="D140">
        <v>1075</v>
      </c>
      <c r="E140">
        <v>1075</v>
      </c>
      <c r="F140">
        <v>0</v>
      </c>
      <c r="G140" s="13">
        <v>0.98</v>
      </c>
      <c r="H140" t="s">
        <v>25</v>
      </c>
      <c r="I140">
        <v>1</v>
      </c>
      <c r="J140">
        <v>161</v>
      </c>
      <c r="K140" t="str">
        <f t="shared" si="2"/>
        <v>Retained</v>
      </c>
    </row>
    <row r="141" spans="1:11" x14ac:dyDescent="0.2">
      <c r="A141" t="s">
        <v>13440</v>
      </c>
      <c r="B141" t="s">
        <v>13385</v>
      </c>
      <c r="C141" t="s">
        <v>13385</v>
      </c>
      <c r="D141">
        <v>436</v>
      </c>
      <c r="E141">
        <v>871</v>
      </c>
      <c r="F141">
        <v>-49</v>
      </c>
      <c r="G141" s="13">
        <v>0.86099999999999999</v>
      </c>
      <c r="H141" t="s">
        <v>25</v>
      </c>
      <c r="I141">
        <v>1</v>
      </c>
      <c r="J141">
        <v>27</v>
      </c>
      <c r="K141" t="str">
        <f t="shared" si="2"/>
        <v>Filtered out</v>
      </c>
    </row>
    <row r="142" spans="1:11" x14ac:dyDescent="0.2">
      <c r="A142" t="s">
        <v>13441</v>
      </c>
      <c r="B142" t="s">
        <v>13442</v>
      </c>
      <c r="C142" t="s">
        <v>13246</v>
      </c>
      <c r="D142">
        <v>868</v>
      </c>
      <c r="E142">
        <v>868</v>
      </c>
      <c r="F142">
        <v>0</v>
      </c>
      <c r="G142" s="13">
        <v>0.96499999999999997</v>
      </c>
      <c r="H142" t="s">
        <v>25</v>
      </c>
      <c r="I142">
        <v>1</v>
      </c>
      <c r="J142">
        <v>102</v>
      </c>
      <c r="K142" t="str">
        <f t="shared" si="2"/>
        <v>Filtered out</v>
      </c>
    </row>
    <row r="143" spans="1:11" x14ac:dyDescent="0.2">
      <c r="A143" t="s">
        <v>13443</v>
      </c>
      <c r="B143" t="s">
        <v>13373</v>
      </c>
      <c r="C143" t="s">
        <v>13373</v>
      </c>
      <c r="D143">
        <v>3880</v>
      </c>
      <c r="E143">
        <v>3952</v>
      </c>
      <c r="F143">
        <v>-1</v>
      </c>
      <c r="G143" s="13">
        <v>0.98399999999999999</v>
      </c>
      <c r="H143" t="s">
        <v>25</v>
      </c>
      <c r="I143">
        <v>1</v>
      </c>
      <c r="J143">
        <v>664</v>
      </c>
      <c r="K143" t="str">
        <f t="shared" si="2"/>
        <v>Retained</v>
      </c>
    </row>
    <row r="144" spans="1:11" x14ac:dyDescent="0.2">
      <c r="A144" t="s">
        <v>13444</v>
      </c>
      <c r="B144" t="s">
        <v>13246</v>
      </c>
      <c r="C144" t="s">
        <v>13246</v>
      </c>
      <c r="D144">
        <v>1372</v>
      </c>
      <c r="E144">
        <v>1375</v>
      </c>
      <c r="F144">
        <v>0</v>
      </c>
      <c r="G144" s="13">
        <v>0.95899999999999996</v>
      </c>
      <c r="H144" t="s">
        <v>25</v>
      </c>
      <c r="I144">
        <v>2</v>
      </c>
      <c r="J144">
        <v>139</v>
      </c>
      <c r="K144" t="str">
        <f t="shared" si="2"/>
        <v>Retained</v>
      </c>
    </row>
    <row r="145" spans="1:11" x14ac:dyDescent="0.2">
      <c r="A145" t="s">
        <v>13445</v>
      </c>
      <c r="B145" t="s">
        <v>13446</v>
      </c>
      <c r="C145" t="s">
        <v>13246</v>
      </c>
      <c r="D145">
        <v>1759</v>
      </c>
      <c r="E145">
        <v>2152</v>
      </c>
      <c r="F145">
        <v>-18</v>
      </c>
      <c r="G145" s="13">
        <v>0.99099999999999999</v>
      </c>
      <c r="H145" t="s">
        <v>25</v>
      </c>
      <c r="I145">
        <v>1</v>
      </c>
      <c r="J145">
        <v>6</v>
      </c>
      <c r="K145" t="str">
        <f t="shared" si="2"/>
        <v>Filtered out</v>
      </c>
    </row>
    <row r="146" spans="1:11" x14ac:dyDescent="0.2">
      <c r="A146" t="s">
        <v>13447</v>
      </c>
      <c r="B146" t="s">
        <v>13246</v>
      </c>
      <c r="C146" t="s">
        <v>13246</v>
      </c>
      <c r="D146">
        <v>1174</v>
      </c>
      <c r="E146">
        <v>1177</v>
      </c>
      <c r="F146">
        <v>0</v>
      </c>
      <c r="G146" s="13">
        <v>0.92100000000000004</v>
      </c>
      <c r="H146" t="s">
        <v>25</v>
      </c>
      <c r="I146">
        <v>1</v>
      </c>
      <c r="J146">
        <v>250</v>
      </c>
      <c r="K146" t="str">
        <f t="shared" si="2"/>
        <v>Retained</v>
      </c>
    </row>
    <row r="147" spans="1:11" x14ac:dyDescent="0.2">
      <c r="A147" t="s">
        <v>13448</v>
      </c>
      <c r="B147" t="s">
        <v>13246</v>
      </c>
      <c r="C147" t="s">
        <v>13246</v>
      </c>
      <c r="D147">
        <v>2386</v>
      </c>
      <c r="E147">
        <v>2383</v>
      </c>
      <c r="F147">
        <v>0</v>
      </c>
      <c r="G147" s="13">
        <v>0.98199999999999998</v>
      </c>
      <c r="H147" t="s">
        <v>25</v>
      </c>
      <c r="I147">
        <v>1</v>
      </c>
      <c r="J147">
        <v>254</v>
      </c>
      <c r="K147" t="str">
        <f t="shared" si="2"/>
        <v>Retained</v>
      </c>
    </row>
    <row r="148" spans="1:11" x14ac:dyDescent="0.2">
      <c r="A148" t="s">
        <v>13449</v>
      </c>
      <c r="B148" t="s">
        <v>13450</v>
      </c>
      <c r="C148" t="s">
        <v>13254</v>
      </c>
      <c r="D148">
        <v>181</v>
      </c>
      <c r="E148">
        <v>718</v>
      </c>
      <c r="F148">
        <v>-74</v>
      </c>
      <c r="G148" s="13">
        <v>1</v>
      </c>
      <c r="H148" t="s">
        <v>70</v>
      </c>
      <c r="I148">
        <v>0</v>
      </c>
      <c r="J148" t="s">
        <v>190</v>
      </c>
      <c r="K148" t="str">
        <f t="shared" si="2"/>
        <v>Filtered out</v>
      </c>
    </row>
    <row r="149" spans="1:11" x14ac:dyDescent="0.2">
      <c r="A149" t="s">
        <v>13451</v>
      </c>
      <c r="B149" t="s">
        <v>13452</v>
      </c>
      <c r="C149" t="s">
        <v>13452</v>
      </c>
      <c r="D149">
        <v>1264</v>
      </c>
      <c r="E149">
        <v>1258</v>
      </c>
      <c r="F149">
        <v>0</v>
      </c>
      <c r="G149" s="13">
        <v>0.93600000000000005</v>
      </c>
      <c r="H149" t="s">
        <v>25</v>
      </c>
      <c r="I149">
        <v>2</v>
      </c>
      <c r="J149">
        <v>112</v>
      </c>
      <c r="K149" t="str">
        <f t="shared" si="2"/>
        <v>Retained</v>
      </c>
    </row>
    <row r="150" spans="1:11" x14ac:dyDescent="0.2">
      <c r="A150" t="s">
        <v>13453</v>
      </c>
      <c r="B150" t="s">
        <v>13373</v>
      </c>
      <c r="C150" t="s">
        <v>13373</v>
      </c>
      <c r="D150">
        <v>163</v>
      </c>
      <c r="E150">
        <v>607</v>
      </c>
      <c r="F150">
        <v>-73</v>
      </c>
      <c r="G150" s="13">
        <v>0.26100000000000001</v>
      </c>
      <c r="H150" t="s">
        <v>70</v>
      </c>
      <c r="I150">
        <v>0</v>
      </c>
      <c r="J150" t="s">
        <v>190</v>
      </c>
      <c r="K150" t="str">
        <f t="shared" si="2"/>
        <v>Filtered out</v>
      </c>
    </row>
    <row r="151" spans="1:11" x14ac:dyDescent="0.2">
      <c r="A151" t="s">
        <v>13454</v>
      </c>
      <c r="B151" t="s">
        <v>13252</v>
      </c>
      <c r="C151" t="s">
        <v>13246</v>
      </c>
      <c r="D151">
        <v>184</v>
      </c>
      <c r="E151">
        <v>304</v>
      </c>
      <c r="F151">
        <v>-39</v>
      </c>
      <c r="G151" s="13">
        <v>0.95</v>
      </c>
      <c r="H151" t="s">
        <v>70</v>
      </c>
      <c r="I151">
        <v>0</v>
      </c>
      <c r="J151" t="s">
        <v>190</v>
      </c>
      <c r="K151" t="str">
        <f t="shared" si="2"/>
        <v>Filtered out</v>
      </c>
    </row>
    <row r="152" spans="1:11" x14ac:dyDescent="0.2">
      <c r="A152" t="s">
        <v>13455</v>
      </c>
      <c r="B152" t="s">
        <v>13368</v>
      </c>
      <c r="C152" t="s">
        <v>13314</v>
      </c>
      <c r="D152">
        <v>196</v>
      </c>
      <c r="E152">
        <v>1093</v>
      </c>
      <c r="F152">
        <v>-82</v>
      </c>
      <c r="G152" s="13">
        <v>0.41899999999999998</v>
      </c>
      <c r="H152" t="s">
        <v>70</v>
      </c>
      <c r="I152">
        <v>0</v>
      </c>
      <c r="J152" t="s">
        <v>190</v>
      </c>
      <c r="K152" t="str">
        <f t="shared" si="2"/>
        <v>Filtered out</v>
      </c>
    </row>
    <row r="153" spans="1:11" x14ac:dyDescent="0.2">
      <c r="A153" t="s">
        <v>13456</v>
      </c>
      <c r="B153" t="s">
        <v>13246</v>
      </c>
      <c r="C153" t="s">
        <v>13246</v>
      </c>
      <c r="D153">
        <v>535</v>
      </c>
      <c r="E153">
        <v>535</v>
      </c>
      <c r="F153">
        <v>0</v>
      </c>
      <c r="G153" s="13">
        <v>0.98299999999999998</v>
      </c>
      <c r="H153" t="s">
        <v>25</v>
      </c>
      <c r="I153">
        <v>1</v>
      </c>
      <c r="J153">
        <v>53</v>
      </c>
      <c r="K153" t="str">
        <f t="shared" si="2"/>
        <v>Retained</v>
      </c>
    </row>
    <row r="154" spans="1:11" x14ac:dyDescent="0.2">
      <c r="A154" t="s">
        <v>13457</v>
      </c>
      <c r="B154" t="s">
        <v>13458</v>
      </c>
      <c r="C154" t="s">
        <v>13458</v>
      </c>
      <c r="D154">
        <v>664</v>
      </c>
      <c r="E154">
        <v>286</v>
      </c>
      <c r="F154">
        <v>132</v>
      </c>
      <c r="G154" s="13">
        <v>0.95599999999999996</v>
      </c>
      <c r="H154" t="s">
        <v>25</v>
      </c>
      <c r="I154">
        <v>1</v>
      </c>
      <c r="J154">
        <v>93</v>
      </c>
      <c r="K154" t="str">
        <f t="shared" si="2"/>
        <v>Filtered out</v>
      </c>
    </row>
    <row r="155" spans="1:11" x14ac:dyDescent="0.2">
      <c r="A155" t="s">
        <v>13459</v>
      </c>
      <c r="B155" t="s">
        <v>13458</v>
      </c>
      <c r="C155" t="s">
        <v>13458</v>
      </c>
      <c r="D155">
        <v>664</v>
      </c>
      <c r="E155">
        <v>286</v>
      </c>
      <c r="F155">
        <v>132</v>
      </c>
      <c r="G155" s="13">
        <v>0.95599999999999996</v>
      </c>
      <c r="H155" t="s">
        <v>25</v>
      </c>
      <c r="I155">
        <v>1</v>
      </c>
      <c r="J155">
        <v>93</v>
      </c>
      <c r="K155" t="str">
        <f t="shared" si="2"/>
        <v>Filtered out</v>
      </c>
    </row>
    <row r="156" spans="1:11" x14ac:dyDescent="0.2">
      <c r="A156" t="s">
        <v>13460</v>
      </c>
      <c r="B156" t="s">
        <v>13304</v>
      </c>
      <c r="C156" t="s">
        <v>13246</v>
      </c>
      <c r="D156">
        <v>3094</v>
      </c>
      <c r="E156">
        <v>3220</v>
      </c>
      <c r="F156">
        <v>-3</v>
      </c>
      <c r="G156" s="13">
        <v>0.873</v>
      </c>
      <c r="H156" t="s">
        <v>25</v>
      </c>
      <c r="I156">
        <v>3</v>
      </c>
      <c r="J156">
        <v>172</v>
      </c>
      <c r="K156" t="str">
        <f t="shared" si="2"/>
        <v>Filtered out</v>
      </c>
    </row>
    <row r="157" spans="1:11" x14ac:dyDescent="0.2">
      <c r="A157" t="s">
        <v>13461</v>
      </c>
      <c r="B157" t="s">
        <v>13246</v>
      </c>
      <c r="C157" t="s">
        <v>13462</v>
      </c>
      <c r="D157">
        <v>1009</v>
      </c>
      <c r="E157">
        <v>124</v>
      </c>
      <c r="F157">
        <v>713</v>
      </c>
      <c r="G157" s="13">
        <v>1</v>
      </c>
      <c r="H157" t="s">
        <v>25</v>
      </c>
      <c r="I157">
        <v>1</v>
      </c>
      <c r="J157">
        <v>152</v>
      </c>
      <c r="K157" t="str">
        <f t="shared" si="2"/>
        <v>Filtered out</v>
      </c>
    </row>
    <row r="158" spans="1:11" x14ac:dyDescent="0.2">
      <c r="A158" t="s">
        <v>13463</v>
      </c>
      <c r="B158" t="s">
        <v>13246</v>
      </c>
      <c r="C158" t="s">
        <v>13462</v>
      </c>
      <c r="D158">
        <v>1009</v>
      </c>
      <c r="E158">
        <v>124</v>
      </c>
      <c r="F158">
        <v>713</v>
      </c>
      <c r="G158" s="13">
        <v>1</v>
      </c>
      <c r="H158" t="s">
        <v>25</v>
      </c>
      <c r="I158">
        <v>1</v>
      </c>
      <c r="J158">
        <v>152</v>
      </c>
      <c r="K158" t="str">
        <f t="shared" si="2"/>
        <v>Filtered out</v>
      </c>
    </row>
    <row r="159" spans="1:11" x14ac:dyDescent="0.2">
      <c r="A159" t="s">
        <v>13464</v>
      </c>
      <c r="B159" t="s">
        <v>13385</v>
      </c>
      <c r="C159" t="s">
        <v>13254</v>
      </c>
      <c r="D159">
        <v>280</v>
      </c>
      <c r="E159">
        <v>1318</v>
      </c>
      <c r="F159">
        <v>-78</v>
      </c>
      <c r="G159" s="13">
        <v>1</v>
      </c>
      <c r="H159" t="s">
        <v>70</v>
      </c>
      <c r="I159">
        <v>0</v>
      </c>
      <c r="J159" t="s">
        <v>190</v>
      </c>
      <c r="K159" t="str">
        <f t="shared" si="2"/>
        <v>Filtered out</v>
      </c>
    </row>
    <row r="160" spans="1:11" x14ac:dyDescent="0.2">
      <c r="A160" t="s">
        <v>13465</v>
      </c>
      <c r="B160" t="s">
        <v>13466</v>
      </c>
      <c r="C160" t="s">
        <v>13337</v>
      </c>
      <c r="D160">
        <v>862</v>
      </c>
      <c r="E160">
        <v>967</v>
      </c>
      <c r="F160">
        <v>-10</v>
      </c>
      <c r="G160" s="13">
        <v>0.98899999999999999</v>
      </c>
      <c r="H160" t="s">
        <v>25</v>
      </c>
      <c r="I160">
        <v>1</v>
      </c>
      <c r="J160">
        <v>4</v>
      </c>
      <c r="K160" t="str">
        <f t="shared" si="2"/>
        <v>Filtered out</v>
      </c>
    </row>
    <row r="161" spans="1:11" x14ac:dyDescent="0.2">
      <c r="A161" t="s">
        <v>13467</v>
      </c>
      <c r="B161" t="s">
        <v>13368</v>
      </c>
      <c r="C161" t="s">
        <v>13246</v>
      </c>
      <c r="D161">
        <v>331</v>
      </c>
      <c r="E161">
        <v>1555</v>
      </c>
      <c r="F161">
        <v>-78</v>
      </c>
      <c r="G161" s="13">
        <v>1</v>
      </c>
      <c r="H161" t="s">
        <v>70</v>
      </c>
      <c r="I161">
        <v>0</v>
      </c>
      <c r="J161" t="s">
        <v>190</v>
      </c>
      <c r="K161" t="str">
        <f t="shared" si="2"/>
        <v>Filtered out</v>
      </c>
    </row>
    <row r="162" spans="1:11" x14ac:dyDescent="0.2">
      <c r="A162" t="s">
        <v>33</v>
      </c>
      <c r="B162" t="s">
        <v>13452</v>
      </c>
      <c r="C162" t="s">
        <v>13246</v>
      </c>
      <c r="D162">
        <v>919</v>
      </c>
      <c r="E162">
        <v>919</v>
      </c>
      <c r="F162">
        <v>0</v>
      </c>
      <c r="G162" s="13">
        <v>0.92500000000000004</v>
      </c>
      <c r="H162" t="s">
        <v>25</v>
      </c>
      <c r="I162">
        <v>1</v>
      </c>
      <c r="J162">
        <v>284</v>
      </c>
      <c r="K162" t="str">
        <f t="shared" si="2"/>
        <v>Retained</v>
      </c>
    </row>
    <row r="163" spans="1:11" x14ac:dyDescent="0.2">
      <c r="A163" t="s">
        <v>13469</v>
      </c>
      <c r="B163" t="s">
        <v>13246</v>
      </c>
      <c r="C163" t="s">
        <v>13246</v>
      </c>
      <c r="D163">
        <v>2872</v>
      </c>
      <c r="E163">
        <v>2869</v>
      </c>
      <c r="F163">
        <v>0</v>
      </c>
      <c r="G163" s="13">
        <v>0.86599999999999999</v>
      </c>
      <c r="H163" t="s">
        <v>25</v>
      </c>
      <c r="I163">
        <v>1</v>
      </c>
      <c r="J163">
        <v>408</v>
      </c>
      <c r="K163" t="str">
        <f t="shared" si="2"/>
        <v>Filtered out</v>
      </c>
    </row>
    <row r="164" spans="1:11" x14ac:dyDescent="0.2">
      <c r="A164" t="s">
        <v>13470</v>
      </c>
      <c r="B164" t="s">
        <v>13263</v>
      </c>
      <c r="C164" t="s">
        <v>13254</v>
      </c>
      <c r="D164">
        <v>1384</v>
      </c>
      <c r="E164">
        <v>1879</v>
      </c>
      <c r="F164">
        <v>-26</v>
      </c>
      <c r="G164" s="13">
        <v>0.86099999999999999</v>
      </c>
      <c r="H164" t="s">
        <v>25</v>
      </c>
      <c r="I164">
        <v>2</v>
      </c>
      <c r="J164">
        <v>165</v>
      </c>
      <c r="K164" t="str">
        <f t="shared" si="2"/>
        <v>Filtered out</v>
      </c>
    </row>
    <row r="165" spans="1:11" x14ac:dyDescent="0.2">
      <c r="A165" t="s">
        <v>13471</v>
      </c>
      <c r="B165" t="s">
        <v>13246</v>
      </c>
      <c r="C165" t="s">
        <v>13246</v>
      </c>
      <c r="D165">
        <v>1492</v>
      </c>
      <c r="E165">
        <v>1831</v>
      </c>
      <c r="F165">
        <v>-18</v>
      </c>
      <c r="G165" s="13">
        <v>0.95599999999999996</v>
      </c>
      <c r="H165" t="s">
        <v>25</v>
      </c>
      <c r="I165">
        <v>1</v>
      </c>
      <c r="J165">
        <v>207</v>
      </c>
      <c r="K165" t="str">
        <f t="shared" si="2"/>
        <v>Filtered out</v>
      </c>
    </row>
    <row r="166" spans="1:11" x14ac:dyDescent="0.2">
      <c r="A166" t="s">
        <v>13472</v>
      </c>
      <c r="B166" t="s">
        <v>13452</v>
      </c>
      <c r="C166" t="s">
        <v>13246</v>
      </c>
      <c r="D166">
        <v>4501</v>
      </c>
      <c r="E166">
        <v>4501</v>
      </c>
      <c r="F166">
        <v>0</v>
      </c>
      <c r="G166" s="13">
        <v>0.96799999999999997</v>
      </c>
      <c r="H166" t="s">
        <v>25</v>
      </c>
      <c r="I166">
        <v>1</v>
      </c>
      <c r="J166">
        <v>1028</v>
      </c>
      <c r="K166" t="str">
        <f t="shared" si="2"/>
        <v>Retained</v>
      </c>
    </row>
    <row r="167" spans="1:11" x14ac:dyDescent="0.2">
      <c r="A167" t="s">
        <v>13473</v>
      </c>
      <c r="B167" t="s">
        <v>13280</v>
      </c>
      <c r="C167" t="s">
        <v>13246</v>
      </c>
      <c r="D167">
        <v>181</v>
      </c>
      <c r="E167">
        <v>508</v>
      </c>
      <c r="F167">
        <v>-64</v>
      </c>
      <c r="G167" s="13">
        <v>1</v>
      </c>
      <c r="H167" t="s">
        <v>70</v>
      </c>
      <c r="I167">
        <v>0</v>
      </c>
      <c r="J167" t="s">
        <v>190</v>
      </c>
      <c r="K167" t="str">
        <f t="shared" si="2"/>
        <v>Filtered out</v>
      </c>
    </row>
    <row r="168" spans="1:11" x14ac:dyDescent="0.2">
      <c r="A168" t="s">
        <v>13474</v>
      </c>
      <c r="B168" t="s">
        <v>13337</v>
      </c>
      <c r="C168" t="s">
        <v>13475</v>
      </c>
      <c r="D168">
        <v>151</v>
      </c>
      <c r="E168">
        <v>331</v>
      </c>
      <c r="F168">
        <v>-54</v>
      </c>
      <c r="G168" s="13">
        <v>0.88</v>
      </c>
      <c r="H168" t="s">
        <v>70</v>
      </c>
      <c r="I168">
        <v>0</v>
      </c>
      <c r="J168" t="s">
        <v>190</v>
      </c>
      <c r="K168" t="str">
        <f t="shared" si="2"/>
        <v>Filtered out</v>
      </c>
    </row>
    <row r="169" spans="1:11" x14ac:dyDescent="0.2">
      <c r="A169" t="s">
        <v>13476</v>
      </c>
      <c r="B169" t="s">
        <v>13246</v>
      </c>
      <c r="C169" t="s">
        <v>13246</v>
      </c>
      <c r="D169">
        <v>763</v>
      </c>
      <c r="E169">
        <v>763</v>
      </c>
      <c r="F169">
        <v>0</v>
      </c>
      <c r="G169" s="13">
        <v>1</v>
      </c>
      <c r="H169" t="s">
        <v>25</v>
      </c>
      <c r="I169">
        <v>2</v>
      </c>
      <c r="J169">
        <v>215</v>
      </c>
      <c r="K169" t="str">
        <f t="shared" si="2"/>
        <v>Filtered out</v>
      </c>
    </row>
    <row r="170" spans="1:11" x14ac:dyDescent="0.2">
      <c r="A170" t="s">
        <v>13477</v>
      </c>
      <c r="B170" t="s">
        <v>13368</v>
      </c>
      <c r="C170" t="s">
        <v>13297</v>
      </c>
      <c r="D170">
        <v>202</v>
      </c>
      <c r="E170">
        <v>154</v>
      </c>
      <c r="F170">
        <v>31</v>
      </c>
      <c r="G170" s="13">
        <v>0.98</v>
      </c>
      <c r="H170" t="s">
        <v>70</v>
      </c>
      <c r="I170">
        <v>0</v>
      </c>
      <c r="J170" t="s">
        <v>190</v>
      </c>
      <c r="K170" t="str">
        <f t="shared" si="2"/>
        <v>Filtered out</v>
      </c>
    </row>
    <row r="171" spans="1:11" x14ac:dyDescent="0.2">
      <c r="A171" t="s">
        <v>13478</v>
      </c>
      <c r="B171" t="s">
        <v>13479</v>
      </c>
      <c r="C171" t="s">
        <v>13321</v>
      </c>
      <c r="D171">
        <v>205</v>
      </c>
      <c r="E171">
        <v>211</v>
      </c>
      <c r="F171">
        <v>-2</v>
      </c>
      <c r="G171" s="13">
        <v>0.98299999999999998</v>
      </c>
      <c r="H171" t="s">
        <v>25</v>
      </c>
      <c r="I171">
        <v>1</v>
      </c>
      <c r="J171">
        <v>3</v>
      </c>
      <c r="K171" t="str">
        <f t="shared" si="2"/>
        <v>Filtered out</v>
      </c>
    </row>
    <row r="172" spans="1:11" x14ac:dyDescent="0.2">
      <c r="A172" t="s">
        <v>13480</v>
      </c>
      <c r="B172" t="s">
        <v>13246</v>
      </c>
      <c r="C172" t="s">
        <v>13246</v>
      </c>
      <c r="D172">
        <v>826</v>
      </c>
      <c r="E172">
        <v>826</v>
      </c>
      <c r="F172">
        <v>0</v>
      </c>
      <c r="G172" s="13">
        <v>0.95599999999999996</v>
      </c>
      <c r="H172" t="s">
        <v>25</v>
      </c>
      <c r="I172">
        <v>1</v>
      </c>
      <c r="J172">
        <v>30</v>
      </c>
      <c r="K172" t="str">
        <f t="shared" si="2"/>
        <v>Retained</v>
      </c>
    </row>
    <row r="173" spans="1:11" x14ac:dyDescent="0.2">
      <c r="A173" t="s">
        <v>13481</v>
      </c>
      <c r="B173" t="s">
        <v>13246</v>
      </c>
      <c r="C173" t="s">
        <v>13246</v>
      </c>
      <c r="D173">
        <v>2218</v>
      </c>
      <c r="E173">
        <v>2422</v>
      </c>
      <c r="F173">
        <v>-8</v>
      </c>
      <c r="G173" s="13">
        <v>0.995</v>
      </c>
      <c r="H173" t="s">
        <v>25</v>
      </c>
      <c r="I173">
        <v>1</v>
      </c>
      <c r="J173">
        <v>733</v>
      </c>
      <c r="K173" t="str">
        <f t="shared" si="2"/>
        <v>Retained</v>
      </c>
    </row>
    <row r="174" spans="1:11" x14ac:dyDescent="0.2">
      <c r="A174" t="s">
        <v>13482</v>
      </c>
      <c r="B174" t="s">
        <v>13245</v>
      </c>
      <c r="C174" t="s">
        <v>13246</v>
      </c>
      <c r="D174">
        <v>295</v>
      </c>
      <c r="E174">
        <v>490</v>
      </c>
      <c r="F174">
        <v>-39</v>
      </c>
      <c r="G174" s="13">
        <v>0.96899999999999997</v>
      </c>
      <c r="H174" t="s">
        <v>25</v>
      </c>
      <c r="I174">
        <v>2</v>
      </c>
      <c r="J174">
        <v>58</v>
      </c>
      <c r="K174" t="str">
        <f t="shared" si="2"/>
        <v>Filtered out</v>
      </c>
    </row>
    <row r="175" spans="1:11" x14ac:dyDescent="0.2">
      <c r="A175" t="s">
        <v>13483</v>
      </c>
      <c r="B175" t="s">
        <v>13293</v>
      </c>
      <c r="C175" t="s">
        <v>13484</v>
      </c>
      <c r="D175">
        <v>1060</v>
      </c>
      <c r="E175">
        <v>1693</v>
      </c>
      <c r="F175">
        <v>-37</v>
      </c>
      <c r="G175" s="13">
        <v>0.97199999999999998</v>
      </c>
      <c r="H175" t="s">
        <v>25</v>
      </c>
      <c r="I175">
        <v>1</v>
      </c>
      <c r="J175">
        <v>329</v>
      </c>
      <c r="K175" t="str">
        <f t="shared" si="2"/>
        <v>Filtered out</v>
      </c>
    </row>
    <row r="176" spans="1:11" x14ac:dyDescent="0.2">
      <c r="A176" t="s">
        <v>13485</v>
      </c>
      <c r="B176" t="s">
        <v>13246</v>
      </c>
      <c r="C176" t="s">
        <v>13246</v>
      </c>
      <c r="D176">
        <v>2434</v>
      </c>
      <c r="E176">
        <v>1711</v>
      </c>
      <c r="F176">
        <v>42</v>
      </c>
      <c r="G176" s="13">
        <v>0.96699999999999997</v>
      </c>
      <c r="H176" t="s">
        <v>25</v>
      </c>
      <c r="I176">
        <v>2</v>
      </c>
      <c r="J176">
        <v>572</v>
      </c>
      <c r="K176" t="str">
        <f t="shared" si="2"/>
        <v>Filtered out</v>
      </c>
    </row>
    <row r="177" spans="1:11" x14ac:dyDescent="0.2">
      <c r="A177" t="s">
        <v>13486</v>
      </c>
      <c r="B177" t="s">
        <v>13418</v>
      </c>
      <c r="C177" t="s">
        <v>13246</v>
      </c>
      <c r="D177">
        <v>1018</v>
      </c>
      <c r="E177">
        <v>1129</v>
      </c>
      <c r="F177">
        <v>-9</v>
      </c>
      <c r="G177" s="13">
        <v>0.98799999999999999</v>
      </c>
      <c r="H177" t="s">
        <v>25</v>
      </c>
      <c r="I177">
        <v>1</v>
      </c>
      <c r="J177">
        <v>336</v>
      </c>
      <c r="K177" t="str">
        <f t="shared" si="2"/>
        <v>Filtered out</v>
      </c>
    </row>
    <row r="178" spans="1:11" x14ac:dyDescent="0.2">
      <c r="A178" t="s">
        <v>13487</v>
      </c>
      <c r="B178" t="s">
        <v>13283</v>
      </c>
      <c r="C178" t="s">
        <v>13295</v>
      </c>
      <c r="D178">
        <v>1918</v>
      </c>
      <c r="E178">
        <v>2323</v>
      </c>
      <c r="F178">
        <v>-17</v>
      </c>
      <c r="G178" s="13">
        <v>0.93500000000000005</v>
      </c>
      <c r="H178" t="s">
        <v>25</v>
      </c>
      <c r="I178">
        <v>1</v>
      </c>
      <c r="J178">
        <v>202</v>
      </c>
      <c r="K178" t="str">
        <f t="shared" si="2"/>
        <v>Filtered out</v>
      </c>
    </row>
    <row r="179" spans="1:11" x14ac:dyDescent="0.2">
      <c r="A179" t="s">
        <v>13488</v>
      </c>
      <c r="B179" t="s">
        <v>13246</v>
      </c>
      <c r="C179" t="s">
        <v>13246</v>
      </c>
      <c r="D179">
        <v>121</v>
      </c>
      <c r="E179">
        <v>262</v>
      </c>
      <c r="F179">
        <v>-53</v>
      </c>
      <c r="G179" s="13">
        <v>0.97499999999999998</v>
      </c>
      <c r="H179" t="s">
        <v>70</v>
      </c>
      <c r="I179">
        <v>0</v>
      </c>
      <c r="J179" t="s">
        <v>190</v>
      </c>
      <c r="K179" t="str">
        <f t="shared" si="2"/>
        <v>Filtered out</v>
      </c>
    </row>
    <row r="180" spans="1:11" x14ac:dyDescent="0.2">
      <c r="A180" t="s">
        <v>13489</v>
      </c>
      <c r="B180" t="s">
        <v>13397</v>
      </c>
      <c r="C180" t="s">
        <v>13246</v>
      </c>
      <c r="D180">
        <v>937</v>
      </c>
      <c r="E180">
        <v>940</v>
      </c>
      <c r="F180">
        <v>0</v>
      </c>
      <c r="G180" s="13">
        <v>0.95499999999999996</v>
      </c>
      <c r="H180" t="s">
        <v>25</v>
      </c>
      <c r="I180">
        <v>1</v>
      </c>
      <c r="J180">
        <v>189</v>
      </c>
      <c r="K180" t="str">
        <f t="shared" si="2"/>
        <v>Filtered out</v>
      </c>
    </row>
    <row r="181" spans="1:11" x14ac:dyDescent="0.2">
      <c r="A181" t="s">
        <v>13490</v>
      </c>
      <c r="B181" t="s">
        <v>13318</v>
      </c>
      <c r="C181" t="s">
        <v>13318</v>
      </c>
      <c r="D181">
        <v>331</v>
      </c>
      <c r="E181">
        <v>331</v>
      </c>
      <c r="F181">
        <v>0</v>
      </c>
      <c r="G181" s="13">
        <v>0.8</v>
      </c>
      <c r="H181" t="s">
        <v>70</v>
      </c>
      <c r="I181">
        <v>0</v>
      </c>
      <c r="J181" t="s">
        <v>190</v>
      </c>
      <c r="K181" t="str">
        <f t="shared" si="2"/>
        <v>Filtered out</v>
      </c>
    </row>
    <row r="182" spans="1:11" x14ac:dyDescent="0.2">
      <c r="A182" t="s">
        <v>13491</v>
      </c>
      <c r="B182" t="s">
        <v>13484</v>
      </c>
      <c r="C182" t="s">
        <v>13246</v>
      </c>
      <c r="D182">
        <v>295</v>
      </c>
      <c r="E182">
        <v>1129</v>
      </c>
      <c r="F182">
        <v>-73</v>
      </c>
      <c r="G182" s="13">
        <v>0.93899999999999995</v>
      </c>
      <c r="H182" t="s">
        <v>70</v>
      </c>
      <c r="I182">
        <v>0</v>
      </c>
      <c r="J182" t="s">
        <v>190</v>
      </c>
      <c r="K182" t="str">
        <f t="shared" si="2"/>
        <v>Filtered out</v>
      </c>
    </row>
    <row r="183" spans="1:11" x14ac:dyDescent="0.2">
      <c r="A183" t="s">
        <v>13492</v>
      </c>
      <c r="B183" t="s">
        <v>13312</v>
      </c>
      <c r="C183" t="s">
        <v>13265</v>
      </c>
      <c r="D183">
        <v>133</v>
      </c>
      <c r="E183">
        <v>670</v>
      </c>
      <c r="F183">
        <v>-80</v>
      </c>
      <c r="G183" s="13">
        <v>1</v>
      </c>
      <c r="H183" t="s">
        <v>70</v>
      </c>
      <c r="I183">
        <v>0</v>
      </c>
      <c r="J183" t="s">
        <v>190</v>
      </c>
      <c r="K183" t="str">
        <f t="shared" si="2"/>
        <v>Filtered out</v>
      </c>
    </row>
    <row r="184" spans="1:11" x14ac:dyDescent="0.2">
      <c r="A184" t="s">
        <v>13493</v>
      </c>
      <c r="B184" t="s">
        <v>13246</v>
      </c>
      <c r="C184" t="s">
        <v>13246</v>
      </c>
      <c r="D184">
        <v>934</v>
      </c>
      <c r="E184">
        <v>1090</v>
      </c>
      <c r="F184">
        <v>-14</v>
      </c>
      <c r="G184" s="13">
        <v>0.997</v>
      </c>
      <c r="H184" t="s">
        <v>25</v>
      </c>
      <c r="I184">
        <v>2</v>
      </c>
      <c r="J184">
        <v>14</v>
      </c>
      <c r="K184" t="str">
        <f t="shared" si="2"/>
        <v>Filtered out</v>
      </c>
    </row>
    <row r="185" spans="1:11" x14ac:dyDescent="0.2">
      <c r="A185" t="s">
        <v>13494</v>
      </c>
      <c r="B185" t="s">
        <v>13263</v>
      </c>
      <c r="C185" t="s">
        <v>13495</v>
      </c>
      <c r="D185">
        <v>1996</v>
      </c>
      <c r="E185">
        <v>2026</v>
      </c>
      <c r="F185">
        <v>-1</v>
      </c>
      <c r="G185" s="13">
        <v>0.96599999999999997</v>
      </c>
      <c r="H185" t="s">
        <v>25</v>
      </c>
      <c r="I185">
        <v>1</v>
      </c>
      <c r="J185">
        <v>469</v>
      </c>
      <c r="K185" t="str">
        <f t="shared" si="2"/>
        <v>Filtered out</v>
      </c>
    </row>
    <row r="186" spans="1:11" x14ac:dyDescent="0.2">
      <c r="A186" t="s">
        <v>30</v>
      </c>
      <c r="B186" t="s">
        <v>13246</v>
      </c>
      <c r="C186" t="s">
        <v>13246</v>
      </c>
      <c r="D186">
        <v>1501</v>
      </c>
      <c r="E186">
        <v>1501</v>
      </c>
      <c r="F186">
        <v>0</v>
      </c>
      <c r="G186" s="13">
        <v>0.99399999999999999</v>
      </c>
      <c r="H186" t="s">
        <v>25</v>
      </c>
      <c r="I186">
        <v>1</v>
      </c>
      <c r="J186">
        <v>291</v>
      </c>
      <c r="K186" t="str">
        <f t="shared" si="2"/>
        <v>Retained</v>
      </c>
    </row>
    <row r="187" spans="1:11" x14ac:dyDescent="0.2">
      <c r="A187" t="s">
        <v>13497</v>
      </c>
      <c r="B187" t="s">
        <v>13246</v>
      </c>
      <c r="C187" t="s">
        <v>13246</v>
      </c>
      <c r="D187">
        <v>727</v>
      </c>
      <c r="E187">
        <v>1492</v>
      </c>
      <c r="F187">
        <v>-51</v>
      </c>
      <c r="G187" s="13">
        <v>0.98699999999999999</v>
      </c>
      <c r="H187" t="s">
        <v>25</v>
      </c>
      <c r="I187">
        <v>1</v>
      </c>
      <c r="J187">
        <v>240</v>
      </c>
      <c r="K187" t="str">
        <f t="shared" si="2"/>
        <v>Filtered out</v>
      </c>
    </row>
    <row r="188" spans="1:11" x14ac:dyDescent="0.2">
      <c r="A188" t="s">
        <v>13498</v>
      </c>
      <c r="B188" t="s">
        <v>13254</v>
      </c>
      <c r="C188" t="s">
        <v>13263</v>
      </c>
      <c r="D188">
        <v>862</v>
      </c>
      <c r="E188">
        <v>3043</v>
      </c>
      <c r="F188">
        <v>-71</v>
      </c>
      <c r="G188" s="13">
        <v>0.36899999999999999</v>
      </c>
      <c r="H188" t="s">
        <v>25</v>
      </c>
      <c r="I188">
        <v>5</v>
      </c>
      <c r="J188">
        <v>98</v>
      </c>
      <c r="K188" t="str">
        <f t="shared" si="2"/>
        <v>Filtered out</v>
      </c>
    </row>
    <row r="189" spans="1:11" x14ac:dyDescent="0.2">
      <c r="A189" t="s">
        <v>13499</v>
      </c>
      <c r="B189" t="s">
        <v>13318</v>
      </c>
      <c r="C189" t="s">
        <v>13246</v>
      </c>
      <c r="D189">
        <v>124</v>
      </c>
      <c r="E189">
        <v>346</v>
      </c>
      <c r="F189">
        <v>-64</v>
      </c>
      <c r="G189" s="13">
        <v>1</v>
      </c>
      <c r="H189" t="s">
        <v>70</v>
      </c>
      <c r="I189">
        <v>0</v>
      </c>
      <c r="J189" t="s">
        <v>190</v>
      </c>
      <c r="K189" t="str">
        <f t="shared" si="2"/>
        <v>Filtered out</v>
      </c>
    </row>
    <row r="190" spans="1:11" x14ac:dyDescent="0.2">
      <c r="A190" t="s">
        <v>13500</v>
      </c>
      <c r="B190" t="s">
        <v>13501</v>
      </c>
      <c r="C190" t="s">
        <v>13502</v>
      </c>
      <c r="D190">
        <v>184</v>
      </c>
      <c r="E190">
        <v>193</v>
      </c>
      <c r="F190">
        <v>-4</v>
      </c>
      <c r="G190" s="13">
        <v>1</v>
      </c>
      <c r="H190" t="s">
        <v>70</v>
      </c>
      <c r="I190">
        <v>0</v>
      </c>
      <c r="J190" t="s">
        <v>190</v>
      </c>
      <c r="K190" t="str">
        <f t="shared" si="2"/>
        <v>Filtered out</v>
      </c>
    </row>
    <row r="191" spans="1:11" x14ac:dyDescent="0.2">
      <c r="A191" t="s">
        <v>13503</v>
      </c>
      <c r="B191" t="s">
        <v>13263</v>
      </c>
      <c r="C191" t="s">
        <v>13385</v>
      </c>
      <c r="D191">
        <v>64</v>
      </c>
      <c r="E191">
        <v>379</v>
      </c>
      <c r="F191">
        <v>-83</v>
      </c>
      <c r="G191" s="13">
        <v>0.95199999999999996</v>
      </c>
      <c r="H191" t="s">
        <v>70</v>
      </c>
      <c r="I191">
        <v>0</v>
      </c>
      <c r="J191" t="s">
        <v>190</v>
      </c>
      <c r="K191" t="str">
        <f t="shared" si="2"/>
        <v>Filtered out</v>
      </c>
    </row>
    <row r="192" spans="1:11" x14ac:dyDescent="0.2">
      <c r="A192" t="s">
        <v>41</v>
      </c>
      <c r="B192" t="s">
        <v>13246</v>
      </c>
      <c r="C192" t="s">
        <v>13246</v>
      </c>
      <c r="D192">
        <v>1150</v>
      </c>
      <c r="E192">
        <v>1150</v>
      </c>
      <c r="F192">
        <v>0</v>
      </c>
      <c r="G192" s="13">
        <v>0.995</v>
      </c>
      <c r="H192" t="s">
        <v>25</v>
      </c>
      <c r="I192">
        <v>1</v>
      </c>
      <c r="J192">
        <v>267</v>
      </c>
      <c r="K192" t="str">
        <f t="shared" si="2"/>
        <v>Retained</v>
      </c>
    </row>
    <row r="193" spans="1:11" x14ac:dyDescent="0.2">
      <c r="A193" t="s">
        <v>10</v>
      </c>
      <c r="B193" t="s">
        <v>13462</v>
      </c>
      <c r="C193" t="s">
        <v>13462</v>
      </c>
      <c r="D193">
        <v>1930</v>
      </c>
      <c r="E193">
        <v>1930</v>
      </c>
      <c r="F193">
        <v>0</v>
      </c>
      <c r="G193" s="13">
        <v>0.995</v>
      </c>
      <c r="H193" t="s">
        <v>25</v>
      </c>
      <c r="I193">
        <v>1</v>
      </c>
      <c r="J193">
        <v>443</v>
      </c>
      <c r="K193" t="str">
        <f t="shared" si="2"/>
        <v>Retained</v>
      </c>
    </row>
    <row r="194" spans="1:11" x14ac:dyDescent="0.2">
      <c r="A194" t="s">
        <v>13506</v>
      </c>
      <c r="B194" t="s">
        <v>13246</v>
      </c>
      <c r="C194" t="s">
        <v>13246</v>
      </c>
      <c r="D194">
        <v>3709</v>
      </c>
      <c r="E194">
        <v>3709</v>
      </c>
      <c r="F194">
        <v>0</v>
      </c>
      <c r="G194" s="13">
        <v>0.93899999999999995</v>
      </c>
      <c r="H194" t="s">
        <v>25</v>
      </c>
      <c r="I194">
        <v>1</v>
      </c>
      <c r="J194">
        <v>99</v>
      </c>
      <c r="K194" t="str">
        <f t="shared" si="2"/>
        <v>Retained</v>
      </c>
    </row>
    <row r="195" spans="1:11" x14ac:dyDescent="0.2">
      <c r="A195" t="s">
        <v>13507</v>
      </c>
      <c r="B195" t="s">
        <v>13508</v>
      </c>
      <c r="C195" t="s">
        <v>13418</v>
      </c>
      <c r="D195">
        <v>220</v>
      </c>
      <c r="E195">
        <v>559</v>
      </c>
      <c r="F195">
        <v>-60</v>
      </c>
      <c r="G195" s="13">
        <v>0.98599999999999999</v>
      </c>
      <c r="H195" t="s">
        <v>70</v>
      </c>
      <c r="I195">
        <v>0</v>
      </c>
      <c r="J195" t="s">
        <v>190</v>
      </c>
      <c r="K195" t="str">
        <f t="shared" si="2"/>
        <v>Filtered out</v>
      </c>
    </row>
    <row r="196" spans="1:11" x14ac:dyDescent="0.2">
      <c r="A196" t="s">
        <v>13509</v>
      </c>
      <c r="B196" t="s">
        <v>13255</v>
      </c>
      <c r="C196" t="s">
        <v>13246</v>
      </c>
      <c r="D196">
        <v>1420</v>
      </c>
      <c r="E196">
        <v>2335</v>
      </c>
      <c r="F196">
        <v>-39</v>
      </c>
      <c r="G196" s="13">
        <v>0.84099999999999997</v>
      </c>
      <c r="H196" t="s">
        <v>25</v>
      </c>
      <c r="I196">
        <v>1</v>
      </c>
      <c r="J196">
        <v>374</v>
      </c>
      <c r="K196" t="str">
        <f t="shared" si="2"/>
        <v>Filtered out</v>
      </c>
    </row>
    <row r="197" spans="1:11" x14ac:dyDescent="0.2">
      <c r="A197" t="s">
        <v>13510</v>
      </c>
      <c r="B197" t="s">
        <v>13289</v>
      </c>
      <c r="C197" t="s">
        <v>13511</v>
      </c>
      <c r="D197">
        <v>931</v>
      </c>
      <c r="E197">
        <v>1111</v>
      </c>
      <c r="F197">
        <v>-16</v>
      </c>
      <c r="G197" s="13">
        <v>0.98699999999999999</v>
      </c>
      <c r="H197" t="s">
        <v>25</v>
      </c>
      <c r="I197">
        <v>1</v>
      </c>
      <c r="J197">
        <v>306</v>
      </c>
      <c r="K197" t="str">
        <f t="shared" si="2"/>
        <v>Filtered out</v>
      </c>
    </row>
    <row r="198" spans="1:11" x14ac:dyDescent="0.2">
      <c r="A198" t="s">
        <v>13512</v>
      </c>
      <c r="B198" t="s">
        <v>13283</v>
      </c>
      <c r="C198" t="s">
        <v>13246</v>
      </c>
      <c r="D198">
        <v>172</v>
      </c>
      <c r="E198">
        <v>229</v>
      </c>
      <c r="F198">
        <v>-24</v>
      </c>
      <c r="G198" s="13">
        <v>0.93</v>
      </c>
      <c r="H198" t="s">
        <v>70</v>
      </c>
      <c r="I198">
        <v>0</v>
      </c>
      <c r="J198" t="s">
        <v>190</v>
      </c>
      <c r="K198" t="str">
        <f t="shared" si="2"/>
        <v>Filtered out</v>
      </c>
    </row>
    <row r="199" spans="1:11" x14ac:dyDescent="0.2">
      <c r="A199" t="s">
        <v>13513</v>
      </c>
      <c r="B199" t="s">
        <v>13246</v>
      </c>
      <c r="C199" t="s">
        <v>13246</v>
      </c>
      <c r="D199">
        <v>3265</v>
      </c>
      <c r="E199">
        <v>5833</v>
      </c>
      <c r="F199">
        <v>-44</v>
      </c>
      <c r="G199" s="13">
        <v>0.97399999999999998</v>
      </c>
      <c r="H199" t="s">
        <v>25</v>
      </c>
      <c r="I199">
        <v>1</v>
      </c>
      <c r="J199">
        <v>497</v>
      </c>
      <c r="K199" t="str">
        <f t="shared" si="2"/>
        <v>Filtered out</v>
      </c>
    </row>
    <row r="200" spans="1:11" x14ac:dyDescent="0.2">
      <c r="A200" t="s">
        <v>13514</v>
      </c>
      <c r="B200" t="s">
        <v>13289</v>
      </c>
      <c r="C200" t="s">
        <v>13246</v>
      </c>
      <c r="D200">
        <v>91</v>
      </c>
      <c r="E200">
        <v>346</v>
      </c>
      <c r="F200">
        <v>-73</v>
      </c>
      <c r="G200" s="13">
        <v>1</v>
      </c>
      <c r="H200" t="s">
        <v>70</v>
      </c>
      <c r="I200">
        <v>0</v>
      </c>
      <c r="J200" t="s">
        <v>190</v>
      </c>
      <c r="K200" t="str">
        <f t="shared" ref="K200:K263" si="3">IF(AND(B200=C200,F200&lt;10,F200&gt;-10,I200&gt;0,G200&gt;90%,G200&lt;100%),"Retained","Filtered out")</f>
        <v>Filtered out</v>
      </c>
    </row>
    <row r="201" spans="1:11" x14ac:dyDescent="0.2">
      <c r="A201" t="s">
        <v>13515</v>
      </c>
      <c r="B201" t="s">
        <v>13289</v>
      </c>
      <c r="C201" t="s">
        <v>13246</v>
      </c>
      <c r="D201">
        <v>91</v>
      </c>
      <c r="E201">
        <v>346</v>
      </c>
      <c r="F201">
        <v>-73</v>
      </c>
      <c r="G201" s="13">
        <v>1</v>
      </c>
      <c r="H201" t="s">
        <v>70</v>
      </c>
      <c r="I201">
        <v>0</v>
      </c>
      <c r="J201" t="s">
        <v>190</v>
      </c>
      <c r="K201" t="str">
        <f t="shared" si="3"/>
        <v>Filtered out</v>
      </c>
    </row>
    <row r="202" spans="1:11" x14ac:dyDescent="0.2">
      <c r="A202" t="s">
        <v>13516</v>
      </c>
      <c r="B202" t="s">
        <v>13312</v>
      </c>
      <c r="C202" t="s">
        <v>13312</v>
      </c>
      <c r="D202">
        <v>241</v>
      </c>
      <c r="E202">
        <v>409</v>
      </c>
      <c r="F202">
        <v>-41</v>
      </c>
      <c r="G202" s="13">
        <v>0.95</v>
      </c>
      <c r="H202" t="s">
        <v>70</v>
      </c>
      <c r="I202">
        <v>0</v>
      </c>
      <c r="J202" t="s">
        <v>190</v>
      </c>
      <c r="K202" t="str">
        <f t="shared" si="3"/>
        <v>Filtered out</v>
      </c>
    </row>
    <row r="203" spans="1:11" x14ac:dyDescent="0.2">
      <c r="A203" t="s">
        <v>13517</v>
      </c>
      <c r="B203" t="s">
        <v>13397</v>
      </c>
      <c r="C203" t="s">
        <v>13246</v>
      </c>
      <c r="D203">
        <v>2983</v>
      </c>
      <c r="E203">
        <v>3121</v>
      </c>
      <c r="F203">
        <v>-4</v>
      </c>
      <c r="G203" s="13">
        <v>0.97199999999999998</v>
      </c>
      <c r="H203" t="s">
        <v>25</v>
      </c>
      <c r="I203">
        <v>2</v>
      </c>
      <c r="J203">
        <v>959</v>
      </c>
      <c r="K203" t="str">
        <f t="shared" si="3"/>
        <v>Filtered out</v>
      </c>
    </row>
    <row r="204" spans="1:11" x14ac:dyDescent="0.2">
      <c r="A204" t="s">
        <v>13518</v>
      </c>
      <c r="B204" t="s">
        <v>13385</v>
      </c>
      <c r="C204" t="s">
        <v>13246</v>
      </c>
      <c r="D204">
        <v>4591</v>
      </c>
      <c r="E204">
        <v>5434</v>
      </c>
      <c r="F204">
        <v>-15</v>
      </c>
      <c r="G204" s="13">
        <v>0.97599999999999998</v>
      </c>
      <c r="H204" t="s">
        <v>25</v>
      </c>
      <c r="I204">
        <v>1</v>
      </c>
      <c r="J204">
        <v>1507</v>
      </c>
      <c r="K204" t="str">
        <f t="shared" si="3"/>
        <v>Filtered out</v>
      </c>
    </row>
    <row r="205" spans="1:11" x14ac:dyDescent="0.2">
      <c r="A205" t="s">
        <v>13519</v>
      </c>
      <c r="B205" t="s">
        <v>13246</v>
      </c>
      <c r="C205" t="s">
        <v>13246</v>
      </c>
      <c r="D205">
        <v>1573</v>
      </c>
      <c r="E205">
        <v>2608</v>
      </c>
      <c r="F205">
        <v>-39</v>
      </c>
      <c r="G205" s="13">
        <v>0.91800000000000004</v>
      </c>
      <c r="H205" t="s">
        <v>25</v>
      </c>
      <c r="I205">
        <v>1</v>
      </c>
      <c r="J205">
        <v>158</v>
      </c>
      <c r="K205" t="str">
        <f t="shared" si="3"/>
        <v>Filtered out</v>
      </c>
    </row>
    <row r="206" spans="1:11" x14ac:dyDescent="0.2">
      <c r="A206" t="s">
        <v>13520</v>
      </c>
      <c r="B206" t="s">
        <v>13484</v>
      </c>
      <c r="C206" t="s">
        <v>13521</v>
      </c>
      <c r="D206">
        <v>187</v>
      </c>
      <c r="E206">
        <v>646</v>
      </c>
      <c r="F206">
        <v>-71</v>
      </c>
      <c r="G206" s="13">
        <v>0.85099999999999998</v>
      </c>
      <c r="H206" t="s">
        <v>70</v>
      </c>
      <c r="I206">
        <v>0</v>
      </c>
      <c r="J206" t="s">
        <v>190</v>
      </c>
      <c r="K206" t="str">
        <f t="shared" si="3"/>
        <v>Filtered out</v>
      </c>
    </row>
    <row r="207" spans="1:11" x14ac:dyDescent="0.2">
      <c r="A207" t="s">
        <v>13522</v>
      </c>
      <c r="B207" t="s">
        <v>13248</v>
      </c>
      <c r="C207" t="s">
        <v>13246</v>
      </c>
      <c r="D207">
        <v>337</v>
      </c>
      <c r="E207">
        <v>649</v>
      </c>
      <c r="F207">
        <v>-48</v>
      </c>
      <c r="G207" s="13">
        <v>0.95399999999999996</v>
      </c>
      <c r="H207" t="s">
        <v>25</v>
      </c>
      <c r="I207">
        <v>1</v>
      </c>
      <c r="J207">
        <v>2</v>
      </c>
      <c r="K207" t="str">
        <f t="shared" si="3"/>
        <v>Filtered out</v>
      </c>
    </row>
    <row r="208" spans="1:11" x14ac:dyDescent="0.2">
      <c r="A208" t="s">
        <v>13523</v>
      </c>
      <c r="B208" t="s">
        <v>13524</v>
      </c>
      <c r="C208" t="s">
        <v>13283</v>
      </c>
      <c r="D208">
        <v>829</v>
      </c>
      <c r="E208">
        <v>1165</v>
      </c>
      <c r="F208">
        <v>-28</v>
      </c>
      <c r="G208" s="13">
        <v>0.91300000000000003</v>
      </c>
      <c r="H208" t="s">
        <v>25</v>
      </c>
      <c r="I208">
        <v>1</v>
      </c>
      <c r="J208">
        <v>173</v>
      </c>
      <c r="K208" t="str">
        <f t="shared" si="3"/>
        <v>Filtered out</v>
      </c>
    </row>
    <row r="209" spans="1:11" x14ac:dyDescent="0.2">
      <c r="A209" t="s">
        <v>13525</v>
      </c>
      <c r="B209" t="s">
        <v>13308</v>
      </c>
      <c r="C209" t="s">
        <v>13308</v>
      </c>
      <c r="D209">
        <v>1420</v>
      </c>
      <c r="E209">
        <v>1429</v>
      </c>
      <c r="F209">
        <v>0</v>
      </c>
      <c r="G209" s="13">
        <v>0.88200000000000001</v>
      </c>
      <c r="H209" t="s">
        <v>25</v>
      </c>
      <c r="I209">
        <v>1</v>
      </c>
      <c r="J209">
        <v>344</v>
      </c>
      <c r="K209" t="str">
        <f t="shared" si="3"/>
        <v>Filtered out</v>
      </c>
    </row>
    <row r="210" spans="1:11" x14ac:dyDescent="0.2">
      <c r="A210" t="s">
        <v>13526</v>
      </c>
      <c r="B210" t="s">
        <v>13283</v>
      </c>
      <c r="C210" t="s">
        <v>13283</v>
      </c>
      <c r="D210">
        <v>2230</v>
      </c>
      <c r="E210">
        <v>2230</v>
      </c>
      <c r="F210">
        <v>0</v>
      </c>
      <c r="G210" s="13">
        <v>0.97</v>
      </c>
      <c r="H210" t="s">
        <v>25</v>
      </c>
      <c r="I210">
        <v>2</v>
      </c>
      <c r="J210">
        <v>406</v>
      </c>
      <c r="K210" t="str">
        <f t="shared" si="3"/>
        <v>Retained</v>
      </c>
    </row>
    <row r="211" spans="1:11" x14ac:dyDescent="0.2">
      <c r="A211" t="s">
        <v>13527</v>
      </c>
      <c r="B211" t="s">
        <v>13248</v>
      </c>
      <c r="C211" t="s">
        <v>13254</v>
      </c>
      <c r="D211">
        <v>478</v>
      </c>
      <c r="E211">
        <v>1000</v>
      </c>
      <c r="F211">
        <v>-52</v>
      </c>
      <c r="G211" s="13">
        <v>0.29699999999999999</v>
      </c>
      <c r="H211" t="s">
        <v>70</v>
      </c>
      <c r="I211">
        <v>0</v>
      </c>
      <c r="J211" t="s">
        <v>190</v>
      </c>
      <c r="K211" t="str">
        <f t="shared" si="3"/>
        <v>Filtered out</v>
      </c>
    </row>
    <row r="212" spans="1:11" x14ac:dyDescent="0.2">
      <c r="A212" t="s">
        <v>13528</v>
      </c>
      <c r="B212" t="s">
        <v>13450</v>
      </c>
      <c r="C212" t="s">
        <v>13418</v>
      </c>
      <c r="D212">
        <v>169</v>
      </c>
      <c r="E212">
        <v>514</v>
      </c>
      <c r="F212">
        <v>-67</v>
      </c>
      <c r="G212" s="13">
        <v>1</v>
      </c>
      <c r="H212" t="s">
        <v>70</v>
      </c>
      <c r="I212">
        <v>0</v>
      </c>
      <c r="J212" t="s">
        <v>190</v>
      </c>
      <c r="K212" t="str">
        <f t="shared" si="3"/>
        <v>Filtered out</v>
      </c>
    </row>
    <row r="213" spans="1:11" x14ac:dyDescent="0.2">
      <c r="A213" t="s">
        <v>13529</v>
      </c>
      <c r="B213" t="s">
        <v>13246</v>
      </c>
      <c r="C213" t="s">
        <v>13246</v>
      </c>
      <c r="D213">
        <v>490</v>
      </c>
      <c r="E213">
        <v>490</v>
      </c>
      <c r="F213">
        <v>0</v>
      </c>
      <c r="G213" s="13">
        <v>0.89600000000000002</v>
      </c>
      <c r="H213" t="s">
        <v>25</v>
      </c>
      <c r="I213">
        <v>1</v>
      </c>
      <c r="J213">
        <v>129</v>
      </c>
      <c r="K213" t="str">
        <f t="shared" si="3"/>
        <v>Filtered out</v>
      </c>
    </row>
    <row r="214" spans="1:11" x14ac:dyDescent="0.2">
      <c r="A214" t="s">
        <v>13530</v>
      </c>
      <c r="B214" t="s">
        <v>13385</v>
      </c>
      <c r="C214" t="s">
        <v>13385</v>
      </c>
      <c r="D214">
        <v>193</v>
      </c>
      <c r="E214">
        <v>343</v>
      </c>
      <c r="F214">
        <v>-43</v>
      </c>
      <c r="G214" s="13">
        <v>0.95299999999999996</v>
      </c>
      <c r="H214" t="s">
        <v>70</v>
      </c>
      <c r="I214">
        <v>0</v>
      </c>
      <c r="J214" t="s">
        <v>190</v>
      </c>
      <c r="K214" t="str">
        <f t="shared" si="3"/>
        <v>Filtered out</v>
      </c>
    </row>
    <row r="215" spans="1:11" x14ac:dyDescent="0.2">
      <c r="A215" t="s">
        <v>13531</v>
      </c>
      <c r="B215" t="s">
        <v>13371</v>
      </c>
      <c r="C215" t="s">
        <v>13246</v>
      </c>
      <c r="D215">
        <v>400</v>
      </c>
      <c r="E215">
        <v>1390</v>
      </c>
      <c r="F215">
        <v>-71</v>
      </c>
      <c r="G215" s="13">
        <v>1</v>
      </c>
      <c r="H215" t="s">
        <v>70</v>
      </c>
      <c r="I215">
        <v>0</v>
      </c>
      <c r="J215" t="s">
        <v>190</v>
      </c>
      <c r="K215" t="str">
        <f t="shared" si="3"/>
        <v>Filtered out</v>
      </c>
    </row>
    <row r="216" spans="1:11" x14ac:dyDescent="0.2">
      <c r="A216" t="s">
        <v>13532</v>
      </c>
      <c r="B216" t="s">
        <v>13377</v>
      </c>
      <c r="C216" t="s">
        <v>13533</v>
      </c>
      <c r="D216">
        <v>142</v>
      </c>
      <c r="E216">
        <v>304</v>
      </c>
      <c r="F216">
        <v>-53</v>
      </c>
      <c r="G216" s="13">
        <v>1</v>
      </c>
      <c r="H216" t="s">
        <v>70</v>
      </c>
      <c r="I216">
        <v>0</v>
      </c>
      <c r="J216" t="s">
        <v>190</v>
      </c>
      <c r="K216" t="str">
        <f t="shared" si="3"/>
        <v>Filtered out</v>
      </c>
    </row>
    <row r="217" spans="1:11" x14ac:dyDescent="0.2">
      <c r="A217" t="s">
        <v>13534</v>
      </c>
      <c r="B217" t="s">
        <v>13246</v>
      </c>
      <c r="C217" t="s">
        <v>13246</v>
      </c>
      <c r="D217">
        <v>1579</v>
      </c>
      <c r="E217">
        <v>1579</v>
      </c>
      <c r="F217">
        <v>0</v>
      </c>
      <c r="G217" s="13">
        <v>0.96599999999999997</v>
      </c>
      <c r="H217" t="s">
        <v>25</v>
      </c>
      <c r="I217">
        <v>1</v>
      </c>
      <c r="J217">
        <v>293</v>
      </c>
      <c r="K217" t="str">
        <f t="shared" si="3"/>
        <v>Retained</v>
      </c>
    </row>
    <row r="218" spans="1:11" x14ac:dyDescent="0.2">
      <c r="A218" t="s">
        <v>13535</v>
      </c>
      <c r="B218" t="s">
        <v>13248</v>
      </c>
      <c r="C218" t="s">
        <v>13536</v>
      </c>
      <c r="D218">
        <v>160</v>
      </c>
      <c r="E218">
        <v>838</v>
      </c>
      <c r="F218">
        <v>-80</v>
      </c>
      <c r="G218" s="13">
        <v>0.25</v>
      </c>
      <c r="H218" t="s">
        <v>70</v>
      </c>
      <c r="I218">
        <v>0</v>
      </c>
      <c r="J218" t="s">
        <v>190</v>
      </c>
      <c r="K218" t="str">
        <f t="shared" si="3"/>
        <v>Filtered out</v>
      </c>
    </row>
    <row r="219" spans="1:11" x14ac:dyDescent="0.2">
      <c r="A219" t="s">
        <v>13537</v>
      </c>
      <c r="B219" t="s">
        <v>13246</v>
      </c>
      <c r="C219" t="s">
        <v>13246</v>
      </c>
      <c r="D219">
        <v>1033</v>
      </c>
      <c r="E219">
        <v>1033</v>
      </c>
      <c r="F219">
        <v>0</v>
      </c>
      <c r="G219" s="13">
        <v>0.95899999999999996</v>
      </c>
      <c r="H219" t="s">
        <v>25</v>
      </c>
      <c r="I219">
        <v>1</v>
      </c>
      <c r="J219">
        <v>84</v>
      </c>
      <c r="K219" t="str">
        <f t="shared" si="3"/>
        <v>Retained</v>
      </c>
    </row>
    <row r="220" spans="1:11" x14ac:dyDescent="0.2">
      <c r="A220" t="s">
        <v>13538</v>
      </c>
      <c r="B220" t="s">
        <v>13246</v>
      </c>
      <c r="C220" t="s">
        <v>13246</v>
      </c>
      <c r="D220">
        <v>2092</v>
      </c>
      <c r="E220">
        <v>2092</v>
      </c>
      <c r="F220">
        <v>0</v>
      </c>
      <c r="G220" s="13">
        <v>0.97399999999999998</v>
      </c>
      <c r="H220" t="s">
        <v>25</v>
      </c>
      <c r="I220">
        <v>1</v>
      </c>
      <c r="J220">
        <v>226</v>
      </c>
      <c r="K220" t="str">
        <f t="shared" si="3"/>
        <v>Retained</v>
      </c>
    </row>
    <row r="221" spans="1:11" x14ac:dyDescent="0.2">
      <c r="A221" t="s">
        <v>13539</v>
      </c>
      <c r="B221" t="s">
        <v>13246</v>
      </c>
      <c r="C221" t="s">
        <v>13246</v>
      </c>
      <c r="D221">
        <v>3013</v>
      </c>
      <c r="E221">
        <v>5455</v>
      </c>
      <c r="F221">
        <v>-44</v>
      </c>
      <c r="G221" s="13">
        <v>0.98199999999999998</v>
      </c>
      <c r="H221" t="s">
        <v>25</v>
      </c>
      <c r="I221">
        <v>1</v>
      </c>
      <c r="J221">
        <v>592</v>
      </c>
      <c r="K221" t="str">
        <f t="shared" si="3"/>
        <v>Filtered out</v>
      </c>
    </row>
    <row r="222" spans="1:11" x14ac:dyDescent="0.2">
      <c r="A222" t="s">
        <v>13540</v>
      </c>
      <c r="B222" t="s">
        <v>13265</v>
      </c>
      <c r="C222" t="s">
        <v>13265</v>
      </c>
      <c r="D222">
        <v>535</v>
      </c>
      <c r="E222">
        <v>535</v>
      </c>
      <c r="F222">
        <v>0</v>
      </c>
      <c r="G222" s="13">
        <v>0.99399999999999999</v>
      </c>
      <c r="H222" t="s">
        <v>25</v>
      </c>
      <c r="I222">
        <v>1</v>
      </c>
      <c r="J222">
        <v>165</v>
      </c>
      <c r="K222" t="str">
        <f t="shared" si="3"/>
        <v>Retained</v>
      </c>
    </row>
    <row r="223" spans="1:11" x14ac:dyDescent="0.2">
      <c r="A223" t="s">
        <v>13541</v>
      </c>
      <c r="B223" t="s">
        <v>13542</v>
      </c>
      <c r="C223" t="s">
        <v>13543</v>
      </c>
      <c r="D223">
        <v>1630</v>
      </c>
      <c r="E223">
        <v>1348</v>
      </c>
      <c r="F223">
        <v>20</v>
      </c>
      <c r="G223" s="13">
        <v>0.93899999999999995</v>
      </c>
      <c r="H223" t="s">
        <v>25</v>
      </c>
      <c r="I223">
        <v>1</v>
      </c>
      <c r="J223">
        <v>140</v>
      </c>
      <c r="K223" t="str">
        <f t="shared" si="3"/>
        <v>Filtered out</v>
      </c>
    </row>
    <row r="224" spans="1:11" x14ac:dyDescent="0.2">
      <c r="A224" t="s">
        <v>13544</v>
      </c>
      <c r="B224" t="s">
        <v>13246</v>
      </c>
      <c r="C224" t="s">
        <v>13246</v>
      </c>
      <c r="D224">
        <v>1396</v>
      </c>
      <c r="E224">
        <v>1396</v>
      </c>
      <c r="F224">
        <v>0</v>
      </c>
      <c r="G224" s="13">
        <v>0.96799999999999997</v>
      </c>
      <c r="H224" t="s">
        <v>25</v>
      </c>
      <c r="I224">
        <v>1</v>
      </c>
      <c r="J224">
        <v>125</v>
      </c>
      <c r="K224" t="str">
        <f t="shared" si="3"/>
        <v>Retained</v>
      </c>
    </row>
    <row r="225" spans="1:11" x14ac:dyDescent="0.2">
      <c r="A225" t="s">
        <v>13545</v>
      </c>
      <c r="B225" t="s">
        <v>13246</v>
      </c>
      <c r="C225" t="s">
        <v>13246</v>
      </c>
      <c r="D225">
        <v>94</v>
      </c>
      <c r="E225">
        <v>679</v>
      </c>
      <c r="F225">
        <v>-86</v>
      </c>
      <c r="G225" s="13">
        <v>1</v>
      </c>
      <c r="H225" t="s">
        <v>70</v>
      </c>
      <c r="I225">
        <v>0</v>
      </c>
      <c r="J225" t="s">
        <v>190</v>
      </c>
      <c r="K225" t="str">
        <f t="shared" si="3"/>
        <v>Filtered out</v>
      </c>
    </row>
    <row r="226" spans="1:11" x14ac:dyDescent="0.2">
      <c r="A226" t="s">
        <v>13546</v>
      </c>
      <c r="B226" t="s">
        <v>13547</v>
      </c>
      <c r="C226" t="s">
        <v>13418</v>
      </c>
      <c r="D226">
        <v>1006</v>
      </c>
      <c r="E226">
        <v>1000</v>
      </c>
      <c r="F226">
        <v>0</v>
      </c>
      <c r="G226" s="13">
        <v>0.80200000000000005</v>
      </c>
      <c r="H226" t="s">
        <v>25</v>
      </c>
      <c r="I226">
        <v>2</v>
      </c>
      <c r="J226">
        <v>191</v>
      </c>
      <c r="K226" t="str">
        <f t="shared" si="3"/>
        <v>Filtered out</v>
      </c>
    </row>
    <row r="227" spans="1:11" x14ac:dyDescent="0.2">
      <c r="A227" t="s">
        <v>13548</v>
      </c>
      <c r="B227" t="s">
        <v>13312</v>
      </c>
      <c r="C227" t="s">
        <v>13337</v>
      </c>
      <c r="D227">
        <v>946</v>
      </c>
      <c r="E227">
        <v>1639</v>
      </c>
      <c r="F227">
        <v>-42</v>
      </c>
      <c r="G227" s="13">
        <v>0.89900000000000002</v>
      </c>
      <c r="H227" t="s">
        <v>25</v>
      </c>
      <c r="I227">
        <v>1</v>
      </c>
      <c r="J227">
        <v>93</v>
      </c>
      <c r="K227" t="str">
        <f t="shared" si="3"/>
        <v>Filtered out</v>
      </c>
    </row>
    <row r="228" spans="1:11" x14ac:dyDescent="0.2">
      <c r="A228" t="s">
        <v>13</v>
      </c>
      <c r="B228" t="s">
        <v>13263</v>
      </c>
      <c r="C228" t="s">
        <v>13263</v>
      </c>
      <c r="D228">
        <v>748</v>
      </c>
      <c r="E228">
        <v>748</v>
      </c>
      <c r="F228">
        <v>0</v>
      </c>
      <c r="G228" s="13">
        <v>0.97599999999999998</v>
      </c>
      <c r="H228" t="s">
        <v>25</v>
      </c>
      <c r="I228">
        <v>1</v>
      </c>
      <c r="J228">
        <v>67</v>
      </c>
      <c r="K228" t="str">
        <f t="shared" si="3"/>
        <v>Retained</v>
      </c>
    </row>
    <row r="229" spans="1:11" x14ac:dyDescent="0.2">
      <c r="A229" t="s">
        <v>13550</v>
      </c>
      <c r="B229" t="s">
        <v>13254</v>
      </c>
      <c r="C229" t="s">
        <v>13246</v>
      </c>
      <c r="D229">
        <v>691</v>
      </c>
      <c r="E229">
        <v>925</v>
      </c>
      <c r="F229">
        <v>-25</v>
      </c>
      <c r="G229" s="13">
        <v>0.97</v>
      </c>
      <c r="H229" t="s">
        <v>25</v>
      </c>
      <c r="I229">
        <v>1</v>
      </c>
      <c r="J229">
        <v>109</v>
      </c>
      <c r="K229" t="str">
        <f t="shared" si="3"/>
        <v>Filtered out</v>
      </c>
    </row>
    <row r="230" spans="1:11" x14ac:dyDescent="0.2">
      <c r="A230" t="s">
        <v>13551</v>
      </c>
      <c r="B230" t="s">
        <v>13246</v>
      </c>
      <c r="C230" t="s">
        <v>13246</v>
      </c>
      <c r="D230">
        <v>454</v>
      </c>
      <c r="E230">
        <v>456</v>
      </c>
      <c r="F230">
        <v>0</v>
      </c>
      <c r="G230" s="13">
        <v>0.75800000000000001</v>
      </c>
      <c r="H230" t="s">
        <v>25</v>
      </c>
      <c r="I230">
        <v>2</v>
      </c>
      <c r="J230">
        <v>7</v>
      </c>
      <c r="K230" t="str">
        <f t="shared" si="3"/>
        <v>Filtered out</v>
      </c>
    </row>
    <row r="231" spans="1:11" x14ac:dyDescent="0.2">
      <c r="A231" t="s">
        <v>13552</v>
      </c>
      <c r="B231" t="s">
        <v>13246</v>
      </c>
      <c r="C231" t="s">
        <v>13246</v>
      </c>
      <c r="D231">
        <v>454</v>
      </c>
      <c r="E231">
        <v>456</v>
      </c>
      <c r="F231">
        <v>0</v>
      </c>
      <c r="G231" s="13">
        <v>0.75800000000000001</v>
      </c>
      <c r="H231" t="s">
        <v>25</v>
      </c>
      <c r="I231">
        <v>2</v>
      </c>
      <c r="J231">
        <v>7</v>
      </c>
      <c r="K231" t="str">
        <f t="shared" si="3"/>
        <v>Filtered out</v>
      </c>
    </row>
    <row r="232" spans="1:11" x14ac:dyDescent="0.2">
      <c r="A232" t="s">
        <v>55</v>
      </c>
      <c r="B232" t="s">
        <v>13246</v>
      </c>
      <c r="C232" t="s">
        <v>13246</v>
      </c>
      <c r="D232">
        <v>1195</v>
      </c>
      <c r="E232">
        <v>1195</v>
      </c>
      <c r="F232">
        <v>0</v>
      </c>
      <c r="G232" s="13">
        <v>0.98199999999999998</v>
      </c>
      <c r="H232" t="s">
        <v>25</v>
      </c>
      <c r="I232">
        <v>1</v>
      </c>
      <c r="J232">
        <v>239</v>
      </c>
      <c r="K232" t="str">
        <f t="shared" si="3"/>
        <v>Retained</v>
      </c>
    </row>
    <row r="233" spans="1:11" x14ac:dyDescent="0.2">
      <c r="A233" t="s">
        <v>13554</v>
      </c>
      <c r="B233" t="s">
        <v>13428</v>
      </c>
      <c r="C233" t="s">
        <v>13428</v>
      </c>
      <c r="D233">
        <v>307</v>
      </c>
      <c r="E233">
        <v>307</v>
      </c>
      <c r="F233">
        <v>0</v>
      </c>
      <c r="G233" s="13">
        <v>0.873</v>
      </c>
      <c r="H233" t="s">
        <v>25</v>
      </c>
      <c r="I233">
        <v>1</v>
      </c>
      <c r="J233">
        <v>101</v>
      </c>
      <c r="K233" t="str">
        <f t="shared" si="3"/>
        <v>Filtered out</v>
      </c>
    </row>
    <row r="234" spans="1:11" x14ac:dyDescent="0.2">
      <c r="A234" t="s">
        <v>13555</v>
      </c>
      <c r="B234" t="s">
        <v>13263</v>
      </c>
      <c r="C234" t="s">
        <v>13246</v>
      </c>
      <c r="D234">
        <v>238</v>
      </c>
      <c r="E234">
        <v>823</v>
      </c>
      <c r="F234">
        <v>-71</v>
      </c>
      <c r="G234" s="13">
        <v>0.96199999999999997</v>
      </c>
      <c r="H234" t="s">
        <v>70</v>
      </c>
      <c r="I234">
        <v>0</v>
      </c>
      <c r="J234" t="s">
        <v>190</v>
      </c>
      <c r="K234" t="str">
        <f t="shared" si="3"/>
        <v>Filtered out</v>
      </c>
    </row>
    <row r="235" spans="1:11" x14ac:dyDescent="0.2">
      <c r="A235" t="s">
        <v>13556</v>
      </c>
      <c r="B235" t="s">
        <v>13321</v>
      </c>
      <c r="C235" t="s">
        <v>13543</v>
      </c>
      <c r="D235">
        <v>157</v>
      </c>
      <c r="E235">
        <v>874</v>
      </c>
      <c r="F235">
        <v>-82</v>
      </c>
      <c r="G235" s="13">
        <v>0.96199999999999997</v>
      </c>
      <c r="H235" t="s">
        <v>70</v>
      </c>
      <c r="I235">
        <v>0</v>
      </c>
      <c r="J235" t="s">
        <v>190</v>
      </c>
      <c r="K235" t="str">
        <f t="shared" si="3"/>
        <v>Filtered out</v>
      </c>
    </row>
    <row r="236" spans="1:11" x14ac:dyDescent="0.2">
      <c r="A236" t="s">
        <v>51</v>
      </c>
      <c r="B236" t="s">
        <v>13246</v>
      </c>
      <c r="C236" t="s">
        <v>13246</v>
      </c>
      <c r="D236">
        <v>304</v>
      </c>
      <c r="E236">
        <v>304</v>
      </c>
      <c r="F236">
        <v>0</v>
      </c>
      <c r="G236" s="13">
        <v>0.96</v>
      </c>
      <c r="H236" t="s">
        <v>25</v>
      </c>
      <c r="I236">
        <v>1</v>
      </c>
      <c r="J236">
        <v>43</v>
      </c>
      <c r="K236" t="str">
        <f t="shared" si="3"/>
        <v>Retained</v>
      </c>
    </row>
    <row r="237" spans="1:11" x14ac:dyDescent="0.2">
      <c r="A237" t="s">
        <v>13558</v>
      </c>
      <c r="B237" t="s">
        <v>13246</v>
      </c>
      <c r="C237" t="s">
        <v>13246</v>
      </c>
      <c r="D237">
        <v>3040</v>
      </c>
      <c r="E237">
        <v>4180</v>
      </c>
      <c r="F237">
        <v>-27</v>
      </c>
      <c r="G237" s="13">
        <v>0.53200000000000003</v>
      </c>
      <c r="H237" t="s">
        <v>25</v>
      </c>
      <c r="I237">
        <v>5</v>
      </c>
      <c r="J237">
        <v>406</v>
      </c>
      <c r="K237" t="str">
        <f t="shared" si="3"/>
        <v>Filtered out</v>
      </c>
    </row>
    <row r="238" spans="1:11" x14ac:dyDescent="0.2">
      <c r="A238" t="s">
        <v>13559</v>
      </c>
      <c r="B238" t="s">
        <v>13560</v>
      </c>
      <c r="C238" t="s">
        <v>13246</v>
      </c>
      <c r="D238">
        <v>3916</v>
      </c>
      <c r="E238">
        <v>4780</v>
      </c>
      <c r="F238">
        <v>-18</v>
      </c>
      <c r="G238" s="13">
        <v>0.96099999999999997</v>
      </c>
      <c r="H238" t="s">
        <v>25</v>
      </c>
      <c r="I238">
        <v>2</v>
      </c>
      <c r="J238">
        <v>643</v>
      </c>
      <c r="K238" t="str">
        <f t="shared" si="3"/>
        <v>Filtered out</v>
      </c>
    </row>
    <row r="239" spans="1:11" x14ac:dyDescent="0.2">
      <c r="A239" t="s">
        <v>13561</v>
      </c>
      <c r="B239" t="s">
        <v>13562</v>
      </c>
      <c r="C239" t="s">
        <v>13246</v>
      </c>
      <c r="D239">
        <v>193</v>
      </c>
      <c r="E239">
        <v>232</v>
      </c>
      <c r="F239">
        <v>-16</v>
      </c>
      <c r="G239" s="13">
        <v>0.89100000000000001</v>
      </c>
      <c r="H239" t="s">
        <v>70</v>
      </c>
      <c r="I239">
        <v>0</v>
      </c>
      <c r="J239" t="s">
        <v>190</v>
      </c>
      <c r="K239" t="str">
        <f t="shared" si="3"/>
        <v>Filtered out</v>
      </c>
    </row>
    <row r="240" spans="1:11" x14ac:dyDescent="0.2">
      <c r="A240" t="s">
        <v>13563</v>
      </c>
      <c r="B240" t="s">
        <v>13295</v>
      </c>
      <c r="C240" t="s">
        <v>13543</v>
      </c>
      <c r="D240">
        <v>364</v>
      </c>
      <c r="E240">
        <v>397</v>
      </c>
      <c r="F240">
        <v>-8</v>
      </c>
      <c r="G240" s="13">
        <v>0.96699999999999997</v>
      </c>
      <c r="H240" t="s">
        <v>25</v>
      </c>
      <c r="I240">
        <v>1</v>
      </c>
      <c r="J240">
        <v>35</v>
      </c>
      <c r="K240" t="str">
        <f t="shared" si="3"/>
        <v>Filtered out</v>
      </c>
    </row>
    <row r="241" spans="1:11" x14ac:dyDescent="0.2">
      <c r="A241" t="s">
        <v>13564</v>
      </c>
      <c r="B241" t="s">
        <v>13246</v>
      </c>
      <c r="C241" t="s">
        <v>13246</v>
      </c>
      <c r="D241">
        <v>742</v>
      </c>
      <c r="E241">
        <v>1699</v>
      </c>
      <c r="F241">
        <v>-56</v>
      </c>
      <c r="G241" s="13">
        <v>0.96799999999999997</v>
      </c>
      <c r="H241" t="s">
        <v>25</v>
      </c>
      <c r="I241">
        <v>1</v>
      </c>
      <c r="J241">
        <v>62</v>
      </c>
      <c r="K241" t="str">
        <f t="shared" si="3"/>
        <v>Filtered out</v>
      </c>
    </row>
    <row r="242" spans="1:11" x14ac:dyDescent="0.2">
      <c r="A242" t="s">
        <v>13565</v>
      </c>
      <c r="B242" t="s">
        <v>13246</v>
      </c>
      <c r="C242" t="s">
        <v>13246</v>
      </c>
      <c r="D242">
        <v>7114</v>
      </c>
      <c r="E242">
        <v>7114</v>
      </c>
      <c r="F242">
        <v>0</v>
      </c>
      <c r="G242" s="13">
        <v>0.98299999999999998</v>
      </c>
      <c r="H242" t="s">
        <v>25</v>
      </c>
      <c r="I242">
        <v>1</v>
      </c>
      <c r="J242">
        <v>1087</v>
      </c>
      <c r="K242" t="str">
        <f t="shared" si="3"/>
        <v>Retained</v>
      </c>
    </row>
    <row r="243" spans="1:11" x14ac:dyDescent="0.2">
      <c r="A243" t="s">
        <v>13566</v>
      </c>
      <c r="B243" t="s">
        <v>13246</v>
      </c>
      <c r="C243" t="s">
        <v>13562</v>
      </c>
      <c r="D243">
        <v>142</v>
      </c>
      <c r="E243">
        <v>1534</v>
      </c>
      <c r="F243">
        <v>-90</v>
      </c>
      <c r="G243" s="13">
        <v>0.38100000000000001</v>
      </c>
      <c r="H243" t="s">
        <v>70</v>
      </c>
      <c r="I243">
        <v>0</v>
      </c>
      <c r="J243" t="s">
        <v>190</v>
      </c>
      <c r="K243" t="str">
        <f t="shared" si="3"/>
        <v>Filtered out</v>
      </c>
    </row>
    <row r="244" spans="1:11" x14ac:dyDescent="0.2">
      <c r="A244" t="s">
        <v>13567</v>
      </c>
      <c r="B244" t="s">
        <v>13562</v>
      </c>
      <c r="C244" t="s">
        <v>13246</v>
      </c>
      <c r="D244">
        <v>91</v>
      </c>
      <c r="E244">
        <v>1579</v>
      </c>
      <c r="F244">
        <v>-94</v>
      </c>
      <c r="G244" s="13">
        <v>0.8</v>
      </c>
      <c r="H244" t="s">
        <v>70</v>
      </c>
      <c r="I244">
        <v>0</v>
      </c>
      <c r="J244" t="s">
        <v>190</v>
      </c>
      <c r="K244" t="str">
        <f t="shared" si="3"/>
        <v>Filtered out</v>
      </c>
    </row>
    <row r="245" spans="1:11" x14ac:dyDescent="0.2">
      <c r="A245" t="s">
        <v>13568</v>
      </c>
      <c r="B245" t="s">
        <v>13283</v>
      </c>
      <c r="C245" t="s">
        <v>13246</v>
      </c>
      <c r="D245">
        <v>61</v>
      </c>
      <c r="E245">
        <v>433</v>
      </c>
      <c r="F245">
        <v>-85</v>
      </c>
      <c r="G245" s="13">
        <v>1</v>
      </c>
      <c r="H245" t="s">
        <v>70</v>
      </c>
      <c r="I245">
        <v>0</v>
      </c>
      <c r="J245" t="s">
        <v>190</v>
      </c>
      <c r="K245" t="str">
        <f t="shared" si="3"/>
        <v>Filtered out</v>
      </c>
    </row>
    <row r="246" spans="1:11" x14ac:dyDescent="0.2">
      <c r="A246" t="s">
        <v>13569</v>
      </c>
      <c r="B246" t="s">
        <v>13246</v>
      </c>
      <c r="C246" t="s">
        <v>13246</v>
      </c>
      <c r="D246">
        <v>169</v>
      </c>
      <c r="E246">
        <v>595</v>
      </c>
      <c r="F246">
        <v>-71</v>
      </c>
      <c r="G246" s="13">
        <v>0.94599999999999995</v>
      </c>
      <c r="H246" t="s">
        <v>70</v>
      </c>
      <c r="I246">
        <v>0</v>
      </c>
      <c r="J246" t="s">
        <v>190</v>
      </c>
      <c r="K246" t="str">
        <f t="shared" si="3"/>
        <v>Filtered out</v>
      </c>
    </row>
    <row r="247" spans="1:11" x14ac:dyDescent="0.2">
      <c r="A247" t="s">
        <v>13570</v>
      </c>
      <c r="B247" t="s">
        <v>13268</v>
      </c>
      <c r="C247" t="s">
        <v>13270</v>
      </c>
      <c r="D247">
        <v>163</v>
      </c>
      <c r="E247">
        <v>277</v>
      </c>
      <c r="F247">
        <v>-41</v>
      </c>
      <c r="G247" s="13">
        <v>0.85399999999999998</v>
      </c>
      <c r="H247" t="s">
        <v>25</v>
      </c>
      <c r="I247">
        <v>1</v>
      </c>
      <c r="J247">
        <v>2</v>
      </c>
      <c r="K247" t="str">
        <f t="shared" si="3"/>
        <v>Filtered out</v>
      </c>
    </row>
    <row r="248" spans="1:11" x14ac:dyDescent="0.2">
      <c r="A248" t="s">
        <v>13571</v>
      </c>
      <c r="B248" t="s">
        <v>13337</v>
      </c>
      <c r="C248" t="s">
        <v>13418</v>
      </c>
      <c r="D248">
        <v>1330</v>
      </c>
      <c r="E248">
        <v>1812</v>
      </c>
      <c r="F248">
        <v>-26</v>
      </c>
      <c r="G248" s="13">
        <v>0.82199999999999995</v>
      </c>
      <c r="H248" t="s">
        <v>25</v>
      </c>
      <c r="I248">
        <v>1</v>
      </c>
      <c r="J248">
        <v>387</v>
      </c>
      <c r="K248" t="str">
        <f t="shared" si="3"/>
        <v>Filtered out</v>
      </c>
    </row>
    <row r="249" spans="1:11" x14ac:dyDescent="0.2">
      <c r="A249" t="s">
        <v>13572</v>
      </c>
      <c r="B249" t="s">
        <v>13246</v>
      </c>
      <c r="C249" t="s">
        <v>13246</v>
      </c>
      <c r="D249">
        <v>1357</v>
      </c>
      <c r="E249">
        <v>1351</v>
      </c>
      <c r="F249">
        <v>0</v>
      </c>
      <c r="G249" s="13">
        <v>0.33600000000000002</v>
      </c>
      <c r="H249" t="s">
        <v>25</v>
      </c>
      <c r="I249">
        <v>15</v>
      </c>
      <c r="J249">
        <v>72</v>
      </c>
      <c r="K249" t="str">
        <f t="shared" si="3"/>
        <v>Filtered out</v>
      </c>
    </row>
    <row r="250" spans="1:11" x14ac:dyDescent="0.2">
      <c r="A250" t="s">
        <v>13573</v>
      </c>
      <c r="B250" t="s">
        <v>13246</v>
      </c>
      <c r="C250" t="s">
        <v>13246</v>
      </c>
      <c r="D250">
        <v>100</v>
      </c>
      <c r="E250">
        <v>544</v>
      </c>
      <c r="F250">
        <v>-81</v>
      </c>
      <c r="G250" s="13">
        <v>1</v>
      </c>
      <c r="H250" t="s">
        <v>70</v>
      </c>
      <c r="I250">
        <v>0</v>
      </c>
      <c r="J250" t="s">
        <v>190</v>
      </c>
      <c r="K250" t="str">
        <f t="shared" si="3"/>
        <v>Filtered out</v>
      </c>
    </row>
    <row r="251" spans="1:11" x14ac:dyDescent="0.2">
      <c r="A251" t="s">
        <v>13574</v>
      </c>
      <c r="B251" t="s">
        <v>13314</v>
      </c>
      <c r="C251" t="s">
        <v>13246</v>
      </c>
      <c r="D251">
        <v>808</v>
      </c>
      <c r="E251">
        <v>859</v>
      </c>
      <c r="F251">
        <v>-5</v>
      </c>
      <c r="G251" s="13">
        <v>0.98099999999999998</v>
      </c>
      <c r="H251" t="s">
        <v>25</v>
      </c>
      <c r="I251">
        <v>1</v>
      </c>
      <c r="J251">
        <v>266</v>
      </c>
      <c r="K251" t="str">
        <f t="shared" si="3"/>
        <v>Filtered out</v>
      </c>
    </row>
    <row r="252" spans="1:11" x14ac:dyDescent="0.2">
      <c r="A252" t="s">
        <v>13575</v>
      </c>
      <c r="B252" t="s">
        <v>13375</v>
      </c>
      <c r="C252" t="s">
        <v>13246</v>
      </c>
      <c r="D252">
        <v>424</v>
      </c>
      <c r="E252">
        <v>616</v>
      </c>
      <c r="F252">
        <v>-31</v>
      </c>
      <c r="G252" s="13">
        <v>0.65</v>
      </c>
      <c r="H252" t="s">
        <v>25</v>
      </c>
      <c r="I252">
        <v>1</v>
      </c>
      <c r="J252">
        <v>114</v>
      </c>
      <c r="K252" t="str">
        <f t="shared" si="3"/>
        <v>Filtered out</v>
      </c>
    </row>
    <row r="253" spans="1:11" x14ac:dyDescent="0.2">
      <c r="A253" t="s">
        <v>13576</v>
      </c>
      <c r="B253" t="s">
        <v>13246</v>
      </c>
      <c r="C253" t="s">
        <v>13246</v>
      </c>
      <c r="D253">
        <v>2731</v>
      </c>
      <c r="E253">
        <v>2731</v>
      </c>
      <c r="F253">
        <v>0</v>
      </c>
      <c r="G253" s="13">
        <v>0.97499999999999998</v>
      </c>
      <c r="H253" t="s">
        <v>25</v>
      </c>
      <c r="I253">
        <v>1</v>
      </c>
      <c r="J253">
        <v>264</v>
      </c>
      <c r="K253" t="str">
        <f t="shared" si="3"/>
        <v>Retained</v>
      </c>
    </row>
    <row r="254" spans="1:11" x14ac:dyDescent="0.2">
      <c r="A254" t="s">
        <v>13577</v>
      </c>
      <c r="B254" t="s">
        <v>13265</v>
      </c>
      <c r="C254" t="s">
        <v>13265</v>
      </c>
      <c r="D254">
        <v>352</v>
      </c>
      <c r="E254">
        <v>1153</v>
      </c>
      <c r="F254">
        <v>-69</v>
      </c>
      <c r="G254" s="13">
        <v>0.99099999999999999</v>
      </c>
      <c r="H254" t="s">
        <v>70</v>
      </c>
      <c r="I254">
        <v>0</v>
      </c>
      <c r="J254" t="s">
        <v>190</v>
      </c>
      <c r="K254" t="str">
        <f t="shared" si="3"/>
        <v>Filtered out</v>
      </c>
    </row>
    <row r="255" spans="1:11" x14ac:dyDescent="0.2">
      <c r="A255" t="s">
        <v>13578</v>
      </c>
      <c r="B255" t="s">
        <v>13377</v>
      </c>
      <c r="C255" t="s">
        <v>13312</v>
      </c>
      <c r="D255">
        <v>217</v>
      </c>
      <c r="E255">
        <v>541</v>
      </c>
      <c r="F255">
        <v>-59</v>
      </c>
      <c r="G255" s="13">
        <v>0.95799999999999996</v>
      </c>
      <c r="H255" t="s">
        <v>70</v>
      </c>
      <c r="I255">
        <v>0</v>
      </c>
      <c r="J255" t="s">
        <v>190</v>
      </c>
      <c r="K255" t="str">
        <f t="shared" si="3"/>
        <v>Filtered out</v>
      </c>
    </row>
    <row r="256" spans="1:11" x14ac:dyDescent="0.2">
      <c r="A256" t="s">
        <v>13579</v>
      </c>
      <c r="B256" t="s">
        <v>13312</v>
      </c>
      <c r="C256" t="s">
        <v>13268</v>
      </c>
      <c r="D256">
        <v>229</v>
      </c>
      <c r="E256">
        <v>414</v>
      </c>
      <c r="F256">
        <v>-44</v>
      </c>
      <c r="G256" s="13">
        <v>0.35299999999999998</v>
      </c>
      <c r="H256" t="s">
        <v>70</v>
      </c>
      <c r="I256">
        <v>0</v>
      </c>
      <c r="J256" t="s">
        <v>190</v>
      </c>
      <c r="K256" t="str">
        <f t="shared" si="3"/>
        <v>Filtered out</v>
      </c>
    </row>
    <row r="257" spans="1:11" x14ac:dyDescent="0.2">
      <c r="A257" t="s">
        <v>13579</v>
      </c>
      <c r="B257" t="s">
        <v>13312</v>
      </c>
      <c r="C257" t="s">
        <v>13268</v>
      </c>
      <c r="D257">
        <v>229</v>
      </c>
      <c r="E257">
        <v>414</v>
      </c>
      <c r="F257">
        <v>-44</v>
      </c>
      <c r="G257" s="13">
        <v>0.35299999999999998</v>
      </c>
      <c r="H257" t="s">
        <v>70</v>
      </c>
      <c r="I257">
        <v>0</v>
      </c>
      <c r="J257" t="s">
        <v>190</v>
      </c>
      <c r="K257" t="str">
        <f t="shared" si="3"/>
        <v>Filtered out</v>
      </c>
    </row>
    <row r="258" spans="1:11" x14ac:dyDescent="0.2">
      <c r="A258" t="s">
        <v>13580</v>
      </c>
      <c r="B258" t="s">
        <v>13246</v>
      </c>
      <c r="C258" t="s">
        <v>13246</v>
      </c>
      <c r="D258">
        <v>1549</v>
      </c>
      <c r="E258">
        <v>1549</v>
      </c>
      <c r="F258">
        <v>0</v>
      </c>
      <c r="G258" s="13">
        <v>0.96499999999999997</v>
      </c>
      <c r="H258" t="s">
        <v>25</v>
      </c>
      <c r="I258">
        <v>1</v>
      </c>
      <c r="J258">
        <v>455</v>
      </c>
      <c r="K258" t="str">
        <f t="shared" si="3"/>
        <v>Retained</v>
      </c>
    </row>
    <row r="259" spans="1:11" x14ac:dyDescent="0.2">
      <c r="A259" t="s">
        <v>13581</v>
      </c>
      <c r="B259" t="s">
        <v>13543</v>
      </c>
      <c r="C259" t="s">
        <v>13246</v>
      </c>
      <c r="D259">
        <v>238</v>
      </c>
      <c r="E259">
        <v>316</v>
      </c>
      <c r="F259">
        <v>-24</v>
      </c>
      <c r="G259" s="13">
        <v>0.88600000000000001</v>
      </c>
      <c r="H259" t="s">
        <v>25</v>
      </c>
      <c r="I259">
        <v>1</v>
      </c>
      <c r="J259">
        <v>15</v>
      </c>
      <c r="K259" t="str">
        <f t="shared" si="3"/>
        <v>Filtered out</v>
      </c>
    </row>
    <row r="260" spans="1:11" x14ac:dyDescent="0.2">
      <c r="A260" t="s">
        <v>13582</v>
      </c>
      <c r="B260" t="s">
        <v>13246</v>
      </c>
      <c r="C260" t="s">
        <v>13360</v>
      </c>
      <c r="D260">
        <v>121</v>
      </c>
      <c r="E260">
        <v>331</v>
      </c>
      <c r="F260">
        <v>-63</v>
      </c>
      <c r="G260" s="13">
        <v>0.58299999999999996</v>
      </c>
      <c r="H260" t="s">
        <v>70</v>
      </c>
      <c r="I260">
        <v>0</v>
      </c>
      <c r="J260" t="s">
        <v>190</v>
      </c>
      <c r="K260" t="str">
        <f t="shared" si="3"/>
        <v>Filtered out</v>
      </c>
    </row>
    <row r="261" spans="1:11" x14ac:dyDescent="0.2">
      <c r="A261" t="s">
        <v>13583</v>
      </c>
      <c r="B261" t="s">
        <v>13428</v>
      </c>
      <c r="C261" t="s">
        <v>13246</v>
      </c>
      <c r="D261">
        <v>145</v>
      </c>
      <c r="E261">
        <v>313</v>
      </c>
      <c r="F261">
        <v>-53</v>
      </c>
      <c r="G261" s="13">
        <v>1</v>
      </c>
      <c r="H261" t="s">
        <v>25</v>
      </c>
      <c r="I261">
        <v>1</v>
      </c>
      <c r="J261">
        <v>45</v>
      </c>
      <c r="K261" t="str">
        <f t="shared" si="3"/>
        <v>Filtered out</v>
      </c>
    </row>
    <row r="262" spans="1:11" x14ac:dyDescent="0.2">
      <c r="A262" t="s">
        <v>13584</v>
      </c>
      <c r="B262" t="s">
        <v>13337</v>
      </c>
      <c r="C262" t="s">
        <v>13283</v>
      </c>
      <c r="D262">
        <v>319</v>
      </c>
      <c r="E262">
        <v>565</v>
      </c>
      <c r="F262">
        <v>-43</v>
      </c>
      <c r="G262" s="13">
        <v>0.91500000000000004</v>
      </c>
      <c r="H262" t="s">
        <v>70</v>
      </c>
      <c r="I262">
        <v>0</v>
      </c>
      <c r="J262" t="s">
        <v>190</v>
      </c>
      <c r="K262" t="str">
        <f t="shared" si="3"/>
        <v>Filtered out</v>
      </c>
    </row>
    <row r="263" spans="1:11" x14ac:dyDescent="0.2">
      <c r="A263" t="s">
        <v>13585</v>
      </c>
      <c r="B263" t="s">
        <v>13318</v>
      </c>
      <c r="C263" t="s">
        <v>13458</v>
      </c>
      <c r="D263">
        <v>283</v>
      </c>
      <c r="E263">
        <v>1243</v>
      </c>
      <c r="F263">
        <v>-77</v>
      </c>
      <c r="G263" s="13">
        <v>0.97899999999999998</v>
      </c>
      <c r="H263" t="s">
        <v>70</v>
      </c>
      <c r="I263">
        <v>0</v>
      </c>
      <c r="J263" t="s">
        <v>190</v>
      </c>
      <c r="K263" t="str">
        <f t="shared" si="3"/>
        <v>Filtered out</v>
      </c>
    </row>
    <row r="264" spans="1:11" x14ac:dyDescent="0.2">
      <c r="A264" t="s">
        <v>13586</v>
      </c>
      <c r="B264" t="s">
        <v>13246</v>
      </c>
      <c r="C264" t="s">
        <v>13246</v>
      </c>
      <c r="D264">
        <v>2569</v>
      </c>
      <c r="E264">
        <v>2569</v>
      </c>
      <c r="F264">
        <v>0</v>
      </c>
      <c r="G264" s="13">
        <v>0.95799999999999996</v>
      </c>
      <c r="H264" t="s">
        <v>25</v>
      </c>
      <c r="I264">
        <v>1</v>
      </c>
      <c r="J264">
        <v>267</v>
      </c>
      <c r="K264" t="str">
        <f t="shared" ref="K264:K327" si="4">IF(AND(B264=C264,F264&lt;10,F264&gt;-10,I264&gt;0,G264&gt;90%,G264&lt;100%),"Retained","Filtered out")</f>
        <v>Retained</v>
      </c>
    </row>
    <row r="265" spans="1:11" x14ac:dyDescent="0.2">
      <c r="A265" t="s">
        <v>13587</v>
      </c>
      <c r="B265" t="s">
        <v>13346</v>
      </c>
      <c r="C265" t="s">
        <v>13346</v>
      </c>
      <c r="D265">
        <v>2491</v>
      </c>
      <c r="E265">
        <v>2491</v>
      </c>
      <c r="F265">
        <v>0</v>
      </c>
      <c r="G265" s="13">
        <v>0.96</v>
      </c>
      <c r="H265" t="s">
        <v>25</v>
      </c>
      <c r="I265">
        <v>1</v>
      </c>
      <c r="J265">
        <v>805</v>
      </c>
      <c r="K265" t="str">
        <f t="shared" si="4"/>
        <v>Retained</v>
      </c>
    </row>
    <row r="266" spans="1:11" x14ac:dyDescent="0.2">
      <c r="A266" t="s">
        <v>13588</v>
      </c>
      <c r="B266" t="s">
        <v>13254</v>
      </c>
      <c r="C266" t="s">
        <v>13394</v>
      </c>
      <c r="D266">
        <v>265</v>
      </c>
      <c r="E266">
        <v>1105</v>
      </c>
      <c r="F266">
        <v>-76</v>
      </c>
      <c r="G266" s="13">
        <v>0.97699999999999998</v>
      </c>
      <c r="H266" t="s">
        <v>70</v>
      </c>
      <c r="I266">
        <v>0</v>
      </c>
      <c r="J266" t="s">
        <v>190</v>
      </c>
      <c r="K266" t="str">
        <f t="shared" si="4"/>
        <v>Filtered out</v>
      </c>
    </row>
    <row r="267" spans="1:11" x14ac:dyDescent="0.2">
      <c r="A267" t="s">
        <v>13589</v>
      </c>
      <c r="B267" t="s">
        <v>13265</v>
      </c>
      <c r="C267" t="s">
        <v>13265</v>
      </c>
      <c r="D267">
        <v>442</v>
      </c>
      <c r="E267">
        <v>442</v>
      </c>
      <c r="F267">
        <v>0</v>
      </c>
      <c r="G267" s="13">
        <v>0.70799999999999996</v>
      </c>
      <c r="H267" t="s">
        <v>25</v>
      </c>
      <c r="I267">
        <v>2</v>
      </c>
      <c r="J267">
        <v>41</v>
      </c>
      <c r="K267" t="str">
        <f t="shared" si="4"/>
        <v>Filtered out</v>
      </c>
    </row>
    <row r="268" spans="1:11" x14ac:dyDescent="0.2">
      <c r="A268" t="s">
        <v>6</v>
      </c>
      <c r="B268" t="s">
        <v>13246</v>
      </c>
      <c r="C268" t="s">
        <v>13246</v>
      </c>
      <c r="D268">
        <v>1138</v>
      </c>
      <c r="E268">
        <v>1138</v>
      </c>
      <c r="F268">
        <v>0</v>
      </c>
      <c r="G268" s="13">
        <v>0.98399999999999999</v>
      </c>
      <c r="H268" t="s">
        <v>25</v>
      </c>
      <c r="I268">
        <v>1</v>
      </c>
      <c r="J268">
        <v>263</v>
      </c>
      <c r="K268" t="str">
        <f t="shared" si="4"/>
        <v>Retained</v>
      </c>
    </row>
    <row r="269" spans="1:11" x14ac:dyDescent="0.2">
      <c r="A269" t="s">
        <v>13591</v>
      </c>
      <c r="B269" t="s">
        <v>13364</v>
      </c>
      <c r="C269" t="s">
        <v>13412</v>
      </c>
      <c r="D269">
        <v>772</v>
      </c>
      <c r="E269">
        <v>1918</v>
      </c>
      <c r="F269">
        <v>-59</v>
      </c>
      <c r="G269" s="13">
        <v>0.86699999999999999</v>
      </c>
      <c r="H269" t="s">
        <v>25</v>
      </c>
      <c r="I269">
        <v>1</v>
      </c>
      <c r="J269">
        <v>2</v>
      </c>
      <c r="K269" t="str">
        <f t="shared" si="4"/>
        <v>Filtered out</v>
      </c>
    </row>
    <row r="270" spans="1:11" x14ac:dyDescent="0.2">
      <c r="A270" t="s">
        <v>13592</v>
      </c>
      <c r="B270" t="s">
        <v>13263</v>
      </c>
      <c r="C270" t="s">
        <v>13246</v>
      </c>
      <c r="D270">
        <v>739</v>
      </c>
      <c r="E270">
        <v>1906</v>
      </c>
      <c r="F270">
        <v>-61</v>
      </c>
      <c r="G270" s="13">
        <v>0.89</v>
      </c>
      <c r="H270" t="s">
        <v>70</v>
      </c>
      <c r="I270">
        <v>0</v>
      </c>
      <c r="J270" t="s">
        <v>190</v>
      </c>
      <c r="K270" t="str">
        <f t="shared" si="4"/>
        <v>Filtered out</v>
      </c>
    </row>
    <row r="271" spans="1:11" x14ac:dyDescent="0.2">
      <c r="A271" t="s">
        <v>13593</v>
      </c>
      <c r="B271" t="s">
        <v>13263</v>
      </c>
      <c r="C271" t="s">
        <v>13246</v>
      </c>
      <c r="D271">
        <v>739</v>
      </c>
      <c r="E271">
        <v>1906</v>
      </c>
      <c r="F271">
        <v>-61</v>
      </c>
      <c r="G271" s="13">
        <v>0.89</v>
      </c>
      <c r="H271" t="s">
        <v>70</v>
      </c>
      <c r="I271">
        <v>0</v>
      </c>
      <c r="J271" t="s">
        <v>190</v>
      </c>
      <c r="K271" t="str">
        <f t="shared" si="4"/>
        <v>Filtered out</v>
      </c>
    </row>
    <row r="272" spans="1:11" x14ac:dyDescent="0.2">
      <c r="A272" t="s">
        <v>13594</v>
      </c>
      <c r="B272" t="s">
        <v>13265</v>
      </c>
      <c r="C272" t="s">
        <v>13371</v>
      </c>
      <c r="D272">
        <v>2935</v>
      </c>
      <c r="E272">
        <v>3187</v>
      </c>
      <c r="F272">
        <v>-7</v>
      </c>
      <c r="G272" s="13">
        <v>0.97899999999999998</v>
      </c>
      <c r="H272" t="s">
        <v>25</v>
      </c>
      <c r="I272">
        <v>1</v>
      </c>
      <c r="J272">
        <v>97</v>
      </c>
      <c r="K272" t="str">
        <f t="shared" si="4"/>
        <v>Filtered out</v>
      </c>
    </row>
    <row r="273" spans="1:11" x14ac:dyDescent="0.2">
      <c r="A273" t="s">
        <v>13595</v>
      </c>
      <c r="B273" t="s">
        <v>13397</v>
      </c>
      <c r="C273" t="s">
        <v>13246</v>
      </c>
      <c r="D273">
        <v>61</v>
      </c>
      <c r="E273">
        <v>311</v>
      </c>
      <c r="F273">
        <v>-80</v>
      </c>
      <c r="G273" s="13">
        <v>0.5</v>
      </c>
      <c r="H273" t="s">
        <v>70</v>
      </c>
      <c r="I273">
        <v>0</v>
      </c>
      <c r="J273" t="s">
        <v>190</v>
      </c>
      <c r="K273" t="str">
        <f t="shared" si="4"/>
        <v>Filtered out</v>
      </c>
    </row>
    <row r="274" spans="1:11" x14ac:dyDescent="0.2">
      <c r="A274" t="s">
        <v>13596</v>
      </c>
      <c r="B274" t="s">
        <v>13246</v>
      </c>
      <c r="C274" t="s">
        <v>13246</v>
      </c>
      <c r="D274">
        <v>58</v>
      </c>
      <c r="E274">
        <v>304</v>
      </c>
      <c r="F274">
        <v>-80</v>
      </c>
      <c r="G274" t="s">
        <v>190</v>
      </c>
      <c r="H274" t="s">
        <v>70</v>
      </c>
      <c r="I274">
        <v>0</v>
      </c>
      <c r="J274" t="s">
        <v>190</v>
      </c>
      <c r="K274" t="str">
        <f>IF(AND(B274=C274,F274&lt;10,F274&gt;-10,J274&gt;0,H274&gt;90%,H274&lt;100%),"Retained","Filtered out")</f>
        <v>Filtered out</v>
      </c>
    </row>
    <row r="275" spans="1:11" x14ac:dyDescent="0.2">
      <c r="A275" t="s">
        <v>13597</v>
      </c>
      <c r="B275" t="s">
        <v>13246</v>
      </c>
      <c r="C275" t="s">
        <v>13246</v>
      </c>
      <c r="D275">
        <v>2104</v>
      </c>
      <c r="E275">
        <v>2091</v>
      </c>
      <c r="F275">
        <v>0</v>
      </c>
      <c r="G275" s="13">
        <v>0.93300000000000005</v>
      </c>
      <c r="H275" t="s">
        <v>25</v>
      </c>
      <c r="I275">
        <v>1</v>
      </c>
      <c r="J275">
        <v>590</v>
      </c>
      <c r="K275" t="str">
        <f t="shared" si="4"/>
        <v>Retained</v>
      </c>
    </row>
    <row r="276" spans="1:11" x14ac:dyDescent="0.2">
      <c r="A276" t="s">
        <v>13598</v>
      </c>
      <c r="B276" t="s">
        <v>13312</v>
      </c>
      <c r="C276" t="s">
        <v>13246</v>
      </c>
      <c r="D276">
        <v>1801</v>
      </c>
      <c r="E276">
        <v>1978</v>
      </c>
      <c r="F276">
        <v>-8</v>
      </c>
      <c r="G276" s="13">
        <v>0.995</v>
      </c>
      <c r="H276" t="s">
        <v>25</v>
      </c>
      <c r="I276">
        <v>1</v>
      </c>
      <c r="J276">
        <v>599</v>
      </c>
      <c r="K276" t="str">
        <f t="shared" si="4"/>
        <v>Filtered out</v>
      </c>
    </row>
    <row r="277" spans="1:11" x14ac:dyDescent="0.2">
      <c r="A277" t="s">
        <v>13599</v>
      </c>
      <c r="B277" t="s">
        <v>13248</v>
      </c>
      <c r="C277" t="s">
        <v>13246</v>
      </c>
      <c r="D277">
        <v>211</v>
      </c>
      <c r="E277">
        <v>916</v>
      </c>
      <c r="F277">
        <v>-76</v>
      </c>
      <c r="G277" s="13">
        <v>0.9</v>
      </c>
      <c r="H277" t="s">
        <v>70</v>
      </c>
      <c r="I277">
        <v>0</v>
      </c>
      <c r="J277" t="s">
        <v>190</v>
      </c>
      <c r="K277" t="str">
        <f t="shared" si="4"/>
        <v>Filtered out</v>
      </c>
    </row>
    <row r="278" spans="1:11" x14ac:dyDescent="0.2">
      <c r="A278" t="s">
        <v>13600</v>
      </c>
      <c r="B278" t="s">
        <v>13263</v>
      </c>
      <c r="C278" t="s">
        <v>13536</v>
      </c>
      <c r="D278">
        <v>1186</v>
      </c>
      <c r="E278">
        <v>1036</v>
      </c>
      <c r="F278">
        <v>14</v>
      </c>
      <c r="G278" s="13">
        <v>0.93600000000000005</v>
      </c>
      <c r="H278" t="s">
        <v>25</v>
      </c>
      <c r="I278">
        <v>2</v>
      </c>
      <c r="J278">
        <v>180</v>
      </c>
      <c r="K278" t="str">
        <f t="shared" si="4"/>
        <v>Filtered out</v>
      </c>
    </row>
    <row r="279" spans="1:11" x14ac:dyDescent="0.2">
      <c r="A279" t="s">
        <v>13601</v>
      </c>
      <c r="B279" t="s">
        <v>13263</v>
      </c>
      <c r="C279" t="s">
        <v>13536</v>
      </c>
      <c r="D279">
        <v>1186</v>
      </c>
      <c r="E279">
        <v>1570</v>
      </c>
      <c r="F279">
        <v>-24</v>
      </c>
      <c r="G279" s="13">
        <v>0.93600000000000005</v>
      </c>
      <c r="H279" t="s">
        <v>25</v>
      </c>
      <c r="I279">
        <v>2</v>
      </c>
      <c r="J279">
        <v>180</v>
      </c>
      <c r="K279" t="str">
        <f t="shared" si="4"/>
        <v>Filtered out</v>
      </c>
    </row>
    <row r="280" spans="1:11" x14ac:dyDescent="0.2">
      <c r="A280" t="s">
        <v>13602</v>
      </c>
      <c r="B280" t="s">
        <v>13603</v>
      </c>
      <c r="C280" t="s">
        <v>13246</v>
      </c>
      <c r="D280">
        <v>169</v>
      </c>
      <c r="E280">
        <v>1012</v>
      </c>
      <c r="F280">
        <v>-83</v>
      </c>
      <c r="G280" s="13">
        <v>0.98199999999999998</v>
      </c>
      <c r="H280" t="s">
        <v>70</v>
      </c>
      <c r="I280">
        <v>0</v>
      </c>
      <c r="J280" t="s">
        <v>190</v>
      </c>
      <c r="K280" t="str">
        <f t="shared" si="4"/>
        <v>Filtered out</v>
      </c>
    </row>
    <row r="281" spans="1:11" x14ac:dyDescent="0.2">
      <c r="A281" t="s">
        <v>13604</v>
      </c>
      <c r="B281" t="s">
        <v>13401</v>
      </c>
      <c r="C281" t="s">
        <v>13246</v>
      </c>
      <c r="D281">
        <v>556</v>
      </c>
      <c r="E281">
        <v>856</v>
      </c>
      <c r="F281">
        <v>-35</v>
      </c>
      <c r="G281" s="13">
        <v>0.22700000000000001</v>
      </c>
      <c r="H281" t="s">
        <v>70</v>
      </c>
      <c r="I281">
        <v>0</v>
      </c>
      <c r="J281" t="s">
        <v>190</v>
      </c>
      <c r="K281" t="str">
        <f t="shared" si="4"/>
        <v>Filtered out</v>
      </c>
    </row>
    <row r="282" spans="1:11" x14ac:dyDescent="0.2">
      <c r="A282" t="s">
        <v>13378</v>
      </c>
      <c r="B282" t="s">
        <v>13379</v>
      </c>
      <c r="C282" t="s">
        <v>13263</v>
      </c>
      <c r="D282">
        <v>178</v>
      </c>
      <c r="E282">
        <v>223</v>
      </c>
      <c r="F282">
        <v>-20</v>
      </c>
      <c r="G282" s="13">
        <v>0.5</v>
      </c>
      <c r="H282" t="s">
        <v>25</v>
      </c>
      <c r="I282">
        <v>1</v>
      </c>
      <c r="J282">
        <v>36</v>
      </c>
      <c r="K282" t="str">
        <f t="shared" si="4"/>
        <v>Filtered out</v>
      </c>
    </row>
    <row r="283" spans="1:11" x14ac:dyDescent="0.2">
      <c r="A283" t="s">
        <v>13605</v>
      </c>
      <c r="B283" t="s">
        <v>13560</v>
      </c>
      <c r="C283" t="s">
        <v>13560</v>
      </c>
      <c r="D283">
        <v>1399</v>
      </c>
      <c r="E283">
        <v>1408</v>
      </c>
      <c r="F283">
        <v>0</v>
      </c>
      <c r="G283" s="13">
        <v>0.45800000000000002</v>
      </c>
      <c r="H283" t="s">
        <v>25</v>
      </c>
      <c r="I283">
        <v>11</v>
      </c>
      <c r="J283">
        <v>96</v>
      </c>
      <c r="K283" t="str">
        <f t="shared" si="4"/>
        <v>Filtered out</v>
      </c>
    </row>
    <row r="284" spans="1:11" x14ac:dyDescent="0.2">
      <c r="A284" t="s">
        <v>13606</v>
      </c>
      <c r="B284" t="s">
        <v>13368</v>
      </c>
      <c r="C284" t="s">
        <v>13246</v>
      </c>
      <c r="D284">
        <v>304</v>
      </c>
      <c r="E284">
        <v>1090</v>
      </c>
      <c r="F284">
        <v>-72</v>
      </c>
      <c r="G284" s="13">
        <v>1</v>
      </c>
      <c r="H284" t="s">
        <v>70</v>
      </c>
      <c r="I284">
        <v>0</v>
      </c>
      <c r="J284" t="s">
        <v>190</v>
      </c>
      <c r="K284" t="str">
        <f t="shared" si="4"/>
        <v>Filtered out</v>
      </c>
    </row>
    <row r="285" spans="1:11" x14ac:dyDescent="0.2">
      <c r="A285" t="s">
        <v>13607</v>
      </c>
      <c r="B285" t="s">
        <v>13368</v>
      </c>
      <c r="C285" t="s">
        <v>13533</v>
      </c>
      <c r="D285">
        <v>616</v>
      </c>
      <c r="E285">
        <v>892</v>
      </c>
      <c r="F285">
        <v>-30</v>
      </c>
      <c r="G285" s="13">
        <v>0.99</v>
      </c>
      <c r="H285" t="s">
        <v>25</v>
      </c>
      <c r="I285">
        <v>2</v>
      </c>
      <c r="J285">
        <v>130</v>
      </c>
      <c r="K285" t="str">
        <f t="shared" si="4"/>
        <v>Filtered out</v>
      </c>
    </row>
    <row r="286" spans="1:11" x14ac:dyDescent="0.2">
      <c r="A286" t="s">
        <v>13608</v>
      </c>
      <c r="B286" t="s">
        <v>13254</v>
      </c>
      <c r="C286" t="s">
        <v>13265</v>
      </c>
      <c r="D286">
        <v>133</v>
      </c>
      <c r="E286">
        <v>1093</v>
      </c>
      <c r="F286">
        <v>-87</v>
      </c>
      <c r="G286" s="13">
        <v>1</v>
      </c>
      <c r="H286" t="s">
        <v>70</v>
      </c>
      <c r="I286">
        <v>0</v>
      </c>
      <c r="J286" t="s">
        <v>190</v>
      </c>
      <c r="K286" t="str">
        <f t="shared" si="4"/>
        <v>Filtered out</v>
      </c>
    </row>
    <row r="287" spans="1:11" x14ac:dyDescent="0.2">
      <c r="A287" t="s">
        <v>13609</v>
      </c>
      <c r="B287" t="s">
        <v>13373</v>
      </c>
      <c r="C287" t="s">
        <v>13373</v>
      </c>
      <c r="D287">
        <v>2917</v>
      </c>
      <c r="E287">
        <v>2917</v>
      </c>
      <c r="F287">
        <v>0</v>
      </c>
      <c r="G287" s="13">
        <v>0.99199999999999999</v>
      </c>
      <c r="H287" t="s">
        <v>25</v>
      </c>
      <c r="I287">
        <v>1</v>
      </c>
      <c r="J287">
        <v>450</v>
      </c>
      <c r="K287" t="str">
        <f t="shared" si="4"/>
        <v>Retained</v>
      </c>
    </row>
    <row r="288" spans="1:11" x14ac:dyDescent="0.2">
      <c r="A288" t="s">
        <v>13610</v>
      </c>
      <c r="B288" t="s">
        <v>13289</v>
      </c>
      <c r="C288" t="s">
        <v>13337</v>
      </c>
      <c r="D288">
        <v>193</v>
      </c>
      <c r="E288">
        <v>331</v>
      </c>
      <c r="F288">
        <v>-41</v>
      </c>
      <c r="G288" s="13">
        <v>1</v>
      </c>
      <c r="H288" t="s">
        <v>70</v>
      </c>
      <c r="I288">
        <v>0</v>
      </c>
      <c r="J288" t="s">
        <v>190</v>
      </c>
      <c r="K288" t="str">
        <f t="shared" si="4"/>
        <v>Filtered out</v>
      </c>
    </row>
    <row r="289" spans="1:11" x14ac:dyDescent="0.2">
      <c r="A289" t="s">
        <v>13611</v>
      </c>
      <c r="B289" t="s">
        <v>13446</v>
      </c>
      <c r="C289" t="s">
        <v>13446</v>
      </c>
      <c r="D289">
        <v>2812</v>
      </c>
      <c r="E289">
        <v>2812</v>
      </c>
      <c r="F289">
        <v>0</v>
      </c>
      <c r="G289" s="13">
        <v>0.97</v>
      </c>
      <c r="H289" t="s">
        <v>25</v>
      </c>
      <c r="I289">
        <v>1</v>
      </c>
      <c r="J289">
        <v>669</v>
      </c>
      <c r="K289" t="str">
        <f t="shared" si="4"/>
        <v>Retained</v>
      </c>
    </row>
    <row r="290" spans="1:11" x14ac:dyDescent="0.2">
      <c r="A290" t="s">
        <v>13612</v>
      </c>
      <c r="B290" t="s">
        <v>13385</v>
      </c>
      <c r="C290" t="s">
        <v>13255</v>
      </c>
      <c r="D290">
        <v>112</v>
      </c>
      <c r="E290">
        <v>280</v>
      </c>
      <c r="F290">
        <v>-60</v>
      </c>
      <c r="G290" s="13">
        <v>1</v>
      </c>
      <c r="H290" t="s">
        <v>70</v>
      </c>
      <c r="I290">
        <v>0</v>
      </c>
      <c r="J290" t="s">
        <v>190</v>
      </c>
      <c r="K290" t="str">
        <f t="shared" si="4"/>
        <v>Filtered out</v>
      </c>
    </row>
    <row r="291" spans="1:11" x14ac:dyDescent="0.2">
      <c r="A291" t="s">
        <v>13613</v>
      </c>
      <c r="B291" t="s">
        <v>13246</v>
      </c>
      <c r="C291" t="s">
        <v>13246</v>
      </c>
      <c r="D291">
        <v>1345</v>
      </c>
      <c r="E291">
        <v>1345</v>
      </c>
      <c r="F291">
        <v>0</v>
      </c>
      <c r="G291" s="13">
        <v>0.90200000000000002</v>
      </c>
      <c r="H291" t="s">
        <v>25</v>
      </c>
      <c r="I291">
        <v>1</v>
      </c>
      <c r="J291">
        <v>118</v>
      </c>
      <c r="K291" t="str">
        <f t="shared" si="4"/>
        <v>Retained</v>
      </c>
    </row>
    <row r="292" spans="1:11" x14ac:dyDescent="0.2">
      <c r="A292" t="s">
        <v>13614</v>
      </c>
      <c r="B292" t="s">
        <v>13390</v>
      </c>
      <c r="C292" t="s">
        <v>13297</v>
      </c>
      <c r="D292">
        <v>523</v>
      </c>
      <c r="E292">
        <v>3464</v>
      </c>
      <c r="F292">
        <v>-84</v>
      </c>
      <c r="G292" s="13">
        <v>0.254</v>
      </c>
      <c r="H292" t="s">
        <v>25</v>
      </c>
      <c r="I292">
        <v>1</v>
      </c>
      <c r="J292">
        <v>102</v>
      </c>
      <c r="K292" t="str">
        <f t="shared" si="4"/>
        <v>Filtered out</v>
      </c>
    </row>
    <row r="293" spans="1:11" x14ac:dyDescent="0.2">
      <c r="A293" t="s">
        <v>13615</v>
      </c>
      <c r="B293" t="s">
        <v>13397</v>
      </c>
      <c r="C293" t="s">
        <v>13246</v>
      </c>
      <c r="D293">
        <v>4990</v>
      </c>
      <c r="E293">
        <v>6091</v>
      </c>
      <c r="F293">
        <v>-18</v>
      </c>
      <c r="G293" s="13">
        <v>0.995</v>
      </c>
      <c r="H293" t="s">
        <v>25</v>
      </c>
      <c r="I293">
        <v>1</v>
      </c>
      <c r="J293">
        <v>1661</v>
      </c>
      <c r="K293" t="str">
        <f t="shared" si="4"/>
        <v>Filtered out</v>
      </c>
    </row>
    <row r="294" spans="1:11" x14ac:dyDescent="0.2">
      <c r="A294" t="s">
        <v>13614</v>
      </c>
      <c r="B294" t="s">
        <v>13390</v>
      </c>
      <c r="C294" t="s">
        <v>13297</v>
      </c>
      <c r="D294">
        <v>523</v>
      </c>
      <c r="E294">
        <v>3464</v>
      </c>
      <c r="F294">
        <v>-84</v>
      </c>
      <c r="G294" s="13">
        <v>0.254</v>
      </c>
      <c r="H294" t="s">
        <v>25</v>
      </c>
      <c r="I294">
        <v>1</v>
      </c>
      <c r="J294">
        <v>102</v>
      </c>
      <c r="K294" t="str">
        <f t="shared" si="4"/>
        <v>Filtered out</v>
      </c>
    </row>
    <row r="295" spans="1:11" x14ac:dyDescent="0.2">
      <c r="A295" t="s">
        <v>13615</v>
      </c>
      <c r="B295" t="s">
        <v>13397</v>
      </c>
      <c r="C295" t="s">
        <v>13246</v>
      </c>
      <c r="D295">
        <v>4990</v>
      </c>
      <c r="E295">
        <v>6091</v>
      </c>
      <c r="F295">
        <v>-18</v>
      </c>
      <c r="G295" s="13">
        <v>0.995</v>
      </c>
      <c r="H295" t="s">
        <v>25</v>
      </c>
      <c r="I295">
        <v>1</v>
      </c>
      <c r="J295">
        <v>1661</v>
      </c>
      <c r="K295" t="str">
        <f t="shared" si="4"/>
        <v>Filtered out</v>
      </c>
    </row>
    <row r="296" spans="1:11" x14ac:dyDescent="0.2">
      <c r="A296" t="s">
        <v>13616</v>
      </c>
      <c r="B296" t="s">
        <v>13452</v>
      </c>
      <c r="C296" t="s">
        <v>13452</v>
      </c>
      <c r="D296">
        <v>1570</v>
      </c>
      <c r="E296">
        <v>1567</v>
      </c>
      <c r="F296">
        <v>0</v>
      </c>
      <c r="G296" s="13">
        <v>0.97699999999999998</v>
      </c>
      <c r="H296" t="s">
        <v>25</v>
      </c>
      <c r="I296">
        <v>1</v>
      </c>
      <c r="J296">
        <v>434</v>
      </c>
      <c r="K296" t="str">
        <f t="shared" si="4"/>
        <v>Retained</v>
      </c>
    </row>
    <row r="297" spans="1:11" x14ac:dyDescent="0.2">
      <c r="A297" t="s">
        <v>13617</v>
      </c>
      <c r="B297" t="s">
        <v>13254</v>
      </c>
      <c r="C297" t="s">
        <v>13618</v>
      </c>
      <c r="D297">
        <v>1738</v>
      </c>
      <c r="E297">
        <v>1768</v>
      </c>
      <c r="F297">
        <v>-1</v>
      </c>
      <c r="G297" s="13">
        <v>0.97899999999999998</v>
      </c>
      <c r="H297" t="s">
        <v>25</v>
      </c>
      <c r="I297">
        <v>1</v>
      </c>
      <c r="J297">
        <v>578</v>
      </c>
      <c r="K297" t="str">
        <f t="shared" si="4"/>
        <v>Filtered out</v>
      </c>
    </row>
    <row r="298" spans="1:11" x14ac:dyDescent="0.2">
      <c r="A298" t="s">
        <v>13619</v>
      </c>
      <c r="B298" t="s">
        <v>13246</v>
      </c>
      <c r="C298" t="s">
        <v>13246</v>
      </c>
      <c r="D298">
        <v>2314</v>
      </c>
      <c r="E298">
        <v>2314</v>
      </c>
      <c r="F298">
        <v>0</v>
      </c>
      <c r="G298" s="13">
        <v>0.96599999999999997</v>
      </c>
      <c r="H298" t="s">
        <v>25</v>
      </c>
      <c r="I298">
        <v>1</v>
      </c>
      <c r="J298">
        <v>661</v>
      </c>
      <c r="K298" t="str">
        <f t="shared" si="4"/>
        <v>Retained</v>
      </c>
    </row>
    <row r="299" spans="1:11" x14ac:dyDescent="0.2">
      <c r="A299" t="s">
        <v>13620</v>
      </c>
      <c r="B299" t="s">
        <v>13394</v>
      </c>
      <c r="C299" t="s">
        <v>13394</v>
      </c>
      <c r="D299">
        <v>2050</v>
      </c>
      <c r="E299">
        <v>2050</v>
      </c>
      <c r="F299">
        <v>0</v>
      </c>
      <c r="G299" s="13">
        <v>0.93100000000000005</v>
      </c>
      <c r="H299" t="s">
        <v>25</v>
      </c>
      <c r="I299">
        <v>1</v>
      </c>
      <c r="J299">
        <v>324</v>
      </c>
      <c r="K299" t="str">
        <f t="shared" si="4"/>
        <v>Retained</v>
      </c>
    </row>
    <row r="300" spans="1:11" x14ac:dyDescent="0.2">
      <c r="A300" t="s">
        <v>13621</v>
      </c>
      <c r="B300" t="s">
        <v>13246</v>
      </c>
      <c r="C300" t="s">
        <v>13246</v>
      </c>
      <c r="D300">
        <v>2329</v>
      </c>
      <c r="E300">
        <v>4132</v>
      </c>
      <c r="F300">
        <v>-43</v>
      </c>
      <c r="G300" s="13">
        <v>0.94099999999999995</v>
      </c>
      <c r="H300" t="s">
        <v>25</v>
      </c>
      <c r="I300">
        <v>1</v>
      </c>
      <c r="J300">
        <v>682</v>
      </c>
      <c r="K300" t="str">
        <f t="shared" si="4"/>
        <v>Filtered out</v>
      </c>
    </row>
    <row r="301" spans="1:11" x14ac:dyDescent="0.2">
      <c r="A301" t="s">
        <v>13622</v>
      </c>
      <c r="B301" t="s">
        <v>13377</v>
      </c>
      <c r="C301" t="s">
        <v>13346</v>
      </c>
      <c r="D301">
        <v>1756</v>
      </c>
      <c r="E301">
        <v>2200</v>
      </c>
      <c r="F301">
        <v>-20</v>
      </c>
      <c r="G301" s="13">
        <v>0.93</v>
      </c>
      <c r="H301" t="s">
        <v>25</v>
      </c>
      <c r="I301">
        <v>1</v>
      </c>
      <c r="J301">
        <v>268</v>
      </c>
      <c r="K301" t="str">
        <f t="shared" si="4"/>
        <v>Filtered out</v>
      </c>
    </row>
    <row r="302" spans="1:11" x14ac:dyDescent="0.2">
      <c r="A302" t="s">
        <v>19</v>
      </c>
      <c r="B302" t="s">
        <v>13246</v>
      </c>
      <c r="C302" t="s">
        <v>13246</v>
      </c>
      <c r="D302">
        <v>1471</v>
      </c>
      <c r="E302">
        <v>1471</v>
      </c>
      <c r="F302">
        <v>0</v>
      </c>
      <c r="G302" s="13">
        <v>0.99199999999999999</v>
      </c>
      <c r="H302" t="s">
        <v>25</v>
      </c>
      <c r="I302">
        <v>1</v>
      </c>
      <c r="J302">
        <v>297</v>
      </c>
      <c r="K302" t="str">
        <f t="shared" si="4"/>
        <v>Retained</v>
      </c>
    </row>
    <row r="303" spans="1:11" x14ac:dyDescent="0.2">
      <c r="A303" t="s">
        <v>13624</v>
      </c>
      <c r="B303" t="s">
        <v>13246</v>
      </c>
      <c r="C303" t="s">
        <v>13246</v>
      </c>
      <c r="D303">
        <v>124</v>
      </c>
      <c r="E303">
        <v>526</v>
      </c>
      <c r="F303">
        <v>-76</v>
      </c>
      <c r="G303" s="13">
        <v>0.97599999999999998</v>
      </c>
      <c r="H303" t="s">
        <v>70</v>
      </c>
      <c r="I303">
        <v>0</v>
      </c>
      <c r="J303" t="s">
        <v>190</v>
      </c>
      <c r="K303" t="str">
        <f t="shared" si="4"/>
        <v>Filtered out</v>
      </c>
    </row>
    <row r="304" spans="1:11" x14ac:dyDescent="0.2">
      <c r="A304" t="s">
        <v>13625</v>
      </c>
      <c r="B304" t="s">
        <v>13308</v>
      </c>
      <c r="C304" t="s">
        <v>13308</v>
      </c>
      <c r="D304">
        <v>1552</v>
      </c>
      <c r="E304">
        <v>2221</v>
      </c>
      <c r="F304">
        <v>-30</v>
      </c>
      <c r="G304" s="13">
        <v>0.998</v>
      </c>
      <c r="H304" t="s">
        <v>25</v>
      </c>
      <c r="I304">
        <v>1</v>
      </c>
      <c r="J304">
        <v>73</v>
      </c>
      <c r="K304" t="str">
        <f t="shared" si="4"/>
        <v>Filtered out</v>
      </c>
    </row>
    <row r="305" spans="1:11" x14ac:dyDescent="0.2">
      <c r="A305" t="s">
        <v>43</v>
      </c>
      <c r="B305" t="s">
        <v>13270</v>
      </c>
      <c r="C305" t="s">
        <v>13270</v>
      </c>
      <c r="D305">
        <v>850</v>
      </c>
      <c r="E305">
        <v>850</v>
      </c>
      <c r="F305">
        <v>0</v>
      </c>
      <c r="G305" s="13">
        <v>0.97499999999999998</v>
      </c>
      <c r="H305" t="s">
        <v>25</v>
      </c>
      <c r="I305">
        <v>1</v>
      </c>
      <c r="J305">
        <v>263</v>
      </c>
      <c r="K305" t="str">
        <f t="shared" si="4"/>
        <v>Retained</v>
      </c>
    </row>
    <row r="306" spans="1:11" x14ac:dyDescent="0.2">
      <c r="A306" t="s">
        <v>13627</v>
      </c>
      <c r="B306" t="s">
        <v>13628</v>
      </c>
      <c r="C306" t="s">
        <v>13246</v>
      </c>
      <c r="D306">
        <v>139</v>
      </c>
      <c r="E306">
        <v>1231</v>
      </c>
      <c r="F306">
        <v>-88</v>
      </c>
      <c r="G306" s="13">
        <v>1</v>
      </c>
      <c r="H306" t="s">
        <v>70</v>
      </c>
      <c r="I306">
        <v>0</v>
      </c>
      <c r="J306" t="s">
        <v>190</v>
      </c>
      <c r="K306" t="str">
        <f t="shared" si="4"/>
        <v>Filtered out</v>
      </c>
    </row>
    <row r="307" spans="1:11" x14ac:dyDescent="0.2">
      <c r="A307" t="s">
        <v>13629</v>
      </c>
      <c r="B307" t="s">
        <v>13543</v>
      </c>
      <c r="C307" t="s">
        <v>13295</v>
      </c>
      <c r="D307">
        <v>298</v>
      </c>
      <c r="E307">
        <v>1951</v>
      </c>
      <c r="F307">
        <v>-84</v>
      </c>
      <c r="G307" s="13">
        <v>0.99</v>
      </c>
      <c r="H307" t="s">
        <v>70</v>
      </c>
      <c r="I307">
        <v>0</v>
      </c>
      <c r="J307" t="s">
        <v>190</v>
      </c>
      <c r="K307" t="str">
        <f t="shared" si="4"/>
        <v>Filtered out</v>
      </c>
    </row>
    <row r="308" spans="1:11" x14ac:dyDescent="0.2">
      <c r="A308" t="s">
        <v>13630</v>
      </c>
      <c r="B308" t="s">
        <v>13562</v>
      </c>
      <c r="C308" t="s">
        <v>13254</v>
      </c>
      <c r="D308">
        <v>4297</v>
      </c>
      <c r="E308">
        <v>4075</v>
      </c>
      <c r="F308">
        <v>5</v>
      </c>
      <c r="G308" s="13">
        <v>0.97599999999999998</v>
      </c>
      <c r="H308" t="s">
        <v>25</v>
      </c>
      <c r="I308">
        <v>3</v>
      </c>
      <c r="J308">
        <v>61</v>
      </c>
      <c r="K308" t="str">
        <f t="shared" si="4"/>
        <v>Filtered out</v>
      </c>
    </row>
    <row r="309" spans="1:11" x14ac:dyDescent="0.2">
      <c r="A309" t="s">
        <v>13631</v>
      </c>
      <c r="B309" t="s">
        <v>13246</v>
      </c>
      <c r="C309" t="s">
        <v>13312</v>
      </c>
      <c r="D309">
        <v>214</v>
      </c>
      <c r="E309">
        <v>1040</v>
      </c>
      <c r="F309">
        <v>-79</v>
      </c>
      <c r="G309" s="13">
        <v>0.23499999999999999</v>
      </c>
      <c r="H309" t="s">
        <v>70</v>
      </c>
      <c r="I309">
        <v>0</v>
      </c>
      <c r="J309" t="s">
        <v>190</v>
      </c>
      <c r="K309" t="str">
        <f t="shared" si="4"/>
        <v>Filtered out</v>
      </c>
    </row>
    <row r="310" spans="1:11" x14ac:dyDescent="0.2">
      <c r="A310" t="s">
        <v>13632</v>
      </c>
      <c r="B310" t="s">
        <v>13263</v>
      </c>
      <c r="C310" t="s">
        <v>13263</v>
      </c>
      <c r="D310">
        <v>1123</v>
      </c>
      <c r="E310">
        <v>1345</v>
      </c>
      <c r="F310">
        <v>-16</v>
      </c>
      <c r="G310" s="13">
        <v>0.70099999999999996</v>
      </c>
      <c r="H310" t="s">
        <v>25</v>
      </c>
      <c r="I310">
        <v>5</v>
      </c>
      <c r="J310">
        <v>39</v>
      </c>
      <c r="K310" t="str">
        <f t="shared" si="4"/>
        <v>Filtered out</v>
      </c>
    </row>
    <row r="311" spans="1:11" x14ac:dyDescent="0.2">
      <c r="A311" t="s">
        <v>13633</v>
      </c>
      <c r="B311" t="s">
        <v>13484</v>
      </c>
      <c r="C311" t="s">
        <v>13246</v>
      </c>
      <c r="D311">
        <v>124</v>
      </c>
      <c r="E311">
        <v>589</v>
      </c>
      <c r="F311">
        <v>-78</v>
      </c>
      <c r="G311" s="13">
        <v>1</v>
      </c>
      <c r="H311" t="s">
        <v>70</v>
      </c>
      <c r="I311">
        <v>0</v>
      </c>
      <c r="J311" t="s">
        <v>190</v>
      </c>
      <c r="K311" t="str">
        <f t="shared" si="4"/>
        <v>Filtered out</v>
      </c>
    </row>
    <row r="312" spans="1:11" x14ac:dyDescent="0.2">
      <c r="A312" t="s">
        <v>13634</v>
      </c>
      <c r="B312" t="s">
        <v>13246</v>
      </c>
      <c r="C312" t="s">
        <v>13246</v>
      </c>
      <c r="D312">
        <v>580</v>
      </c>
      <c r="E312">
        <v>578</v>
      </c>
      <c r="F312">
        <v>0</v>
      </c>
      <c r="G312" s="13">
        <v>0.41699999999999998</v>
      </c>
      <c r="H312" t="s">
        <v>25</v>
      </c>
      <c r="I312">
        <v>2</v>
      </c>
      <c r="J312">
        <v>13</v>
      </c>
      <c r="K312" t="str">
        <f t="shared" si="4"/>
        <v>Filtered out</v>
      </c>
    </row>
    <row r="313" spans="1:11" x14ac:dyDescent="0.2">
      <c r="A313" t="s">
        <v>13635</v>
      </c>
      <c r="B313" t="s">
        <v>13246</v>
      </c>
      <c r="C313" t="s">
        <v>13246</v>
      </c>
      <c r="D313">
        <v>799</v>
      </c>
      <c r="E313">
        <v>799</v>
      </c>
      <c r="F313">
        <v>0</v>
      </c>
      <c r="G313" s="13">
        <v>0.76700000000000002</v>
      </c>
      <c r="H313" t="s">
        <v>25</v>
      </c>
      <c r="I313">
        <v>1</v>
      </c>
      <c r="J313">
        <v>126</v>
      </c>
      <c r="K313" t="str">
        <f t="shared" si="4"/>
        <v>Filtered out</v>
      </c>
    </row>
    <row r="314" spans="1:11" x14ac:dyDescent="0.2">
      <c r="A314" t="s">
        <v>13636</v>
      </c>
      <c r="B314" t="s">
        <v>13312</v>
      </c>
      <c r="C314" t="s">
        <v>13246</v>
      </c>
      <c r="D314">
        <v>91</v>
      </c>
      <c r="E314">
        <v>700</v>
      </c>
      <c r="F314">
        <v>-87</v>
      </c>
      <c r="G314" s="13">
        <v>0.93300000000000005</v>
      </c>
      <c r="H314" t="s">
        <v>70</v>
      </c>
      <c r="I314">
        <v>0</v>
      </c>
      <c r="J314" t="s">
        <v>190</v>
      </c>
      <c r="K314" t="str">
        <f t="shared" si="4"/>
        <v>Filtered out</v>
      </c>
    </row>
    <row r="315" spans="1:11" x14ac:dyDescent="0.2">
      <c r="A315" t="s">
        <v>13637</v>
      </c>
      <c r="B315" t="s">
        <v>13638</v>
      </c>
      <c r="C315" t="s">
        <v>13246</v>
      </c>
      <c r="D315">
        <v>583</v>
      </c>
      <c r="E315">
        <v>626</v>
      </c>
      <c r="F315">
        <v>-6</v>
      </c>
      <c r="G315" s="13">
        <v>0.308</v>
      </c>
      <c r="H315" t="s">
        <v>25</v>
      </c>
      <c r="I315">
        <v>1</v>
      </c>
      <c r="J315">
        <v>2</v>
      </c>
      <c r="K315" t="str">
        <f t="shared" si="4"/>
        <v>Filtered out</v>
      </c>
    </row>
    <row r="316" spans="1:11" x14ac:dyDescent="0.2">
      <c r="A316" t="s">
        <v>13639</v>
      </c>
      <c r="B316" t="s">
        <v>13283</v>
      </c>
      <c r="C316" t="s">
        <v>13246</v>
      </c>
      <c r="D316">
        <v>103</v>
      </c>
      <c r="E316">
        <v>662</v>
      </c>
      <c r="F316">
        <v>-84</v>
      </c>
      <c r="G316" s="13">
        <v>0.34599999999999997</v>
      </c>
      <c r="H316" t="s">
        <v>70</v>
      </c>
      <c r="I316">
        <v>0</v>
      </c>
      <c r="J316" t="s">
        <v>190</v>
      </c>
      <c r="K316" t="str">
        <f t="shared" si="4"/>
        <v>Filtered out</v>
      </c>
    </row>
    <row r="317" spans="1:11" x14ac:dyDescent="0.2">
      <c r="A317" t="s">
        <v>13640</v>
      </c>
      <c r="B317" t="s">
        <v>13283</v>
      </c>
      <c r="C317" t="s">
        <v>13246</v>
      </c>
      <c r="D317">
        <v>103</v>
      </c>
      <c r="E317">
        <v>662</v>
      </c>
      <c r="F317">
        <v>-84</v>
      </c>
      <c r="G317" s="13">
        <v>0.34599999999999997</v>
      </c>
      <c r="H317" t="s">
        <v>70</v>
      </c>
      <c r="I317">
        <v>0</v>
      </c>
      <c r="J317" t="s">
        <v>190</v>
      </c>
      <c r="K317" t="str">
        <f t="shared" si="4"/>
        <v>Filtered out</v>
      </c>
    </row>
    <row r="318" spans="1:11" x14ac:dyDescent="0.2">
      <c r="A318" t="s">
        <v>13641</v>
      </c>
      <c r="B318" t="s">
        <v>13547</v>
      </c>
      <c r="C318" t="s">
        <v>13547</v>
      </c>
      <c r="D318">
        <v>739</v>
      </c>
      <c r="E318">
        <v>739</v>
      </c>
      <c r="F318">
        <v>0</v>
      </c>
      <c r="G318" s="13">
        <v>0.92700000000000005</v>
      </c>
      <c r="H318" t="s">
        <v>25</v>
      </c>
      <c r="I318">
        <v>1</v>
      </c>
      <c r="J318">
        <v>147</v>
      </c>
      <c r="K318" t="str">
        <f t="shared" si="4"/>
        <v>Retained</v>
      </c>
    </row>
    <row r="319" spans="1:11" x14ac:dyDescent="0.2">
      <c r="A319" t="s">
        <v>13642</v>
      </c>
      <c r="B319" t="s">
        <v>13246</v>
      </c>
      <c r="C319" t="s">
        <v>13246</v>
      </c>
      <c r="D319">
        <v>1111</v>
      </c>
      <c r="E319">
        <v>1132</v>
      </c>
      <c r="F319">
        <v>-1</v>
      </c>
      <c r="G319" s="13">
        <v>0.34399999999999997</v>
      </c>
      <c r="H319" t="s">
        <v>25</v>
      </c>
      <c r="I319">
        <v>13</v>
      </c>
      <c r="J319">
        <v>105</v>
      </c>
      <c r="K319" t="str">
        <f t="shared" si="4"/>
        <v>Filtered out</v>
      </c>
    </row>
    <row r="320" spans="1:11" x14ac:dyDescent="0.2">
      <c r="A320" t="s">
        <v>13643</v>
      </c>
      <c r="B320" t="s">
        <v>13466</v>
      </c>
      <c r="C320" t="s">
        <v>13246</v>
      </c>
      <c r="D320">
        <v>1255</v>
      </c>
      <c r="E320">
        <v>1279</v>
      </c>
      <c r="F320">
        <v>-1</v>
      </c>
      <c r="G320" s="13">
        <v>0.98599999999999999</v>
      </c>
      <c r="H320" t="s">
        <v>25</v>
      </c>
      <c r="I320">
        <v>1</v>
      </c>
      <c r="J320">
        <v>267</v>
      </c>
      <c r="K320" t="str">
        <f t="shared" si="4"/>
        <v>Filtered out</v>
      </c>
    </row>
    <row r="321" spans="1:11" x14ac:dyDescent="0.2">
      <c r="A321" t="s">
        <v>29</v>
      </c>
      <c r="B321" t="s">
        <v>13350</v>
      </c>
      <c r="C321" t="s">
        <v>13350</v>
      </c>
      <c r="D321">
        <v>1222</v>
      </c>
      <c r="E321">
        <v>1222</v>
      </c>
      <c r="F321">
        <v>0</v>
      </c>
      <c r="G321" s="13">
        <v>0.96099999999999997</v>
      </c>
      <c r="H321" t="s">
        <v>25</v>
      </c>
      <c r="I321">
        <v>1</v>
      </c>
      <c r="J321">
        <v>397</v>
      </c>
      <c r="K321" t="str">
        <f t="shared" si="4"/>
        <v>Retained</v>
      </c>
    </row>
    <row r="322" spans="1:11" x14ac:dyDescent="0.2">
      <c r="A322" t="s">
        <v>13645</v>
      </c>
      <c r="B322" t="s">
        <v>13466</v>
      </c>
      <c r="C322" t="s">
        <v>13293</v>
      </c>
      <c r="D322">
        <v>2512</v>
      </c>
      <c r="E322">
        <v>2134</v>
      </c>
      <c r="F322">
        <v>17</v>
      </c>
      <c r="G322" s="13">
        <v>0.98899999999999999</v>
      </c>
      <c r="H322" t="s">
        <v>25</v>
      </c>
      <c r="I322">
        <v>2</v>
      </c>
      <c r="J322">
        <v>98</v>
      </c>
      <c r="K322" t="str">
        <f t="shared" si="4"/>
        <v>Filtered out</v>
      </c>
    </row>
    <row r="323" spans="1:11" x14ac:dyDescent="0.2">
      <c r="A323" t="s">
        <v>13646</v>
      </c>
      <c r="B323" t="s">
        <v>13647</v>
      </c>
      <c r="C323" t="s">
        <v>13647</v>
      </c>
      <c r="D323">
        <v>1276</v>
      </c>
      <c r="E323">
        <v>1276</v>
      </c>
      <c r="F323">
        <v>0</v>
      </c>
      <c r="G323" s="13">
        <v>0.99299999999999999</v>
      </c>
      <c r="H323" t="s">
        <v>25</v>
      </c>
      <c r="I323">
        <v>1</v>
      </c>
      <c r="J323">
        <v>18</v>
      </c>
      <c r="K323" t="str">
        <f t="shared" si="4"/>
        <v>Retained</v>
      </c>
    </row>
    <row r="324" spans="1:11" x14ac:dyDescent="0.2">
      <c r="A324" t="s">
        <v>13648</v>
      </c>
      <c r="B324" t="s">
        <v>13248</v>
      </c>
      <c r="C324" t="s">
        <v>13543</v>
      </c>
      <c r="D324">
        <v>1732</v>
      </c>
      <c r="E324">
        <v>1792</v>
      </c>
      <c r="F324">
        <v>-3</v>
      </c>
      <c r="G324" s="13">
        <v>0.96499999999999997</v>
      </c>
      <c r="H324" t="s">
        <v>25</v>
      </c>
      <c r="I324">
        <v>3</v>
      </c>
      <c r="J324">
        <v>454</v>
      </c>
      <c r="K324" t="str">
        <f t="shared" si="4"/>
        <v>Filtered out</v>
      </c>
    </row>
    <row r="325" spans="1:11" x14ac:dyDescent="0.2">
      <c r="A325" t="s">
        <v>13649</v>
      </c>
      <c r="B325" t="s">
        <v>13371</v>
      </c>
      <c r="C325" t="s">
        <v>13246</v>
      </c>
      <c r="D325">
        <v>1291</v>
      </c>
      <c r="E325">
        <v>2176</v>
      </c>
      <c r="F325">
        <v>-40</v>
      </c>
      <c r="G325" s="13">
        <v>0.70299999999999996</v>
      </c>
      <c r="H325" t="s">
        <v>25</v>
      </c>
      <c r="I325">
        <v>1</v>
      </c>
      <c r="J325">
        <v>38</v>
      </c>
      <c r="K325" t="str">
        <f t="shared" si="4"/>
        <v>Filtered out</v>
      </c>
    </row>
    <row r="326" spans="1:11" x14ac:dyDescent="0.2">
      <c r="A326" t="s">
        <v>48</v>
      </c>
      <c r="B326" t="s">
        <v>13373</v>
      </c>
      <c r="C326" t="s">
        <v>13373</v>
      </c>
      <c r="D326">
        <v>466</v>
      </c>
      <c r="E326">
        <v>466</v>
      </c>
      <c r="F326">
        <v>0</v>
      </c>
      <c r="G326" s="13">
        <v>0.98099999999999998</v>
      </c>
      <c r="H326" t="s">
        <v>25</v>
      </c>
      <c r="I326">
        <v>1</v>
      </c>
      <c r="J326">
        <v>149</v>
      </c>
      <c r="K326" t="str">
        <f t="shared" si="4"/>
        <v>Retained</v>
      </c>
    </row>
    <row r="327" spans="1:11" x14ac:dyDescent="0.2">
      <c r="A327" t="s">
        <v>13651</v>
      </c>
      <c r="B327" t="s">
        <v>13652</v>
      </c>
      <c r="C327" t="s">
        <v>13652</v>
      </c>
      <c r="D327">
        <v>475</v>
      </c>
      <c r="E327">
        <v>475</v>
      </c>
      <c r="F327">
        <v>0</v>
      </c>
      <c r="G327" s="13">
        <v>0.98099999999999998</v>
      </c>
      <c r="H327" t="s">
        <v>25</v>
      </c>
      <c r="I327">
        <v>1</v>
      </c>
      <c r="J327">
        <v>152</v>
      </c>
      <c r="K327" t="str">
        <f t="shared" si="4"/>
        <v>Retained</v>
      </c>
    </row>
    <row r="328" spans="1:11" x14ac:dyDescent="0.2">
      <c r="A328" t="s">
        <v>13653</v>
      </c>
      <c r="B328" t="s">
        <v>13246</v>
      </c>
      <c r="C328" t="s">
        <v>13246</v>
      </c>
      <c r="D328">
        <v>505</v>
      </c>
      <c r="E328">
        <v>505</v>
      </c>
      <c r="F328">
        <v>0</v>
      </c>
      <c r="G328" s="13">
        <v>0.98199999999999998</v>
      </c>
      <c r="H328" t="s">
        <v>25</v>
      </c>
      <c r="I328">
        <v>1</v>
      </c>
      <c r="J328">
        <v>162</v>
      </c>
      <c r="K328" t="str">
        <f t="shared" ref="K328:K391" si="5">IF(AND(B328=C328,F328&lt;10,F328&gt;-10,I328&gt;0,G328&gt;90%,G328&lt;100%),"Retained","Filtered out")</f>
        <v>Retained</v>
      </c>
    </row>
    <row r="329" spans="1:11" x14ac:dyDescent="0.2">
      <c r="A329" t="s">
        <v>13654</v>
      </c>
      <c r="B329" t="s">
        <v>13371</v>
      </c>
      <c r="C329" t="s">
        <v>13246</v>
      </c>
      <c r="D329">
        <v>1630</v>
      </c>
      <c r="E329">
        <v>2134</v>
      </c>
      <c r="F329">
        <v>-23</v>
      </c>
      <c r="G329" s="13">
        <v>1</v>
      </c>
      <c r="H329" t="s">
        <v>25</v>
      </c>
      <c r="I329">
        <v>1</v>
      </c>
      <c r="J329">
        <v>3</v>
      </c>
      <c r="K329" t="str">
        <f t="shared" si="5"/>
        <v>Filtered out</v>
      </c>
    </row>
    <row r="330" spans="1:11" x14ac:dyDescent="0.2">
      <c r="A330" t="s">
        <v>13655</v>
      </c>
      <c r="B330" t="s">
        <v>13246</v>
      </c>
      <c r="C330" t="s">
        <v>13246</v>
      </c>
      <c r="D330">
        <v>1567</v>
      </c>
      <c r="E330">
        <v>1576</v>
      </c>
      <c r="F330">
        <v>0</v>
      </c>
      <c r="G330" s="13">
        <v>0.89300000000000002</v>
      </c>
      <c r="H330" t="s">
        <v>25</v>
      </c>
      <c r="I330">
        <v>1</v>
      </c>
      <c r="J330">
        <v>91</v>
      </c>
      <c r="K330" t="str">
        <f t="shared" si="5"/>
        <v>Filtered out</v>
      </c>
    </row>
    <row r="331" spans="1:11" x14ac:dyDescent="0.2">
      <c r="A331" t="s">
        <v>13656</v>
      </c>
      <c r="B331" t="s">
        <v>13246</v>
      </c>
      <c r="C331" t="s">
        <v>13246</v>
      </c>
      <c r="D331">
        <v>1561</v>
      </c>
      <c r="E331">
        <v>1564</v>
      </c>
      <c r="F331">
        <v>0</v>
      </c>
      <c r="G331" s="13">
        <v>0.89300000000000002</v>
      </c>
      <c r="H331" t="s">
        <v>25</v>
      </c>
      <c r="I331">
        <v>1</v>
      </c>
      <c r="J331">
        <v>91</v>
      </c>
      <c r="K331" t="str">
        <f t="shared" si="5"/>
        <v>Filtered out</v>
      </c>
    </row>
    <row r="332" spans="1:11" x14ac:dyDescent="0.2">
      <c r="A332" t="s">
        <v>13657</v>
      </c>
      <c r="B332" t="s">
        <v>13371</v>
      </c>
      <c r="C332" t="s">
        <v>13371</v>
      </c>
      <c r="D332">
        <v>769</v>
      </c>
      <c r="E332">
        <v>769</v>
      </c>
      <c r="F332">
        <v>0</v>
      </c>
      <c r="G332" s="13">
        <v>0.996</v>
      </c>
      <c r="H332" t="s">
        <v>25</v>
      </c>
      <c r="I332">
        <v>1</v>
      </c>
      <c r="J332">
        <v>2</v>
      </c>
      <c r="K332" t="str">
        <f t="shared" si="5"/>
        <v>Retained</v>
      </c>
    </row>
    <row r="333" spans="1:11" x14ac:dyDescent="0.2">
      <c r="A333" t="s">
        <v>13658</v>
      </c>
      <c r="B333" t="s">
        <v>13543</v>
      </c>
      <c r="C333" t="s">
        <v>13543</v>
      </c>
      <c r="D333">
        <v>229</v>
      </c>
      <c r="E333">
        <v>919</v>
      </c>
      <c r="F333">
        <v>-75</v>
      </c>
      <c r="G333" s="13">
        <v>1</v>
      </c>
      <c r="H333" t="s">
        <v>70</v>
      </c>
      <c r="I333">
        <v>0</v>
      </c>
      <c r="J333" t="s">
        <v>190</v>
      </c>
      <c r="K333" t="str">
        <f t="shared" si="5"/>
        <v>Filtered out</v>
      </c>
    </row>
    <row r="334" spans="1:11" x14ac:dyDescent="0.2">
      <c r="A334" t="s">
        <v>13659</v>
      </c>
      <c r="B334" t="s">
        <v>13265</v>
      </c>
      <c r="C334" t="s">
        <v>13318</v>
      </c>
      <c r="D334">
        <v>322</v>
      </c>
      <c r="E334">
        <v>229</v>
      </c>
      <c r="F334">
        <v>40</v>
      </c>
      <c r="G334" s="13">
        <v>0.92</v>
      </c>
      <c r="H334" t="s">
        <v>25</v>
      </c>
      <c r="I334">
        <v>4</v>
      </c>
      <c r="J334">
        <v>6</v>
      </c>
      <c r="K334" t="str">
        <f t="shared" si="5"/>
        <v>Filtered out</v>
      </c>
    </row>
    <row r="335" spans="1:11" x14ac:dyDescent="0.2">
      <c r="A335" t="s">
        <v>13660</v>
      </c>
      <c r="B335" t="s">
        <v>13314</v>
      </c>
      <c r="C335" t="s">
        <v>13318</v>
      </c>
      <c r="D335">
        <v>322</v>
      </c>
      <c r="E335">
        <v>220</v>
      </c>
      <c r="F335">
        <v>46</v>
      </c>
      <c r="G335" s="13">
        <v>0.91700000000000004</v>
      </c>
      <c r="H335" t="s">
        <v>25</v>
      </c>
      <c r="I335">
        <v>4</v>
      </c>
      <c r="J335">
        <v>9</v>
      </c>
      <c r="K335" t="str">
        <f t="shared" si="5"/>
        <v>Filtered out</v>
      </c>
    </row>
    <row r="336" spans="1:11" x14ac:dyDescent="0.2">
      <c r="A336" t="s">
        <v>13661</v>
      </c>
      <c r="B336" t="s">
        <v>13662</v>
      </c>
      <c r="C336" t="s">
        <v>13662</v>
      </c>
      <c r="D336">
        <v>1243</v>
      </c>
      <c r="E336">
        <v>1243</v>
      </c>
      <c r="F336">
        <v>0</v>
      </c>
      <c r="G336" s="13">
        <v>0.998</v>
      </c>
      <c r="H336" t="s">
        <v>25</v>
      </c>
      <c r="I336">
        <v>1</v>
      </c>
      <c r="J336">
        <v>4</v>
      </c>
      <c r="K336" t="str">
        <f t="shared" si="5"/>
        <v>Retained</v>
      </c>
    </row>
    <row r="337" spans="1:11" x14ac:dyDescent="0.2">
      <c r="A337" t="s">
        <v>13663</v>
      </c>
      <c r="B337" t="s">
        <v>13263</v>
      </c>
      <c r="C337" t="s">
        <v>13664</v>
      </c>
      <c r="D337">
        <v>139</v>
      </c>
      <c r="E337">
        <v>274</v>
      </c>
      <c r="F337">
        <v>-49</v>
      </c>
      <c r="G337" s="13">
        <v>0.97799999999999998</v>
      </c>
      <c r="H337" t="s">
        <v>70</v>
      </c>
      <c r="I337">
        <v>0</v>
      </c>
      <c r="J337" t="s">
        <v>190</v>
      </c>
      <c r="K337" t="str">
        <f t="shared" si="5"/>
        <v>Filtered out</v>
      </c>
    </row>
    <row r="338" spans="1:11" x14ac:dyDescent="0.2">
      <c r="A338" t="s">
        <v>13665</v>
      </c>
      <c r="B338" t="s">
        <v>13295</v>
      </c>
      <c r="C338" t="s">
        <v>13369</v>
      </c>
      <c r="D338">
        <v>778</v>
      </c>
      <c r="E338">
        <v>877</v>
      </c>
      <c r="F338">
        <v>-11</v>
      </c>
      <c r="G338" s="13">
        <v>0.98099999999999998</v>
      </c>
      <c r="H338" t="s">
        <v>25</v>
      </c>
      <c r="I338">
        <v>1</v>
      </c>
      <c r="J338">
        <v>256</v>
      </c>
      <c r="K338" t="str">
        <f t="shared" si="5"/>
        <v>Filtered out</v>
      </c>
    </row>
    <row r="339" spans="1:11" x14ac:dyDescent="0.2">
      <c r="A339" t="s">
        <v>13666</v>
      </c>
      <c r="B339" t="s">
        <v>13318</v>
      </c>
      <c r="C339" t="s">
        <v>13652</v>
      </c>
      <c r="D339">
        <v>2977</v>
      </c>
      <c r="E339">
        <v>2977</v>
      </c>
      <c r="F339">
        <v>0</v>
      </c>
      <c r="G339" s="13">
        <v>0.996</v>
      </c>
      <c r="H339" t="s">
        <v>25</v>
      </c>
      <c r="I339">
        <v>1</v>
      </c>
      <c r="J339">
        <v>731</v>
      </c>
      <c r="K339" t="str">
        <f t="shared" si="5"/>
        <v>Retained</v>
      </c>
    </row>
    <row r="340" spans="1:11" x14ac:dyDescent="0.2">
      <c r="A340" t="s">
        <v>13667</v>
      </c>
      <c r="B340" t="s">
        <v>13337</v>
      </c>
      <c r="C340" t="s">
        <v>13668</v>
      </c>
      <c r="D340">
        <v>226</v>
      </c>
      <c r="E340">
        <v>379</v>
      </c>
      <c r="F340">
        <v>-40</v>
      </c>
      <c r="G340" s="13">
        <v>0.98599999999999999</v>
      </c>
      <c r="H340" t="s">
        <v>70</v>
      </c>
      <c r="I340">
        <v>0</v>
      </c>
      <c r="J340" t="s">
        <v>190</v>
      </c>
      <c r="K340" t="str">
        <f t="shared" si="5"/>
        <v>Filtered out</v>
      </c>
    </row>
    <row r="341" spans="1:11" x14ac:dyDescent="0.2">
      <c r="A341" t="s">
        <v>13669</v>
      </c>
      <c r="B341" t="s">
        <v>13412</v>
      </c>
      <c r="C341" t="s">
        <v>13293</v>
      </c>
      <c r="D341">
        <v>2266</v>
      </c>
      <c r="E341">
        <v>2389</v>
      </c>
      <c r="F341">
        <v>-5</v>
      </c>
      <c r="G341" s="13">
        <v>0.94699999999999995</v>
      </c>
      <c r="H341" t="s">
        <v>25</v>
      </c>
      <c r="I341">
        <v>1</v>
      </c>
      <c r="J341">
        <v>270</v>
      </c>
      <c r="K341" t="str">
        <f t="shared" si="5"/>
        <v>Filtered out</v>
      </c>
    </row>
    <row r="342" spans="1:11" x14ac:dyDescent="0.2">
      <c r="A342" t="s">
        <v>13670</v>
      </c>
      <c r="B342" t="s">
        <v>13418</v>
      </c>
      <c r="C342" t="s">
        <v>13484</v>
      </c>
      <c r="D342">
        <v>1225</v>
      </c>
      <c r="E342">
        <v>3262</v>
      </c>
      <c r="F342">
        <v>-62</v>
      </c>
      <c r="G342" s="13">
        <v>0.84299999999999997</v>
      </c>
      <c r="H342" t="s">
        <v>25</v>
      </c>
      <c r="I342">
        <v>1</v>
      </c>
      <c r="J342">
        <v>103</v>
      </c>
      <c r="K342" t="str">
        <f t="shared" si="5"/>
        <v>Filtered out</v>
      </c>
    </row>
    <row r="343" spans="1:11" x14ac:dyDescent="0.2">
      <c r="A343" t="s">
        <v>13671</v>
      </c>
      <c r="B343" t="s">
        <v>13304</v>
      </c>
      <c r="C343" t="s">
        <v>13268</v>
      </c>
      <c r="D343">
        <v>217</v>
      </c>
      <c r="E343">
        <v>3375</v>
      </c>
      <c r="F343">
        <v>-93</v>
      </c>
      <c r="G343" s="13">
        <v>0.97099999999999997</v>
      </c>
      <c r="H343" t="s">
        <v>70</v>
      </c>
      <c r="I343">
        <v>0</v>
      </c>
      <c r="J343" t="s">
        <v>190</v>
      </c>
      <c r="K343" t="str">
        <f t="shared" si="5"/>
        <v>Filtered out</v>
      </c>
    </row>
    <row r="344" spans="1:11" x14ac:dyDescent="0.2">
      <c r="A344" t="s">
        <v>13672</v>
      </c>
      <c r="B344" t="s">
        <v>13246</v>
      </c>
      <c r="C344" t="s">
        <v>13664</v>
      </c>
      <c r="D344">
        <v>26386</v>
      </c>
      <c r="E344">
        <v>19732</v>
      </c>
      <c r="F344">
        <v>33</v>
      </c>
      <c r="G344" s="13">
        <v>0.99</v>
      </c>
      <c r="H344" t="s">
        <v>25</v>
      </c>
      <c r="I344">
        <v>1</v>
      </c>
      <c r="J344">
        <v>5230</v>
      </c>
      <c r="K344" t="str">
        <f t="shared" si="5"/>
        <v>Filtered out</v>
      </c>
    </row>
    <row r="345" spans="1:11" x14ac:dyDescent="0.2">
      <c r="A345" t="s">
        <v>13673</v>
      </c>
      <c r="B345" t="s">
        <v>13562</v>
      </c>
      <c r="C345" t="s">
        <v>13246</v>
      </c>
      <c r="D345">
        <v>2293</v>
      </c>
      <c r="E345">
        <v>2923</v>
      </c>
      <c r="F345">
        <v>-21</v>
      </c>
      <c r="G345" s="13">
        <v>0.84099999999999997</v>
      </c>
      <c r="H345" t="s">
        <v>25</v>
      </c>
      <c r="I345">
        <v>1</v>
      </c>
      <c r="J345">
        <v>305</v>
      </c>
      <c r="K345" t="str">
        <f t="shared" si="5"/>
        <v>Filtered out</v>
      </c>
    </row>
    <row r="346" spans="1:11" x14ac:dyDescent="0.2">
      <c r="A346" t="s">
        <v>13674</v>
      </c>
      <c r="B346" t="s">
        <v>13246</v>
      </c>
      <c r="C346" t="s">
        <v>13369</v>
      </c>
      <c r="D346">
        <v>319</v>
      </c>
      <c r="E346">
        <v>421</v>
      </c>
      <c r="F346">
        <v>-24</v>
      </c>
      <c r="G346" s="13">
        <v>0.5</v>
      </c>
      <c r="H346" t="s">
        <v>70</v>
      </c>
      <c r="I346">
        <v>0</v>
      </c>
      <c r="J346" t="s">
        <v>190</v>
      </c>
      <c r="K346" t="str">
        <f t="shared" si="5"/>
        <v>Filtered out</v>
      </c>
    </row>
    <row r="347" spans="1:11" x14ac:dyDescent="0.2">
      <c r="A347" t="s">
        <v>13675</v>
      </c>
      <c r="B347" t="s">
        <v>13368</v>
      </c>
      <c r="C347" t="s">
        <v>13246</v>
      </c>
      <c r="D347">
        <v>340</v>
      </c>
      <c r="E347">
        <v>850</v>
      </c>
      <c r="F347">
        <v>-60</v>
      </c>
      <c r="G347" s="13">
        <v>0.86499999999999999</v>
      </c>
      <c r="H347" t="s">
        <v>70</v>
      </c>
      <c r="I347">
        <v>0</v>
      </c>
      <c r="J347" t="s">
        <v>190</v>
      </c>
      <c r="K347" t="str">
        <f t="shared" si="5"/>
        <v>Filtered out</v>
      </c>
    </row>
    <row r="348" spans="1:11" x14ac:dyDescent="0.2">
      <c r="A348" t="s">
        <v>13676</v>
      </c>
      <c r="B348" t="s">
        <v>13246</v>
      </c>
      <c r="C348" t="s">
        <v>13246</v>
      </c>
      <c r="D348">
        <v>79</v>
      </c>
      <c r="E348">
        <v>241</v>
      </c>
      <c r="F348">
        <v>-67</v>
      </c>
      <c r="G348" s="13">
        <v>0.96199999999999997</v>
      </c>
      <c r="H348" t="s">
        <v>70</v>
      </c>
      <c r="I348">
        <v>0</v>
      </c>
      <c r="J348" t="s">
        <v>190</v>
      </c>
      <c r="K348" t="str">
        <f t="shared" si="5"/>
        <v>Filtered out</v>
      </c>
    </row>
    <row r="349" spans="1:11" x14ac:dyDescent="0.2">
      <c r="A349" t="s">
        <v>13677</v>
      </c>
      <c r="B349" t="s">
        <v>13254</v>
      </c>
      <c r="C349" t="s">
        <v>13246</v>
      </c>
      <c r="D349">
        <v>127</v>
      </c>
      <c r="E349">
        <v>307</v>
      </c>
      <c r="F349">
        <v>-58</v>
      </c>
      <c r="G349" s="13">
        <v>0.90500000000000003</v>
      </c>
      <c r="H349" t="s">
        <v>70</v>
      </c>
      <c r="I349">
        <v>0</v>
      </c>
      <c r="J349" t="s">
        <v>190</v>
      </c>
      <c r="K349" t="str">
        <f t="shared" si="5"/>
        <v>Filtered out</v>
      </c>
    </row>
    <row r="350" spans="1:11" x14ac:dyDescent="0.2">
      <c r="A350" t="s">
        <v>13678</v>
      </c>
      <c r="B350" t="s">
        <v>13314</v>
      </c>
      <c r="C350" t="s">
        <v>13314</v>
      </c>
      <c r="D350">
        <v>106</v>
      </c>
      <c r="E350">
        <v>106</v>
      </c>
      <c r="F350">
        <v>0</v>
      </c>
      <c r="G350" s="13">
        <v>0.91400000000000003</v>
      </c>
      <c r="H350" t="s">
        <v>70</v>
      </c>
      <c r="I350">
        <v>0</v>
      </c>
      <c r="J350" t="s">
        <v>190</v>
      </c>
      <c r="K350" t="str">
        <f t="shared" si="5"/>
        <v>Filtered out</v>
      </c>
    </row>
    <row r="351" spans="1:11" x14ac:dyDescent="0.2">
      <c r="A351" t="s">
        <v>13679</v>
      </c>
      <c r="B351" t="s">
        <v>13385</v>
      </c>
      <c r="C351" t="s">
        <v>13536</v>
      </c>
      <c r="D351">
        <v>178</v>
      </c>
      <c r="E351">
        <v>463</v>
      </c>
      <c r="F351">
        <v>-61</v>
      </c>
      <c r="G351" s="13">
        <v>1</v>
      </c>
      <c r="H351" t="s">
        <v>70</v>
      </c>
      <c r="I351">
        <v>0</v>
      </c>
      <c r="J351" t="s">
        <v>190</v>
      </c>
      <c r="K351" t="str">
        <f t="shared" si="5"/>
        <v>Filtered out</v>
      </c>
    </row>
    <row r="352" spans="1:11" x14ac:dyDescent="0.2">
      <c r="A352" t="s">
        <v>13680</v>
      </c>
      <c r="B352" t="s">
        <v>13385</v>
      </c>
      <c r="C352" t="s">
        <v>13385</v>
      </c>
      <c r="D352">
        <v>3541</v>
      </c>
      <c r="E352">
        <v>3541</v>
      </c>
      <c r="F352">
        <v>0</v>
      </c>
      <c r="G352" s="13">
        <v>0.98699999999999999</v>
      </c>
      <c r="H352" t="s">
        <v>25</v>
      </c>
      <c r="I352">
        <v>1</v>
      </c>
      <c r="J352">
        <v>213</v>
      </c>
      <c r="K352" t="str">
        <f t="shared" si="5"/>
        <v>Retained</v>
      </c>
    </row>
    <row r="353" spans="1:11" x14ac:dyDescent="0.2">
      <c r="A353" t="s">
        <v>13681</v>
      </c>
      <c r="B353" t="s">
        <v>13246</v>
      </c>
      <c r="C353" t="s">
        <v>13246</v>
      </c>
      <c r="D353">
        <v>289</v>
      </c>
      <c r="E353">
        <v>289</v>
      </c>
      <c r="F353">
        <v>0</v>
      </c>
      <c r="G353" s="13">
        <v>0.70299999999999996</v>
      </c>
      <c r="H353" t="s">
        <v>25</v>
      </c>
      <c r="I353">
        <v>1</v>
      </c>
      <c r="J353">
        <v>29</v>
      </c>
      <c r="K353" t="str">
        <f t="shared" si="5"/>
        <v>Filtered out</v>
      </c>
    </row>
    <row r="354" spans="1:11" x14ac:dyDescent="0.2">
      <c r="A354" t="s">
        <v>13682</v>
      </c>
      <c r="B354" t="s">
        <v>13246</v>
      </c>
      <c r="C354" t="s">
        <v>13246</v>
      </c>
      <c r="D354">
        <v>289</v>
      </c>
      <c r="E354">
        <v>289</v>
      </c>
      <c r="F354">
        <v>0</v>
      </c>
      <c r="G354" s="13">
        <v>0.70299999999999996</v>
      </c>
      <c r="H354" t="s">
        <v>25</v>
      </c>
      <c r="I354">
        <v>1</v>
      </c>
      <c r="J354">
        <v>29</v>
      </c>
      <c r="K354" t="str">
        <f t="shared" si="5"/>
        <v>Filtered out</v>
      </c>
    </row>
    <row r="355" spans="1:11" x14ac:dyDescent="0.2">
      <c r="A355" t="s">
        <v>13683</v>
      </c>
      <c r="B355" t="s">
        <v>13368</v>
      </c>
      <c r="C355" t="s">
        <v>13295</v>
      </c>
      <c r="D355">
        <v>1729</v>
      </c>
      <c r="E355">
        <v>5551</v>
      </c>
      <c r="F355">
        <v>-68</v>
      </c>
      <c r="G355" s="13">
        <v>0.91900000000000004</v>
      </c>
      <c r="H355" t="s">
        <v>25</v>
      </c>
      <c r="I355">
        <v>1</v>
      </c>
      <c r="J355">
        <v>557</v>
      </c>
      <c r="K355" t="str">
        <f t="shared" si="5"/>
        <v>Filtered out</v>
      </c>
    </row>
    <row r="356" spans="1:11" x14ac:dyDescent="0.2">
      <c r="A356" t="s">
        <v>13684</v>
      </c>
      <c r="B356" t="s">
        <v>13369</v>
      </c>
      <c r="C356" t="s">
        <v>13369</v>
      </c>
      <c r="D356">
        <v>1462</v>
      </c>
      <c r="E356">
        <v>1462</v>
      </c>
      <c r="F356">
        <v>0</v>
      </c>
      <c r="G356" s="13">
        <v>0.94299999999999995</v>
      </c>
      <c r="H356" t="s">
        <v>25</v>
      </c>
      <c r="I356">
        <v>1</v>
      </c>
      <c r="J356">
        <v>401</v>
      </c>
      <c r="K356" t="str">
        <f t="shared" si="5"/>
        <v>Retained</v>
      </c>
    </row>
    <row r="357" spans="1:11" x14ac:dyDescent="0.2">
      <c r="A357" t="s">
        <v>13685</v>
      </c>
      <c r="B357" t="s">
        <v>13265</v>
      </c>
      <c r="C357" t="s">
        <v>13246</v>
      </c>
      <c r="D357">
        <v>5899</v>
      </c>
      <c r="E357">
        <v>13633</v>
      </c>
      <c r="F357">
        <v>-56</v>
      </c>
      <c r="G357" s="13">
        <v>0.91800000000000004</v>
      </c>
      <c r="H357" t="s">
        <v>25</v>
      </c>
      <c r="I357">
        <v>1</v>
      </c>
      <c r="J357">
        <v>219</v>
      </c>
      <c r="K357" t="str">
        <f t="shared" si="5"/>
        <v>Filtered out</v>
      </c>
    </row>
    <row r="358" spans="1:11" x14ac:dyDescent="0.2">
      <c r="A358" t="s">
        <v>13686</v>
      </c>
      <c r="B358" t="s">
        <v>13278</v>
      </c>
      <c r="C358" t="s">
        <v>13246</v>
      </c>
      <c r="D358">
        <v>175</v>
      </c>
      <c r="E358">
        <v>1166</v>
      </c>
      <c r="F358">
        <v>-84</v>
      </c>
      <c r="G358" s="13">
        <v>1</v>
      </c>
      <c r="H358" t="s">
        <v>70</v>
      </c>
      <c r="I358">
        <v>0</v>
      </c>
      <c r="J358" t="s">
        <v>190</v>
      </c>
      <c r="K358" t="str">
        <f t="shared" si="5"/>
        <v>Filtered out</v>
      </c>
    </row>
    <row r="359" spans="1:11" x14ac:dyDescent="0.2">
      <c r="A359" t="s">
        <v>13687</v>
      </c>
      <c r="B359" t="s">
        <v>13688</v>
      </c>
      <c r="C359" t="s">
        <v>13283</v>
      </c>
      <c r="D359">
        <v>358</v>
      </c>
      <c r="E359">
        <v>733</v>
      </c>
      <c r="F359">
        <v>-51</v>
      </c>
      <c r="G359" s="13">
        <v>0.78</v>
      </c>
      <c r="H359" t="s">
        <v>25</v>
      </c>
      <c r="I359">
        <v>2</v>
      </c>
      <c r="J359">
        <v>58</v>
      </c>
      <c r="K359" t="str">
        <f t="shared" si="5"/>
        <v>Filtered out</v>
      </c>
    </row>
    <row r="360" spans="1:11" x14ac:dyDescent="0.2">
      <c r="A360" t="s">
        <v>13689</v>
      </c>
      <c r="B360" t="s">
        <v>13560</v>
      </c>
      <c r="C360" t="s">
        <v>13495</v>
      </c>
      <c r="D360">
        <v>145</v>
      </c>
      <c r="E360">
        <v>937</v>
      </c>
      <c r="F360">
        <v>-84</v>
      </c>
      <c r="G360" s="13">
        <v>0.89600000000000002</v>
      </c>
      <c r="H360" t="s">
        <v>70</v>
      </c>
      <c r="I360">
        <v>0</v>
      </c>
      <c r="J360" t="s">
        <v>190</v>
      </c>
      <c r="K360" t="str">
        <f t="shared" si="5"/>
        <v>Filtered out</v>
      </c>
    </row>
    <row r="361" spans="1:11" x14ac:dyDescent="0.2">
      <c r="A361" t="s">
        <v>13690</v>
      </c>
      <c r="B361" t="s">
        <v>13268</v>
      </c>
      <c r="C361" t="s">
        <v>13268</v>
      </c>
      <c r="D361">
        <v>1483</v>
      </c>
      <c r="E361">
        <v>3331</v>
      </c>
      <c r="F361">
        <v>-55</v>
      </c>
      <c r="G361" s="13">
        <v>0.90500000000000003</v>
      </c>
      <c r="H361" t="s">
        <v>25</v>
      </c>
      <c r="I361">
        <v>1</v>
      </c>
      <c r="J361">
        <v>65</v>
      </c>
      <c r="K361" t="str">
        <f t="shared" si="5"/>
        <v>Filtered out</v>
      </c>
    </row>
    <row r="362" spans="1:11" x14ac:dyDescent="0.2">
      <c r="A362" t="s">
        <v>13691</v>
      </c>
      <c r="B362" t="s">
        <v>13246</v>
      </c>
      <c r="C362" t="s">
        <v>13246</v>
      </c>
      <c r="D362">
        <v>232</v>
      </c>
      <c r="E362">
        <v>445</v>
      </c>
      <c r="F362">
        <v>-47</v>
      </c>
      <c r="G362" s="13">
        <v>0.753</v>
      </c>
      <c r="H362" t="s">
        <v>70</v>
      </c>
      <c r="I362">
        <v>0</v>
      </c>
      <c r="J362" t="s">
        <v>190</v>
      </c>
      <c r="K362" t="str">
        <f t="shared" si="5"/>
        <v>Filtered out</v>
      </c>
    </row>
    <row r="363" spans="1:11" x14ac:dyDescent="0.2">
      <c r="A363" t="s">
        <v>13692</v>
      </c>
      <c r="B363" t="s">
        <v>13304</v>
      </c>
      <c r="C363" t="s">
        <v>13304</v>
      </c>
      <c r="D363">
        <v>1864</v>
      </c>
      <c r="E363">
        <v>1864</v>
      </c>
      <c r="F363">
        <v>0</v>
      </c>
      <c r="G363" s="13">
        <v>0.95199999999999996</v>
      </c>
      <c r="H363" t="s">
        <v>25</v>
      </c>
      <c r="I363">
        <v>1</v>
      </c>
      <c r="J363">
        <v>512</v>
      </c>
      <c r="K363" t="str">
        <f t="shared" si="5"/>
        <v>Retained</v>
      </c>
    </row>
    <row r="364" spans="1:11" x14ac:dyDescent="0.2">
      <c r="A364" t="s">
        <v>13693</v>
      </c>
      <c r="B364" t="s">
        <v>13560</v>
      </c>
      <c r="C364" t="s">
        <v>13293</v>
      </c>
      <c r="D364">
        <v>1012</v>
      </c>
      <c r="E364">
        <v>1300</v>
      </c>
      <c r="F364">
        <v>-22</v>
      </c>
      <c r="G364" s="13">
        <v>0.97599999999999998</v>
      </c>
      <c r="H364" t="s">
        <v>25</v>
      </c>
      <c r="I364">
        <v>1</v>
      </c>
      <c r="J364">
        <v>36</v>
      </c>
      <c r="K364" t="str">
        <f t="shared" si="5"/>
        <v>Filtered out</v>
      </c>
    </row>
    <row r="365" spans="1:11" x14ac:dyDescent="0.2">
      <c r="A365" t="s">
        <v>13694</v>
      </c>
      <c r="B365" t="s">
        <v>13246</v>
      </c>
      <c r="C365" t="s">
        <v>13312</v>
      </c>
      <c r="D365">
        <v>1048</v>
      </c>
      <c r="E365">
        <v>1198</v>
      </c>
      <c r="F365">
        <v>-12</v>
      </c>
      <c r="G365" s="13">
        <v>0.99099999999999999</v>
      </c>
      <c r="H365" t="s">
        <v>25</v>
      </c>
      <c r="I365">
        <v>1</v>
      </c>
      <c r="J365">
        <v>153</v>
      </c>
      <c r="K365" t="str">
        <f t="shared" si="5"/>
        <v>Filtered out</v>
      </c>
    </row>
    <row r="366" spans="1:11" x14ac:dyDescent="0.2">
      <c r="A366" t="s">
        <v>13695</v>
      </c>
      <c r="B366" t="s">
        <v>13248</v>
      </c>
      <c r="C366" t="s">
        <v>13268</v>
      </c>
      <c r="D366">
        <v>205</v>
      </c>
      <c r="E366">
        <v>805</v>
      </c>
      <c r="F366">
        <v>-74</v>
      </c>
      <c r="G366" s="13">
        <v>1</v>
      </c>
      <c r="H366" t="s">
        <v>70</v>
      </c>
      <c r="I366">
        <v>0</v>
      </c>
      <c r="J366" t="s">
        <v>190</v>
      </c>
      <c r="K366" t="str">
        <f t="shared" si="5"/>
        <v>Filtered out</v>
      </c>
    </row>
    <row r="367" spans="1:11" x14ac:dyDescent="0.2">
      <c r="A367" t="s">
        <v>13696</v>
      </c>
      <c r="B367" t="s">
        <v>13697</v>
      </c>
      <c r="C367" t="s">
        <v>13246</v>
      </c>
      <c r="D367">
        <v>1288</v>
      </c>
      <c r="E367">
        <v>3313</v>
      </c>
      <c r="F367">
        <v>-61</v>
      </c>
      <c r="G367" s="13">
        <v>0.99299999999999999</v>
      </c>
      <c r="H367" t="s">
        <v>70</v>
      </c>
      <c r="I367">
        <v>0</v>
      </c>
      <c r="J367" t="s">
        <v>190</v>
      </c>
      <c r="K367" t="str">
        <f t="shared" si="5"/>
        <v>Filtered out</v>
      </c>
    </row>
    <row r="368" spans="1:11" x14ac:dyDescent="0.2">
      <c r="A368" t="s">
        <v>13698</v>
      </c>
      <c r="B368" t="s">
        <v>13462</v>
      </c>
      <c r="C368" t="s">
        <v>13699</v>
      </c>
      <c r="D368">
        <v>241</v>
      </c>
      <c r="E368">
        <v>694</v>
      </c>
      <c r="F368">
        <v>-65</v>
      </c>
      <c r="G368" s="13">
        <v>0.312</v>
      </c>
      <c r="H368" t="s">
        <v>70</v>
      </c>
      <c r="I368">
        <v>0</v>
      </c>
      <c r="J368" t="s">
        <v>190</v>
      </c>
      <c r="K368" t="str">
        <f t="shared" si="5"/>
        <v>Filtered out</v>
      </c>
    </row>
    <row r="369" spans="1:11" x14ac:dyDescent="0.2">
      <c r="A369" t="s">
        <v>13700</v>
      </c>
      <c r="B369" t="s">
        <v>13521</v>
      </c>
      <c r="C369" t="s">
        <v>13246</v>
      </c>
      <c r="D369">
        <v>904</v>
      </c>
      <c r="E369">
        <v>1006</v>
      </c>
      <c r="F369">
        <v>-10</v>
      </c>
      <c r="G369" s="13">
        <v>0.96699999999999997</v>
      </c>
      <c r="H369" t="s">
        <v>25</v>
      </c>
      <c r="I369">
        <v>1</v>
      </c>
      <c r="J369">
        <v>231</v>
      </c>
      <c r="K369" t="str">
        <f t="shared" si="5"/>
        <v>Filtered out</v>
      </c>
    </row>
    <row r="370" spans="1:11" x14ac:dyDescent="0.2">
      <c r="A370" t="s">
        <v>13701</v>
      </c>
      <c r="B370" t="s">
        <v>13369</v>
      </c>
      <c r="C370" t="s">
        <v>13246</v>
      </c>
      <c r="D370">
        <v>529</v>
      </c>
      <c r="E370">
        <v>1456</v>
      </c>
      <c r="F370">
        <v>-63</v>
      </c>
      <c r="G370" s="13">
        <v>0.99399999999999999</v>
      </c>
      <c r="H370" t="s">
        <v>70</v>
      </c>
      <c r="I370">
        <v>0</v>
      </c>
      <c r="J370" t="s">
        <v>190</v>
      </c>
      <c r="K370" t="str">
        <f t="shared" si="5"/>
        <v>Filtered out</v>
      </c>
    </row>
    <row r="371" spans="1:11" x14ac:dyDescent="0.2">
      <c r="A371" t="s">
        <v>13702</v>
      </c>
      <c r="B371" t="s">
        <v>13703</v>
      </c>
      <c r="C371" t="s">
        <v>13704</v>
      </c>
      <c r="D371">
        <v>190</v>
      </c>
      <c r="E371">
        <v>376</v>
      </c>
      <c r="F371">
        <v>-49</v>
      </c>
      <c r="G371" s="13">
        <v>0.93700000000000006</v>
      </c>
      <c r="H371" t="s">
        <v>70</v>
      </c>
      <c r="I371">
        <v>0</v>
      </c>
      <c r="J371" t="s">
        <v>190</v>
      </c>
      <c r="K371" t="str">
        <f t="shared" si="5"/>
        <v>Filtered out</v>
      </c>
    </row>
    <row r="372" spans="1:11" x14ac:dyDescent="0.2">
      <c r="A372" t="s">
        <v>13705</v>
      </c>
      <c r="B372" t="s">
        <v>13283</v>
      </c>
      <c r="C372" t="s">
        <v>13543</v>
      </c>
      <c r="D372">
        <v>1669</v>
      </c>
      <c r="E372">
        <v>1672</v>
      </c>
      <c r="F372">
        <v>0</v>
      </c>
      <c r="G372" s="13">
        <v>0.995</v>
      </c>
      <c r="H372" t="s">
        <v>25</v>
      </c>
      <c r="I372">
        <v>1</v>
      </c>
      <c r="J372">
        <v>3</v>
      </c>
      <c r="K372" t="str">
        <f t="shared" si="5"/>
        <v>Filtered out</v>
      </c>
    </row>
    <row r="373" spans="1:11" x14ac:dyDescent="0.2">
      <c r="A373" t="s">
        <v>13706</v>
      </c>
      <c r="B373" t="s">
        <v>13255</v>
      </c>
      <c r="C373" t="s">
        <v>13255</v>
      </c>
      <c r="D373">
        <v>178</v>
      </c>
      <c r="E373">
        <v>382</v>
      </c>
      <c r="F373">
        <v>-53</v>
      </c>
      <c r="G373" s="13">
        <v>0.98299999999999998</v>
      </c>
      <c r="H373" t="s">
        <v>70</v>
      </c>
      <c r="I373">
        <v>0</v>
      </c>
      <c r="J373" t="s">
        <v>190</v>
      </c>
      <c r="K373" t="str">
        <f t="shared" si="5"/>
        <v>Filtered out</v>
      </c>
    </row>
    <row r="374" spans="1:11" x14ac:dyDescent="0.2">
      <c r="A374" t="s">
        <v>13707</v>
      </c>
      <c r="B374" t="s">
        <v>13246</v>
      </c>
      <c r="C374" t="s">
        <v>13246</v>
      </c>
      <c r="D374">
        <v>4000</v>
      </c>
      <c r="E374">
        <v>5277</v>
      </c>
      <c r="F374">
        <v>-24</v>
      </c>
      <c r="G374" s="13">
        <v>0.25</v>
      </c>
      <c r="H374" t="s">
        <v>25</v>
      </c>
      <c r="I374">
        <v>16</v>
      </c>
      <c r="J374">
        <v>153</v>
      </c>
      <c r="K374" t="str">
        <f t="shared" si="5"/>
        <v>Filtered out</v>
      </c>
    </row>
    <row r="375" spans="1:11" x14ac:dyDescent="0.2">
      <c r="A375" t="s">
        <v>13708</v>
      </c>
      <c r="B375" t="s">
        <v>13536</v>
      </c>
      <c r="C375" t="s">
        <v>13263</v>
      </c>
      <c r="D375">
        <v>2227</v>
      </c>
      <c r="E375">
        <v>4774</v>
      </c>
      <c r="F375">
        <v>-53</v>
      </c>
      <c r="G375" s="13">
        <v>0.72099999999999997</v>
      </c>
      <c r="H375" t="s">
        <v>25</v>
      </c>
      <c r="I375">
        <v>2</v>
      </c>
      <c r="J375">
        <v>321</v>
      </c>
      <c r="K375" t="str">
        <f t="shared" si="5"/>
        <v>Filtered out</v>
      </c>
    </row>
    <row r="376" spans="1:11" x14ac:dyDescent="0.2">
      <c r="A376" t="s">
        <v>28</v>
      </c>
      <c r="B376" t="s">
        <v>13246</v>
      </c>
      <c r="C376" t="s">
        <v>13246</v>
      </c>
      <c r="D376">
        <v>949</v>
      </c>
      <c r="E376">
        <v>949</v>
      </c>
      <c r="F376">
        <v>0</v>
      </c>
      <c r="G376" s="13">
        <v>0.99099999999999999</v>
      </c>
      <c r="H376" t="s">
        <v>25</v>
      </c>
      <c r="I376">
        <v>1</v>
      </c>
      <c r="J376">
        <v>171</v>
      </c>
      <c r="K376" t="str">
        <f t="shared" si="5"/>
        <v>Retained</v>
      </c>
    </row>
    <row r="377" spans="1:11" x14ac:dyDescent="0.2">
      <c r="A377" t="s">
        <v>13710</v>
      </c>
      <c r="B377" t="s">
        <v>13711</v>
      </c>
      <c r="C377" t="s">
        <v>13246</v>
      </c>
      <c r="D377">
        <v>1951</v>
      </c>
      <c r="E377">
        <v>2299</v>
      </c>
      <c r="F377">
        <v>-15</v>
      </c>
      <c r="G377" s="13">
        <v>0.995</v>
      </c>
      <c r="H377" t="s">
        <v>25</v>
      </c>
      <c r="I377">
        <v>1</v>
      </c>
      <c r="J377">
        <v>443</v>
      </c>
      <c r="K377" t="str">
        <f t="shared" si="5"/>
        <v>Filtered out</v>
      </c>
    </row>
    <row r="378" spans="1:11" x14ac:dyDescent="0.2">
      <c r="A378" t="s">
        <v>13712</v>
      </c>
      <c r="B378" t="s">
        <v>13246</v>
      </c>
      <c r="C378" t="s">
        <v>13246</v>
      </c>
      <c r="D378">
        <v>3871</v>
      </c>
      <c r="E378">
        <v>3871</v>
      </c>
      <c r="F378">
        <v>0</v>
      </c>
      <c r="G378" s="13">
        <v>0.98699999999999999</v>
      </c>
      <c r="H378" t="s">
        <v>25</v>
      </c>
      <c r="I378">
        <v>1</v>
      </c>
      <c r="J378">
        <v>472</v>
      </c>
      <c r="K378" t="str">
        <f t="shared" si="5"/>
        <v>Retained</v>
      </c>
    </row>
    <row r="379" spans="1:11" x14ac:dyDescent="0.2">
      <c r="A379" t="s">
        <v>13713</v>
      </c>
      <c r="B379" t="s">
        <v>13714</v>
      </c>
      <c r="C379" t="s">
        <v>13412</v>
      </c>
      <c r="D379">
        <v>11518</v>
      </c>
      <c r="E379">
        <v>11656</v>
      </c>
      <c r="F379">
        <v>-1</v>
      </c>
      <c r="G379" s="13">
        <v>0.995</v>
      </c>
      <c r="H379" t="s">
        <v>25</v>
      </c>
      <c r="I379">
        <v>1</v>
      </c>
      <c r="J379">
        <v>3480</v>
      </c>
      <c r="K379" t="str">
        <f t="shared" si="5"/>
        <v>Filtered out</v>
      </c>
    </row>
    <row r="380" spans="1:11" x14ac:dyDescent="0.2">
      <c r="A380" t="s">
        <v>13715</v>
      </c>
      <c r="B380" t="s">
        <v>13377</v>
      </c>
      <c r="C380" t="s">
        <v>13314</v>
      </c>
      <c r="D380">
        <v>7585</v>
      </c>
      <c r="E380">
        <v>6457</v>
      </c>
      <c r="F380">
        <v>17</v>
      </c>
      <c r="G380" s="13">
        <v>0.99199999999999999</v>
      </c>
      <c r="H380" t="s">
        <v>25</v>
      </c>
      <c r="I380">
        <v>1</v>
      </c>
      <c r="J380">
        <v>24</v>
      </c>
      <c r="K380" t="str">
        <f t="shared" si="5"/>
        <v>Filtered out</v>
      </c>
    </row>
    <row r="381" spans="1:11" x14ac:dyDescent="0.2">
      <c r="A381" t="s">
        <v>13716</v>
      </c>
      <c r="B381" t="s">
        <v>13265</v>
      </c>
      <c r="C381" t="s">
        <v>13246</v>
      </c>
      <c r="D381">
        <v>2377</v>
      </c>
      <c r="E381">
        <v>2521</v>
      </c>
      <c r="F381">
        <v>-5</v>
      </c>
      <c r="G381" s="13">
        <v>0.98599999999999999</v>
      </c>
      <c r="H381" t="s">
        <v>25</v>
      </c>
      <c r="I381">
        <v>1</v>
      </c>
      <c r="J381">
        <v>431</v>
      </c>
      <c r="K381" t="str">
        <f t="shared" si="5"/>
        <v>Filtered out</v>
      </c>
    </row>
    <row r="382" spans="1:11" x14ac:dyDescent="0.2">
      <c r="A382" t="s">
        <v>54</v>
      </c>
      <c r="B382" t="s">
        <v>13246</v>
      </c>
      <c r="C382" t="s">
        <v>13246</v>
      </c>
      <c r="D382">
        <v>565</v>
      </c>
      <c r="E382">
        <v>571</v>
      </c>
      <c r="F382">
        <v>-1</v>
      </c>
      <c r="G382" s="13">
        <v>0.97899999999999998</v>
      </c>
      <c r="H382" t="s">
        <v>25</v>
      </c>
      <c r="I382">
        <v>1</v>
      </c>
      <c r="J382">
        <v>185</v>
      </c>
      <c r="K382" t="str">
        <f t="shared" si="5"/>
        <v>Retained</v>
      </c>
    </row>
    <row r="383" spans="1:11" x14ac:dyDescent="0.2">
      <c r="A383" t="s">
        <v>13718</v>
      </c>
      <c r="B383" t="s">
        <v>13308</v>
      </c>
      <c r="C383" t="s">
        <v>13246</v>
      </c>
      <c r="D383">
        <v>487</v>
      </c>
      <c r="E383">
        <v>829</v>
      </c>
      <c r="F383">
        <v>-41</v>
      </c>
      <c r="G383" s="13">
        <v>0.89700000000000002</v>
      </c>
      <c r="H383" t="s">
        <v>25</v>
      </c>
      <c r="I383">
        <v>1</v>
      </c>
      <c r="J383">
        <v>56</v>
      </c>
      <c r="K383" t="str">
        <f t="shared" si="5"/>
        <v>Filtered out</v>
      </c>
    </row>
    <row r="384" spans="1:11" x14ac:dyDescent="0.2">
      <c r="A384" t="s">
        <v>13718</v>
      </c>
      <c r="B384" t="s">
        <v>13308</v>
      </c>
      <c r="C384" t="s">
        <v>13246</v>
      </c>
      <c r="D384">
        <v>487</v>
      </c>
      <c r="E384">
        <v>829</v>
      </c>
      <c r="F384">
        <v>-41</v>
      </c>
      <c r="G384" s="13">
        <v>0.89700000000000002</v>
      </c>
      <c r="H384" t="s">
        <v>25</v>
      </c>
      <c r="I384">
        <v>1</v>
      </c>
      <c r="J384">
        <v>56</v>
      </c>
      <c r="K384" t="str">
        <f t="shared" si="5"/>
        <v>Filtered out</v>
      </c>
    </row>
    <row r="385" spans="1:11" x14ac:dyDescent="0.2">
      <c r="A385" t="s">
        <v>13718</v>
      </c>
      <c r="B385" t="s">
        <v>13308</v>
      </c>
      <c r="C385" t="s">
        <v>13246</v>
      </c>
      <c r="D385">
        <v>487</v>
      </c>
      <c r="E385">
        <v>829</v>
      </c>
      <c r="F385">
        <v>-41</v>
      </c>
      <c r="G385" s="13">
        <v>0.89700000000000002</v>
      </c>
      <c r="H385" t="s">
        <v>25</v>
      </c>
      <c r="I385">
        <v>1</v>
      </c>
      <c r="J385">
        <v>56</v>
      </c>
      <c r="K385" t="str">
        <f t="shared" si="5"/>
        <v>Filtered out</v>
      </c>
    </row>
    <row r="386" spans="1:11" x14ac:dyDescent="0.2">
      <c r="A386" t="s">
        <v>13719</v>
      </c>
      <c r="B386" t="s">
        <v>13720</v>
      </c>
      <c r="C386" t="s">
        <v>13246</v>
      </c>
      <c r="D386">
        <v>517</v>
      </c>
      <c r="E386">
        <v>2290</v>
      </c>
      <c r="F386">
        <v>-77</v>
      </c>
      <c r="G386" s="13">
        <v>0.95599999999999996</v>
      </c>
      <c r="H386" t="s">
        <v>25</v>
      </c>
      <c r="I386">
        <v>1</v>
      </c>
      <c r="J386">
        <v>116</v>
      </c>
      <c r="K386" t="str">
        <f t="shared" si="5"/>
        <v>Filtered out</v>
      </c>
    </row>
    <row r="387" spans="1:11" x14ac:dyDescent="0.2">
      <c r="A387" t="s">
        <v>13721</v>
      </c>
      <c r="B387" t="s">
        <v>13364</v>
      </c>
      <c r="C387" t="s">
        <v>13364</v>
      </c>
      <c r="D387">
        <v>1501</v>
      </c>
      <c r="E387">
        <v>1501</v>
      </c>
      <c r="F387">
        <v>0</v>
      </c>
      <c r="G387" s="13">
        <v>1</v>
      </c>
      <c r="H387" t="s">
        <v>25</v>
      </c>
      <c r="I387">
        <v>1</v>
      </c>
      <c r="J387">
        <v>2</v>
      </c>
      <c r="K387" t="str">
        <f t="shared" si="5"/>
        <v>Filtered out</v>
      </c>
    </row>
    <row r="388" spans="1:11" x14ac:dyDescent="0.2">
      <c r="A388" t="s">
        <v>13722</v>
      </c>
      <c r="B388" t="s">
        <v>13246</v>
      </c>
      <c r="C388" t="s">
        <v>13246</v>
      </c>
      <c r="D388">
        <v>1462</v>
      </c>
      <c r="E388">
        <v>1462</v>
      </c>
      <c r="F388">
        <v>0</v>
      </c>
      <c r="G388" s="13">
        <v>0.95899999999999996</v>
      </c>
      <c r="H388" t="s">
        <v>25</v>
      </c>
      <c r="I388">
        <v>1</v>
      </c>
      <c r="J388">
        <v>288</v>
      </c>
      <c r="K388" t="str">
        <f t="shared" si="5"/>
        <v>Retained</v>
      </c>
    </row>
    <row r="389" spans="1:11" x14ac:dyDescent="0.2">
      <c r="A389" t="s">
        <v>13723</v>
      </c>
      <c r="B389" t="s">
        <v>13246</v>
      </c>
      <c r="C389" t="s">
        <v>13246</v>
      </c>
      <c r="D389">
        <v>1435</v>
      </c>
      <c r="E389">
        <v>1435</v>
      </c>
      <c r="F389">
        <v>0</v>
      </c>
      <c r="G389" s="13">
        <v>0.98699999999999999</v>
      </c>
      <c r="H389" t="s">
        <v>25</v>
      </c>
      <c r="I389">
        <v>1</v>
      </c>
      <c r="J389">
        <v>332</v>
      </c>
      <c r="K389" t="str">
        <f t="shared" si="5"/>
        <v>Retained</v>
      </c>
    </row>
    <row r="390" spans="1:11" x14ac:dyDescent="0.2">
      <c r="A390" t="s">
        <v>13724</v>
      </c>
      <c r="B390" t="s">
        <v>13246</v>
      </c>
      <c r="C390" t="s">
        <v>13246</v>
      </c>
      <c r="D390">
        <v>1246</v>
      </c>
      <c r="E390">
        <v>1246</v>
      </c>
      <c r="F390">
        <v>0</v>
      </c>
      <c r="G390" s="13">
        <v>0.95399999999999996</v>
      </c>
      <c r="H390" t="s">
        <v>25</v>
      </c>
      <c r="I390">
        <v>1</v>
      </c>
      <c r="J390">
        <v>286</v>
      </c>
      <c r="K390" t="str">
        <f t="shared" si="5"/>
        <v>Retained</v>
      </c>
    </row>
    <row r="391" spans="1:11" x14ac:dyDescent="0.2">
      <c r="A391" t="s">
        <v>13725</v>
      </c>
      <c r="B391" t="s">
        <v>13726</v>
      </c>
      <c r="C391" t="s">
        <v>13246</v>
      </c>
      <c r="D391">
        <v>1321</v>
      </c>
      <c r="E391">
        <v>1246</v>
      </c>
      <c r="F391">
        <v>6</v>
      </c>
      <c r="G391" s="13">
        <v>0.56699999999999995</v>
      </c>
      <c r="H391" t="s">
        <v>25</v>
      </c>
      <c r="I391">
        <v>1</v>
      </c>
      <c r="J391">
        <v>157</v>
      </c>
      <c r="K391" t="str">
        <f t="shared" si="5"/>
        <v>Filtered out</v>
      </c>
    </row>
    <row r="392" spans="1:11" x14ac:dyDescent="0.2">
      <c r="A392" t="s">
        <v>13727</v>
      </c>
      <c r="B392" t="s">
        <v>13726</v>
      </c>
      <c r="C392" t="s">
        <v>13246</v>
      </c>
      <c r="D392">
        <v>1321</v>
      </c>
      <c r="E392">
        <v>1246</v>
      </c>
      <c r="F392">
        <v>6</v>
      </c>
      <c r="G392" s="13">
        <v>0.56699999999999995</v>
      </c>
      <c r="H392" t="s">
        <v>25</v>
      </c>
      <c r="I392">
        <v>1</v>
      </c>
      <c r="J392">
        <v>157</v>
      </c>
      <c r="K392" t="str">
        <f t="shared" ref="K392:K455" si="6">IF(AND(B392=C392,F392&lt;10,F392&gt;-10,I392&gt;0,G392&gt;90%,G392&lt;100%),"Retained","Filtered out")</f>
        <v>Filtered out</v>
      </c>
    </row>
    <row r="393" spans="1:11" x14ac:dyDescent="0.2">
      <c r="A393" t="s">
        <v>13728</v>
      </c>
      <c r="B393" t="s">
        <v>13726</v>
      </c>
      <c r="C393" t="s">
        <v>13246</v>
      </c>
      <c r="D393">
        <v>1321</v>
      </c>
      <c r="E393">
        <v>1246</v>
      </c>
      <c r="F393">
        <v>6</v>
      </c>
      <c r="G393" s="13">
        <v>0.56699999999999995</v>
      </c>
      <c r="H393" t="s">
        <v>25</v>
      </c>
      <c r="I393">
        <v>1</v>
      </c>
      <c r="J393">
        <v>157</v>
      </c>
      <c r="K393" t="str">
        <f t="shared" si="6"/>
        <v>Filtered out</v>
      </c>
    </row>
    <row r="394" spans="1:11" x14ac:dyDescent="0.2">
      <c r="A394" t="s">
        <v>13729</v>
      </c>
      <c r="B394" t="s">
        <v>13246</v>
      </c>
      <c r="C394" t="s">
        <v>13246</v>
      </c>
      <c r="D394">
        <v>1246</v>
      </c>
      <c r="E394">
        <v>1246</v>
      </c>
      <c r="F394">
        <v>0</v>
      </c>
      <c r="G394" s="13">
        <v>0.95399999999999996</v>
      </c>
      <c r="H394" t="s">
        <v>25</v>
      </c>
      <c r="I394">
        <v>1</v>
      </c>
      <c r="J394">
        <v>286</v>
      </c>
      <c r="K394" t="str">
        <f t="shared" si="6"/>
        <v>Retained</v>
      </c>
    </row>
    <row r="395" spans="1:11" x14ac:dyDescent="0.2">
      <c r="A395" t="s">
        <v>13724</v>
      </c>
      <c r="B395" t="s">
        <v>13246</v>
      </c>
      <c r="C395" t="s">
        <v>13246</v>
      </c>
      <c r="D395">
        <v>1246</v>
      </c>
      <c r="E395">
        <v>1246</v>
      </c>
      <c r="F395">
        <v>0</v>
      </c>
      <c r="G395" s="13">
        <v>0.95399999999999996</v>
      </c>
      <c r="H395" t="s">
        <v>25</v>
      </c>
      <c r="I395">
        <v>1</v>
      </c>
      <c r="J395">
        <v>286</v>
      </c>
      <c r="K395" t="str">
        <f t="shared" si="6"/>
        <v>Retained</v>
      </c>
    </row>
    <row r="396" spans="1:11" x14ac:dyDescent="0.2">
      <c r="A396" t="s">
        <v>13730</v>
      </c>
      <c r="B396" t="s">
        <v>13318</v>
      </c>
      <c r="C396" t="s">
        <v>13697</v>
      </c>
      <c r="D396">
        <v>1318</v>
      </c>
      <c r="E396">
        <v>1318</v>
      </c>
      <c r="F396">
        <v>0</v>
      </c>
      <c r="G396" s="13">
        <v>0.81599999999999995</v>
      </c>
      <c r="H396" t="s">
        <v>25</v>
      </c>
      <c r="I396">
        <v>1</v>
      </c>
      <c r="J396">
        <v>242</v>
      </c>
      <c r="K396" t="str">
        <f t="shared" si="6"/>
        <v>Filtered out</v>
      </c>
    </row>
    <row r="397" spans="1:11" x14ac:dyDescent="0.2">
      <c r="A397" t="s">
        <v>13731</v>
      </c>
      <c r="B397" t="s">
        <v>13318</v>
      </c>
      <c r="C397" t="s">
        <v>13697</v>
      </c>
      <c r="D397">
        <v>1318</v>
      </c>
      <c r="E397">
        <v>1318</v>
      </c>
      <c r="F397">
        <v>0</v>
      </c>
      <c r="G397" s="13">
        <v>0.81599999999999995</v>
      </c>
      <c r="H397" t="s">
        <v>25</v>
      </c>
      <c r="I397">
        <v>1</v>
      </c>
      <c r="J397">
        <v>242</v>
      </c>
      <c r="K397" t="str">
        <f t="shared" si="6"/>
        <v>Filtered out</v>
      </c>
    </row>
    <row r="398" spans="1:11" x14ac:dyDescent="0.2">
      <c r="A398" t="s">
        <v>13725</v>
      </c>
      <c r="B398" t="s">
        <v>13726</v>
      </c>
      <c r="C398" t="s">
        <v>13246</v>
      </c>
      <c r="D398">
        <v>1321</v>
      </c>
      <c r="E398">
        <v>1246</v>
      </c>
      <c r="F398">
        <v>6</v>
      </c>
      <c r="G398" s="13">
        <v>0.56699999999999995</v>
      </c>
      <c r="H398" t="s">
        <v>25</v>
      </c>
      <c r="I398">
        <v>1</v>
      </c>
      <c r="J398">
        <v>157</v>
      </c>
      <c r="K398" t="str">
        <f t="shared" si="6"/>
        <v>Filtered out</v>
      </c>
    </row>
    <row r="399" spans="1:11" x14ac:dyDescent="0.2">
      <c r="A399" t="s">
        <v>13727</v>
      </c>
      <c r="B399" t="s">
        <v>13726</v>
      </c>
      <c r="C399" t="s">
        <v>13246</v>
      </c>
      <c r="D399">
        <v>1321</v>
      </c>
      <c r="E399">
        <v>1246</v>
      </c>
      <c r="F399">
        <v>6</v>
      </c>
      <c r="G399" s="13">
        <v>0.56699999999999995</v>
      </c>
      <c r="H399" t="s">
        <v>25</v>
      </c>
      <c r="I399">
        <v>1</v>
      </c>
      <c r="J399">
        <v>157</v>
      </c>
      <c r="K399" t="str">
        <f t="shared" si="6"/>
        <v>Filtered out</v>
      </c>
    </row>
    <row r="400" spans="1:11" x14ac:dyDescent="0.2">
      <c r="A400" t="s">
        <v>13728</v>
      </c>
      <c r="B400" t="s">
        <v>13726</v>
      </c>
      <c r="C400" t="s">
        <v>13246</v>
      </c>
      <c r="D400">
        <v>1321</v>
      </c>
      <c r="E400">
        <v>1246</v>
      </c>
      <c r="F400">
        <v>6</v>
      </c>
      <c r="G400" s="13">
        <v>0.56699999999999995</v>
      </c>
      <c r="H400" t="s">
        <v>25</v>
      </c>
      <c r="I400">
        <v>1</v>
      </c>
      <c r="J400">
        <v>157</v>
      </c>
      <c r="K400" t="str">
        <f t="shared" si="6"/>
        <v>Filtered out</v>
      </c>
    </row>
    <row r="401" spans="1:11" x14ac:dyDescent="0.2">
      <c r="A401" t="s">
        <v>13729</v>
      </c>
      <c r="B401" t="s">
        <v>13246</v>
      </c>
      <c r="C401" t="s">
        <v>13246</v>
      </c>
      <c r="D401">
        <v>1246</v>
      </c>
      <c r="E401">
        <v>1246</v>
      </c>
      <c r="F401">
        <v>0</v>
      </c>
      <c r="G401" s="13">
        <v>0.95399999999999996</v>
      </c>
      <c r="H401" t="s">
        <v>25</v>
      </c>
      <c r="I401">
        <v>1</v>
      </c>
      <c r="J401">
        <v>286</v>
      </c>
      <c r="K401" t="str">
        <f t="shared" si="6"/>
        <v>Retained</v>
      </c>
    </row>
    <row r="402" spans="1:11" x14ac:dyDescent="0.2">
      <c r="A402" t="s">
        <v>13732</v>
      </c>
      <c r="B402" t="s">
        <v>13458</v>
      </c>
      <c r="C402" t="s">
        <v>13263</v>
      </c>
      <c r="D402">
        <v>2620</v>
      </c>
      <c r="E402">
        <v>4558</v>
      </c>
      <c r="F402">
        <v>-42</v>
      </c>
      <c r="G402" s="13">
        <v>0.80700000000000005</v>
      </c>
      <c r="H402" t="s">
        <v>25</v>
      </c>
      <c r="I402">
        <v>3</v>
      </c>
      <c r="J402">
        <v>67</v>
      </c>
      <c r="K402" t="str">
        <f t="shared" si="6"/>
        <v>Filtered out</v>
      </c>
    </row>
    <row r="403" spans="1:11" x14ac:dyDescent="0.2">
      <c r="A403" t="s">
        <v>13733</v>
      </c>
      <c r="B403" t="s">
        <v>13703</v>
      </c>
      <c r="C403" t="s">
        <v>13246</v>
      </c>
      <c r="D403">
        <v>2410</v>
      </c>
      <c r="E403">
        <v>2587</v>
      </c>
      <c r="F403">
        <v>-6</v>
      </c>
      <c r="G403" s="13">
        <v>0.96899999999999997</v>
      </c>
      <c r="H403" t="s">
        <v>25</v>
      </c>
      <c r="I403">
        <v>1</v>
      </c>
      <c r="J403">
        <v>532</v>
      </c>
      <c r="K403" t="str">
        <f t="shared" si="6"/>
        <v>Filtered out</v>
      </c>
    </row>
    <row r="404" spans="1:11" x14ac:dyDescent="0.2">
      <c r="A404" t="s">
        <v>13734</v>
      </c>
      <c r="B404" t="s">
        <v>13266</v>
      </c>
      <c r="C404" t="s">
        <v>13246</v>
      </c>
      <c r="D404">
        <v>4336</v>
      </c>
      <c r="E404">
        <v>7279</v>
      </c>
      <c r="F404">
        <v>-40</v>
      </c>
      <c r="G404" s="13">
        <v>0.99</v>
      </c>
      <c r="H404" t="s">
        <v>25</v>
      </c>
      <c r="I404">
        <v>1</v>
      </c>
      <c r="J404">
        <v>338</v>
      </c>
      <c r="K404" t="str">
        <f t="shared" si="6"/>
        <v>Filtered out</v>
      </c>
    </row>
    <row r="405" spans="1:11" x14ac:dyDescent="0.2">
      <c r="A405" t="s">
        <v>13735</v>
      </c>
      <c r="B405" t="s">
        <v>13246</v>
      </c>
      <c r="C405" t="s">
        <v>13246</v>
      </c>
      <c r="D405">
        <v>2788</v>
      </c>
      <c r="E405">
        <v>2794</v>
      </c>
      <c r="F405">
        <v>0</v>
      </c>
      <c r="G405" s="13">
        <v>0.83299999999999996</v>
      </c>
      <c r="H405" t="s">
        <v>25</v>
      </c>
      <c r="I405">
        <v>1</v>
      </c>
      <c r="J405">
        <v>804</v>
      </c>
      <c r="K405" t="str">
        <f t="shared" si="6"/>
        <v>Filtered out</v>
      </c>
    </row>
    <row r="406" spans="1:11" x14ac:dyDescent="0.2">
      <c r="A406" t="s">
        <v>13736</v>
      </c>
      <c r="B406" t="s">
        <v>13246</v>
      </c>
      <c r="C406" t="s">
        <v>13246</v>
      </c>
      <c r="D406">
        <v>1696</v>
      </c>
      <c r="E406">
        <v>1570</v>
      </c>
      <c r="F406">
        <v>8</v>
      </c>
      <c r="G406" s="13">
        <v>0.86599999999999999</v>
      </c>
      <c r="H406" t="s">
        <v>25</v>
      </c>
      <c r="I406">
        <v>1</v>
      </c>
      <c r="J406">
        <v>562</v>
      </c>
      <c r="K406" t="str">
        <f t="shared" si="6"/>
        <v>Filtered out</v>
      </c>
    </row>
    <row r="407" spans="1:11" x14ac:dyDescent="0.2">
      <c r="A407" t="s">
        <v>13737</v>
      </c>
      <c r="B407" t="s">
        <v>13246</v>
      </c>
      <c r="C407" t="s">
        <v>13246</v>
      </c>
      <c r="D407">
        <v>1699</v>
      </c>
      <c r="E407">
        <v>2383</v>
      </c>
      <c r="F407">
        <v>-28</v>
      </c>
      <c r="G407" s="13">
        <v>0.98799999999999999</v>
      </c>
      <c r="H407" t="s">
        <v>25</v>
      </c>
      <c r="I407">
        <v>1</v>
      </c>
      <c r="J407">
        <v>563</v>
      </c>
      <c r="K407" t="str">
        <f t="shared" si="6"/>
        <v>Filtered out</v>
      </c>
    </row>
    <row r="408" spans="1:11" x14ac:dyDescent="0.2">
      <c r="A408" t="s">
        <v>13737</v>
      </c>
      <c r="B408" t="s">
        <v>13246</v>
      </c>
      <c r="C408" t="s">
        <v>13246</v>
      </c>
      <c r="D408">
        <v>1699</v>
      </c>
      <c r="E408">
        <v>2383</v>
      </c>
      <c r="F408">
        <v>-28</v>
      </c>
      <c r="G408" s="13">
        <v>0.98799999999999999</v>
      </c>
      <c r="H408" t="s">
        <v>25</v>
      </c>
      <c r="I408">
        <v>1</v>
      </c>
      <c r="J408">
        <v>563</v>
      </c>
      <c r="K408" t="str">
        <f t="shared" si="6"/>
        <v>Filtered out</v>
      </c>
    </row>
    <row r="409" spans="1:11" x14ac:dyDescent="0.2">
      <c r="A409" t="s">
        <v>13738</v>
      </c>
      <c r="B409" t="s">
        <v>13246</v>
      </c>
      <c r="C409" t="s">
        <v>13246</v>
      </c>
      <c r="D409">
        <v>1699</v>
      </c>
      <c r="E409">
        <v>2395</v>
      </c>
      <c r="F409">
        <v>-29</v>
      </c>
      <c r="G409" s="13">
        <v>0.71499999999999997</v>
      </c>
      <c r="H409" t="s">
        <v>25</v>
      </c>
      <c r="I409">
        <v>1</v>
      </c>
      <c r="J409">
        <v>563</v>
      </c>
      <c r="K409" t="str">
        <f t="shared" si="6"/>
        <v>Filtered out</v>
      </c>
    </row>
    <row r="410" spans="1:11" x14ac:dyDescent="0.2">
      <c r="A410" t="s">
        <v>13739</v>
      </c>
      <c r="B410" t="s">
        <v>13246</v>
      </c>
      <c r="C410" t="s">
        <v>13246</v>
      </c>
      <c r="D410">
        <v>1699</v>
      </c>
      <c r="E410">
        <v>2383</v>
      </c>
      <c r="F410">
        <v>-28</v>
      </c>
      <c r="G410" s="13">
        <v>0.71899999999999997</v>
      </c>
      <c r="H410" t="s">
        <v>25</v>
      </c>
      <c r="I410">
        <v>1</v>
      </c>
      <c r="J410">
        <v>563</v>
      </c>
      <c r="K410" t="str">
        <f t="shared" si="6"/>
        <v>Filtered out</v>
      </c>
    </row>
    <row r="411" spans="1:11" x14ac:dyDescent="0.2">
      <c r="A411" t="s">
        <v>13740</v>
      </c>
      <c r="B411" t="s">
        <v>13265</v>
      </c>
      <c r="C411" t="s">
        <v>13265</v>
      </c>
      <c r="D411">
        <v>1684</v>
      </c>
      <c r="E411">
        <v>1837</v>
      </c>
      <c r="F411">
        <v>-8</v>
      </c>
      <c r="G411" s="13">
        <v>0.98799999999999999</v>
      </c>
      <c r="H411" t="s">
        <v>25</v>
      </c>
      <c r="I411">
        <v>1</v>
      </c>
      <c r="J411">
        <v>558</v>
      </c>
      <c r="K411" t="str">
        <f t="shared" si="6"/>
        <v>Retained</v>
      </c>
    </row>
    <row r="412" spans="1:11" x14ac:dyDescent="0.2">
      <c r="A412" t="s">
        <v>13741</v>
      </c>
      <c r="B412" t="s">
        <v>13265</v>
      </c>
      <c r="C412" t="s">
        <v>13246</v>
      </c>
      <c r="D412">
        <v>1696</v>
      </c>
      <c r="E412">
        <v>2341</v>
      </c>
      <c r="F412">
        <v>-27</v>
      </c>
      <c r="G412" s="13">
        <v>0.98799999999999999</v>
      </c>
      <c r="H412" t="s">
        <v>25</v>
      </c>
      <c r="I412">
        <v>1</v>
      </c>
      <c r="J412">
        <v>562</v>
      </c>
      <c r="K412" t="str">
        <f t="shared" si="6"/>
        <v>Filtered out</v>
      </c>
    </row>
    <row r="413" spans="1:11" x14ac:dyDescent="0.2">
      <c r="A413" t="s">
        <v>13738</v>
      </c>
      <c r="B413" t="s">
        <v>13246</v>
      </c>
      <c r="C413" t="s">
        <v>13246</v>
      </c>
      <c r="D413">
        <v>1699</v>
      </c>
      <c r="E413">
        <v>2395</v>
      </c>
      <c r="F413">
        <v>-29</v>
      </c>
      <c r="G413" s="13">
        <v>0.71499999999999997</v>
      </c>
      <c r="H413" t="s">
        <v>25</v>
      </c>
      <c r="I413">
        <v>1</v>
      </c>
      <c r="J413">
        <v>563</v>
      </c>
      <c r="K413" t="str">
        <f t="shared" si="6"/>
        <v>Filtered out</v>
      </c>
    </row>
    <row r="414" spans="1:11" x14ac:dyDescent="0.2">
      <c r="A414" t="s">
        <v>13742</v>
      </c>
      <c r="B414" t="s">
        <v>13312</v>
      </c>
      <c r="C414" t="s">
        <v>13312</v>
      </c>
      <c r="D414">
        <v>1087</v>
      </c>
      <c r="E414">
        <v>1489</v>
      </c>
      <c r="F414">
        <v>-26</v>
      </c>
      <c r="G414" s="13">
        <v>0.90900000000000003</v>
      </c>
      <c r="H414" t="s">
        <v>25</v>
      </c>
      <c r="I414">
        <v>1</v>
      </c>
      <c r="J414">
        <v>163</v>
      </c>
      <c r="K414" t="str">
        <f t="shared" si="6"/>
        <v>Filtered out</v>
      </c>
    </row>
    <row r="415" spans="1:11" x14ac:dyDescent="0.2">
      <c r="A415" t="s">
        <v>4</v>
      </c>
      <c r="B415" t="s">
        <v>13246</v>
      </c>
      <c r="C415" t="s">
        <v>13246</v>
      </c>
      <c r="D415">
        <v>2296</v>
      </c>
      <c r="E415">
        <v>2299</v>
      </c>
      <c r="F415">
        <v>0</v>
      </c>
      <c r="G415" s="13">
        <v>0.99</v>
      </c>
      <c r="H415" t="s">
        <v>25</v>
      </c>
      <c r="I415">
        <v>2</v>
      </c>
      <c r="J415">
        <v>233</v>
      </c>
      <c r="K415" t="str">
        <f t="shared" si="6"/>
        <v>Retained</v>
      </c>
    </row>
    <row r="416" spans="1:11" x14ac:dyDescent="0.2">
      <c r="A416" t="s">
        <v>13744</v>
      </c>
      <c r="B416" t="s">
        <v>13254</v>
      </c>
      <c r="C416" t="s">
        <v>13246</v>
      </c>
      <c r="D416">
        <v>4039</v>
      </c>
      <c r="E416">
        <v>4138</v>
      </c>
      <c r="F416">
        <v>-2</v>
      </c>
      <c r="G416" s="13">
        <v>0.97699999999999998</v>
      </c>
      <c r="H416" t="s">
        <v>25</v>
      </c>
      <c r="I416">
        <v>1</v>
      </c>
      <c r="J416">
        <v>1336</v>
      </c>
      <c r="K416" t="str">
        <f t="shared" si="6"/>
        <v>Filtered out</v>
      </c>
    </row>
    <row r="417" spans="1:11" x14ac:dyDescent="0.2">
      <c r="A417" t="s">
        <v>13745</v>
      </c>
      <c r="B417" t="s">
        <v>13248</v>
      </c>
      <c r="C417" t="s">
        <v>13246</v>
      </c>
      <c r="D417">
        <v>1723</v>
      </c>
      <c r="E417">
        <v>3279</v>
      </c>
      <c r="F417">
        <v>-47</v>
      </c>
      <c r="G417" s="13">
        <v>0.436</v>
      </c>
      <c r="H417" t="s">
        <v>25</v>
      </c>
      <c r="I417">
        <v>1</v>
      </c>
      <c r="J417">
        <v>32</v>
      </c>
      <c r="K417" t="str">
        <f t="shared" si="6"/>
        <v>Filtered out</v>
      </c>
    </row>
    <row r="418" spans="1:11" x14ac:dyDescent="0.2">
      <c r="A418" t="s">
        <v>13746</v>
      </c>
      <c r="B418" t="s">
        <v>13747</v>
      </c>
      <c r="C418" t="s">
        <v>13246</v>
      </c>
      <c r="D418">
        <v>2128</v>
      </c>
      <c r="E418">
        <v>3385</v>
      </c>
      <c r="F418">
        <v>-37</v>
      </c>
      <c r="G418" s="13">
        <v>0.71699999999999997</v>
      </c>
      <c r="H418" t="s">
        <v>25</v>
      </c>
      <c r="I418">
        <v>1</v>
      </c>
      <c r="J418">
        <v>20</v>
      </c>
      <c r="K418" t="str">
        <f t="shared" si="6"/>
        <v>Filtered out</v>
      </c>
    </row>
    <row r="419" spans="1:11" x14ac:dyDescent="0.2">
      <c r="A419" t="s">
        <v>31</v>
      </c>
      <c r="B419" t="s">
        <v>13246</v>
      </c>
      <c r="C419" t="s">
        <v>13246</v>
      </c>
      <c r="D419">
        <v>2077</v>
      </c>
      <c r="E419">
        <v>2077</v>
      </c>
      <c r="F419">
        <v>0</v>
      </c>
      <c r="G419" s="13">
        <v>0.97099999999999997</v>
      </c>
      <c r="H419" t="s">
        <v>25</v>
      </c>
      <c r="I419">
        <v>1</v>
      </c>
      <c r="J419">
        <v>524</v>
      </c>
      <c r="K419" t="str">
        <f t="shared" si="6"/>
        <v>Retained</v>
      </c>
    </row>
    <row r="420" spans="1:11" x14ac:dyDescent="0.2">
      <c r="A420" t="s">
        <v>13749</v>
      </c>
      <c r="B420" t="s">
        <v>13452</v>
      </c>
      <c r="C420" t="s">
        <v>13452</v>
      </c>
      <c r="D420">
        <v>838</v>
      </c>
      <c r="E420">
        <v>1207</v>
      </c>
      <c r="F420">
        <v>-30</v>
      </c>
      <c r="G420" s="13">
        <v>0.97099999999999997</v>
      </c>
      <c r="H420" t="s">
        <v>25</v>
      </c>
      <c r="I420">
        <v>1</v>
      </c>
      <c r="J420">
        <v>270</v>
      </c>
      <c r="K420" t="str">
        <f t="shared" si="6"/>
        <v>Filtered out</v>
      </c>
    </row>
    <row r="421" spans="1:11" x14ac:dyDescent="0.2">
      <c r="A421" t="s">
        <v>13750</v>
      </c>
      <c r="B421" t="s">
        <v>13418</v>
      </c>
      <c r="C421" t="s">
        <v>13547</v>
      </c>
      <c r="D421">
        <v>133</v>
      </c>
      <c r="E421">
        <v>1252</v>
      </c>
      <c r="F421">
        <v>-89</v>
      </c>
      <c r="G421" s="13">
        <v>1</v>
      </c>
      <c r="H421" t="s">
        <v>70</v>
      </c>
      <c r="I421">
        <v>0</v>
      </c>
      <c r="J421" t="s">
        <v>190</v>
      </c>
      <c r="K421" t="str">
        <f t="shared" si="6"/>
        <v>Filtered out</v>
      </c>
    </row>
    <row r="422" spans="1:11" x14ac:dyDescent="0.2">
      <c r="A422" t="s">
        <v>42</v>
      </c>
      <c r="B422" t="s">
        <v>13268</v>
      </c>
      <c r="C422" t="s">
        <v>13268</v>
      </c>
      <c r="D422">
        <v>607</v>
      </c>
      <c r="E422">
        <v>604</v>
      </c>
      <c r="F422">
        <v>0</v>
      </c>
      <c r="G422" s="13">
        <v>0.98499999999999999</v>
      </c>
      <c r="H422" t="s">
        <v>25</v>
      </c>
      <c r="I422">
        <v>1</v>
      </c>
      <c r="J422">
        <v>58</v>
      </c>
      <c r="K422" t="str">
        <f t="shared" si="6"/>
        <v>Retained</v>
      </c>
    </row>
    <row r="423" spans="1:11" x14ac:dyDescent="0.2">
      <c r="A423" t="s">
        <v>13752</v>
      </c>
      <c r="B423" t="s">
        <v>13278</v>
      </c>
      <c r="C423" t="s">
        <v>13533</v>
      </c>
      <c r="D423">
        <v>187</v>
      </c>
      <c r="E423">
        <v>742</v>
      </c>
      <c r="F423">
        <v>-74</v>
      </c>
      <c r="G423" s="13">
        <v>1</v>
      </c>
      <c r="H423" t="s">
        <v>70</v>
      </c>
      <c r="I423">
        <v>0</v>
      </c>
      <c r="J423" t="s">
        <v>190</v>
      </c>
      <c r="K423" t="str">
        <f t="shared" si="6"/>
        <v>Filtered out</v>
      </c>
    </row>
    <row r="424" spans="1:11" x14ac:dyDescent="0.2">
      <c r="A424" t="s">
        <v>13753</v>
      </c>
      <c r="B424" t="s">
        <v>13245</v>
      </c>
      <c r="C424" t="s">
        <v>13246</v>
      </c>
      <c r="D424">
        <v>169</v>
      </c>
      <c r="E424">
        <v>700</v>
      </c>
      <c r="F424">
        <v>-75</v>
      </c>
      <c r="G424" s="13">
        <v>0.98199999999999998</v>
      </c>
      <c r="H424" t="s">
        <v>70</v>
      </c>
      <c r="I424">
        <v>0</v>
      </c>
      <c r="J424" t="s">
        <v>190</v>
      </c>
      <c r="K424" t="str">
        <f t="shared" si="6"/>
        <v>Filtered out</v>
      </c>
    </row>
    <row r="425" spans="1:11" x14ac:dyDescent="0.2">
      <c r="A425" t="s">
        <v>13754</v>
      </c>
      <c r="B425" t="s">
        <v>13511</v>
      </c>
      <c r="C425" t="s">
        <v>13246</v>
      </c>
      <c r="D425">
        <v>670</v>
      </c>
      <c r="E425">
        <v>673</v>
      </c>
      <c r="F425">
        <v>0</v>
      </c>
      <c r="G425" s="13">
        <v>0.82299999999999995</v>
      </c>
      <c r="H425" t="s">
        <v>25</v>
      </c>
      <c r="I425">
        <v>1</v>
      </c>
      <c r="J425">
        <v>185</v>
      </c>
      <c r="K425" t="str">
        <f t="shared" si="6"/>
        <v>Filtered out</v>
      </c>
    </row>
    <row r="426" spans="1:11" x14ac:dyDescent="0.2">
      <c r="A426" t="s">
        <v>13755</v>
      </c>
      <c r="B426" t="s">
        <v>13446</v>
      </c>
      <c r="C426" t="s">
        <v>13246</v>
      </c>
      <c r="D426">
        <v>532</v>
      </c>
      <c r="E426">
        <v>3878</v>
      </c>
      <c r="F426">
        <v>-86</v>
      </c>
      <c r="G426" s="13">
        <v>0.871</v>
      </c>
      <c r="H426" t="s">
        <v>70</v>
      </c>
      <c r="I426">
        <v>0</v>
      </c>
      <c r="J426" t="s">
        <v>190</v>
      </c>
      <c r="K426" t="str">
        <f t="shared" si="6"/>
        <v>Filtered out</v>
      </c>
    </row>
    <row r="427" spans="1:11" x14ac:dyDescent="0.2">
      <c r="A427" t="s">
        <v>13756</v>
      </c>
      <c r="B427" t="s">
        <v>13508</v>
      </c>
      <c r="C427" t="s">
        <v>13246</v>
      </c>
      <c r="D427">
        <v>673</v>
      </c>
      <c r="E427">
        <v>1945</v>
      </c>
      <c r="F427">
        <v>-65</v>
      </c>
      <c r="G427" s="13">
        <v>0.97299999999999998</v>
      </c>
      <c r="H427" t="s">
        <v>25</v>
      </c>
      <c r="I427">
        <v>2</v>
      </c>
      <c r="J427">
        <v>2</v>
      </c>
      <c r="K427" t="str">
        <f t="shared" si="6"/>
        <v>Filtered out</v>
      </c>
    </row>
    <row r="428" spans="1:11" x14ac:dyDescent="0.2">
      <c r="A428" t="s">
        <v>13757</v>
      </c>
      <c r="B428" t="s">
        <v>13304</v>
      </c>
      <c r="C428" t="s">
        <v>13304</v>
      </c>
      <c r="D428">
        <v>1921</v>
      </c>
      <c r="E428">
        <v>1924</v>
      </c>
      <c r="F428">
        <v>0</v>
      </c>
      <c r="G428" s="13">
        <v>0.97</v>
      </c>
      <c r="H428" t="s">
        <v>25</v>
      </c>
      <c r="I428">
        <v>1</v>
      </c>
      <c r="J428">
        <v>134</v>
      </c>
      <c r="K428" t="str">
        <f t="shared" si="6"/>
        <v>Retained</v>
      </c>
    </row>
    <row r="429" spans="1:11" x14ac:dyDescent="0.2">
      <c r="A429" t="s">
        <v>13758</v>
      </c>
      <c r="B429" t="s">
        <v>13246</v>
      </c>
      <c r="C429" t="s">
        <v>13246</v>
      </c>
      <c r="D429">
        <v>2365</v>
      </c>
      <c r="E429">
        <v>2380</v>
      </c>
      <c r="F429">
        <v>0</v>
      </c>
      <c r="G429" s="13">
        <v>0.93100000000000005</v>
      </c>
      <c r="H429" t="s">
        <v>25</v>
      </c>
      <c r="I429">
        <v>2</v>
      </c>
      <c r="J429">
        <v>715</v>
      </c>
      <c r="K429" t="str">
        <f t="shared" si="6"/>
        <v>Retained</v>
      </c>
    </row>
    <row r="430" spans="1:11" x14ac:dyDescent="0.2">
      <c r="A430" t="s">
        <v>13759</v>
      </c>
      <c r="B430" t="s">
        <v>13418</v>
      </c>
      <c r="C430" t="s">
        <v>13246</v>
      </c>
      <c r="D430">
        <v>484</v>
      </c>
      <c r="E430">
        <v>586</v>
      </c>
      <c r="F430">
        <v>-17</v>
      </c>
      <c r="G430" s="13">
        <v>0.44900000000000001</v>
      </c>
      <c r="H430" t="s">
        <v>25</v>
      </c>
      <c r="I430">
        <v>1</v>
      </c>
      <c r="J430">
        <v>159</v>
      </c>
      <c r="K430" t="str">
        <f t="shared" si="6"/>
        <v>Filtered out</v>
      </c>
    </row>
    <row r="431" spans="1:11" x14ac:dyDescent="0.2">
      <c r="A431" t="s">
        <v>13760</v>
      </c>
      <c r="B431" t="s">
        <v>13761</v>
      </c>
      <c r="C431" t="s">
        <v>13536</v>
      </c>
      <c r="D431">
        <v>4933</v>
      </c>
      <c r="E431">
        <v>8761</v>
      </c>
      <c r="F431">
        <v>-43</v>
      </c>
      <c r="G431" s="13">
        <v>0.98699999999999999</v>
      </c>
      <c r="H431" t="s">
        <v>25</v>
      </c>
      <c r="I431">
        <v>1</v>
      </c>
      <c r="J431">
        <v>1241</v>
      </c>
      <c r="K431" t="str">
        <f t="shared" si="6"/>
        <v>Filtered out</v>
      </c>
    </row>
    <row r="432" spans="1:11" x14ac:dyDescent="0.2">
      <c r="A432" t="s">
        <v>13762</v>
      </c>
      <c r="B432" t="s">
        <v>13246</v>
      </c>
      <c r="C432" t="s">
        <v>13246</v>
      </c>
      <c r="D432">
        <v>5023</v>
      </c>
      <c r="E432">
        <v>5023</v>
      </c>
      <c r="F432">
        <v>0</v>
      </c>
      <c r="G432" s="13">
        <v>0.99299999999999999</v>
      </c>
      <c r="H432" t="s">
        <v>25</v>
      </c>
      <c r="I432">
        <v>1</v>
      </c>
      <c r="J432">
        <v>1402</v>
      </c>
      <c r="K432" t="str">
        <f t="shared" si="6"/>
        <v>Retained</v>
      </c>
    </row>
    <row r="433" spans="1:11" x14ac:dyDescent="0.2">
      <c r="A433" t="s">
        <v>13763</v>
      </c>
      <c r="B433" t="s">
        <v>13263</v>
      </c>
      <c r="C433" t="s">
        <v>13263</v>
      </c>
      <c r="D433">
        <v>832</v>
      </c>
      <c r="E433">
        <v>832</v>
      </c>
      <c r="F433">
        <v>0</v>
      </c>
      <c r="G433" s="13">
        <v>0.98899999999999999</v>
      </c>
      <c r="H433" t="s">
        <v>25</v>
      </c>
      <c r="I433">
        <v>1</v>
      </c>
      <c r="J433">
        <v>9</v>
      </c>
      <c r="K433" t="str">
        <f t="shared" si="6"/>
        <v>Retained</v>
      </c>
    </row>
    <row r="434" spans="1:11" x14ac:dyDescent="0.2">
      <c r="A434" t="s">
        <v>13764</v>
      </c>
      <c r="B434" t="s">
        <v>13246</v>
      </c>
      <c r="C434" t="s">
        <v>13246</v>
      </c>
      <c r="D434">
        <v>2893</v>
      </c>
      <c r="E434">
        <v>2899</v>
      </c>
      <c r="F434">
        <v>0</v>
      </c>
      <c r="G434" s="13">
        <v>0.96199999999999997</v>
      </c>
      <c r="H434" t="s">
        <v>25</v>
      </c>
      <c r="I434">
        <v>1</v>
      </c>
      <c r="J434">
        <v>745</v>
      </c>
      <c r="K434" t="str">
        <f t="shared" si="6"/>
        <v>Retained</v>
      </c>
    </row>
    <row r="435" spans="1:11" x14ac:dyDescent="0.2">
      <c r="A435" t="s">
        <v>13765</v>
      </c>
      <c r="B435" t="s">
        <v>13747</v>
      </c>
      <c r="C435" t="s">
        <v>13458</v>
      </c>
      <c r="D435">
        <v>640</v>
      </c>
      <c r="E435">
        <v>640</v>
      </c>
      <c r="F435">
        <v>0</v>
      </c>
      <c r="G435" s="13">
        <v>0.93899999999999995</v>
      </c>
      <c r="H435" t="s">
        <v>25</v>
      </c>
      <c r="I435">
        <v>1</v>
      </c>
      <c r="J435">
        <v>55</v>
      </c>
      <c r="K435" t="str">
        <f t="shared" si="6"/>
        <v>Retained</v>
      </c>
    </row>
    <row r="436" spans="1:11" x14ac:dyDescent="0.2">
      <c r="A436" t="s">
        <v>13766</v>
      </c>
      <c r="B436" t="s">
        <v>13297</v>
      </c>
      <c r="C436" t="s">
        <v>13246</v>
      </c>
      <c r="D436">
        <v>229</v>
      </c>
      <c r="E436">
        <v>1801</v>
      </c>
      <c r="F436">
        <v>-87</v>
      </c>
      <c r="G436" s="13">
        <v>0.78900000000000003</v>
      </c>
      <c r="H436" t="s">
        <v>25</v>
      </c>
      <c r="I436">
        <v>1</v>
      </c>
      <c r="J436">
        <v>10</v>
      </c>
      <c r="K436" t="str">
        <f t="shared" si="6"/>
        <v>Filtered out</v>
      </c>
    </row>
    <row r="437" spans="1:11" x14ac:dyDescent="0.2">
      <c r="A437" t="s">
        <v>13767</v>
      </c>
      <c r="B437" t="s">
        <v>13246</v>
      </c>
      <c r="C437" t="s">
        <v>13246</v>
      </c>
      <c r="D437">
        <v>562</v>
      </c>
      <c r="E437">
        <v>562</v>
      </c>
      <c r="F437">
        <v>0</v>
      </c>
      <c r="G437" s="13">
        <v>1</v>
      </c>
      <c r="H437" t="s">
        <v>25</v>
      </c>
      <c r="I437">
        <v>1</v>
      </c>
      <c r="J437">
        <v>77</v>
      </c>
      <c r="K437" t="str">
        <f t="shared" si="6"/>
        <v>Filtered out</v>
      </c>
    </row>
    <row r="438" spans="1:11" x14ac:dyDescent="0.2">
      <c r="A438" t="s">
        <v>13768</v>
      </c>
      <c r="B438" t="s">
        <v>13246</v>
      </c>
      <c r="C438" t="s">
        <v>13246</v>
      </c>
      <c r="D438">
        <v>4003</v>
      </c>
      <c r="E438">
        <v>4006</v>
      </c>
      <c r="F438">
        <v>0</v>
      </c>
      <c r="G438" s="13">
        <v>0.94599999999999995</v>
      </c>
      <c r="H438" t="s">
        <v>25</v>
      </c>
      <c r="I438">
        <v>2</v>
      </c>
      <c r="J438">
        <v>56</v>
      </c>
      <c r="K438" t="str">
        <f t="shared" si="6"/>
        <v>Retained</v>
      </c>
    </row>
    <row r="439" spans="1:11" x14ac:dyDescent="0.2">
      <c r="A439" t="s">
        <v>13769</v>
      </c>
      <c r="B439" t="s">
        <v>13255</v>
      </c>
      <c r="C439" t="s">
        <v>13246</v>
      </c>
      <c r="D439">
        <v>3952</v>
      </c>
      <c r="E439">
        <v>4513</v>
      </c>
      <c r="F439">
        <v>-12</v>
      </c>
      <c r="G439" s="13">
        <v>0.47299999999999998</v>
      </c>
      <c r="H439" t="s">
        <v>25</v>
      </c>
      <c r="I439">
        <v>25</v>
      </c>
      <c r="J439">
        <v>553</v>
      </c>
      <c r="K439" t="str">
        <f t="shared" si="6"/>
        <v>Filtered out</v>
      </c>
    </row>
    <row r="440" spans="1:11" x14ac:dyDescent="0.2">
      <c r="A440" t="s">
        <v>13770</v>
      </c>
      <c r="B440" t="s">
        <v>13246</v>
      </c>
      <c r="C440" t="s">
        <v>13697</v>
      </c>
      <c r="D440">
        <v>892</v>
      </c>
      <c r="E440">
        <v>754</v>
      </c>
      <c r="F440">
        <v>18</v>
      </c>
      <c r="G440" s="13">
        <v>0.98</v>
      </c>
      <c r="H440" t="s">
        <v>25</v>
      </c>
      <c r="I440">
        <v>2</v>
      </c>
      <c r="J440">
        <v>102</v>
      </c>
      <c r="K440" t="str">
        <f t="shared" si="6"/>
        <v>Filtered out</v>
      </c>
    </row>
    <row r="441" spans="1:11" x14ac:dyDescent="0.2">
      <c r="A441" t="s">
        <v>13771</v>
      </c>
      <c r="B441" t="s">
        <v>13385</v>
      </c>
      <c r="C441" t="s">
        <v>13385</v>
      </c>
      <c r="D441">
        <v>2770</v>
      </c>
      <c r="E441">
        <v>2770</v>
      </c>
      <c r="F441">
        <v>0</v>
      </c>
      <c r="G441" s="13">
        <v>0.98599999999999999</v>
      </c>
      <c r="H441" t="s">
        <v>25</v>
      </c>
      <c r="I441">
        <v>1</v>
      </c>
      <c r="J441">
        <v>341</v>
      </c>
      <c r="K441" t="str">
        <f t="shared" si="6"/>
        <v>Retained</v>
      </c>
    </row>
    <row r="442" spans="1:11" x14ac:dyDescent="0.2">
      <c r="A442" t="s">
        <v>13772</v>
      </c>
      <c r="B442" t="s">
        <v>13346</v>
      </c>
      <c r="C442" t="s">
        <v>13346</v>
      </c>
      <c r="D442">
        <v>1579</v>
      </c>
      <c r="E442">
        <v>1579</v>
      </c>
      <c r="F442">
        <v>0</v>
      </c>
      <c r="G442" s="13">
        <v>0.998</v>
      </c>
      <c r="H442" t="s">
        <v>25</v>
      </c>
      <c r="I442">
        <v>1</v>
      </c>
      <c r="J442">
        <v>517</v>
      </c>
      <c r="K442" t="str">
        <f t="shared" si="6"/>
        <v>Retained</v>
      </c>
    </row>
    <row r="443" spans="1:11" x14ac:dyDescent="0.2">
      <c r="A443" t="s">
        <v>13773</v>
      </c>
      <c r="B443" t="s">
        <v>13560</v>
      </c>
      <c r="C443" t="s">
        <v>13246</v>
      </c>
      <c r="D443">
        <v>2647</v>
      </c>
      <c r="E443">
        <v>2707</v>
      </c>
      <c r="F443">
        <v>-2</v>
      </c>
      <c r="G443" s="13">
        <v>0.99399999999999999</v>
      </c>
      <c r="H443" t="s">
        <v>25</v>
      </c>
      <c r="I443">
        <v>1</v>
      </c>
      <c r="J443">
        <v>4</v>
      </c>
      <c r="K443" t="str">
        <f t="shared" si="6"/>
        <v>Filtered out</v>
      </c>
    </row>
    <row r="444" spans="1:11" x14ac:dyDescent="0.2">
      <c r="A444" t="s">
        <v>13774</v>
      </c>
      <c r="B444" t="s">
        <v>13246</v>
      </c>
      <c r="C444" t="s">
        <v>13246</v>
      </c>
      <c r="D444">
        <v>3130</v>
      </c>
      <c r="E444">
        <v>3121</v>
      </c>
      <c r="F444">
        <v>0</v>
      </c>
      <c r="G444" s="13">
        <v>0.95499999999999996</v>
      </c>
      <c r="H444" t="s">
        <v>25</v>
      </c>
      <c r="I444">
        <v>3</v>
      </c>
      <c r="J444">
        <v>758</v>
      </c>
      <c r="K444" t="str">
        <f t="shared" si="6"/>
        <v>Retained</v>
      </c>
    </row>
    <row r="445" spans="1:11" x14ac:dyDescent="0.2">
      <c r="A445" t="s">
        <v>13775</v>
      </c>
      <c r="B445" t="s">
        <v>13266</v>
      </c>
      <c r="C445" t="s">
        <v>13246</v>
      </c>
      <c r="D445">
        <v>211</v>
      </c>
      <c r="E445">
        <v>664</v>
      </c>
      <c r="F445">
        <v>-68</v>
      </c>
      <c r="G445" s="13">
        <v>0.92800000000000005</v>
      </c>
      <c r="H445" t="s">
        <v>70</v>
      </c>
      <c r="I445">
        <v>0</v>
      </c>
      <c r="J445" t="s">
        <v>190</v>
      </c>
      <c r="K445" t="str">
        <f t="shared" si="6"/>
        <v>Filtered out</v>
      </c>
    </row>
    <row r="446" spans="1:11" x14ac:dyDescent="0.2">
      <c r="A446" t="s">
        <v>13776</v>
      </c>
      <c r="B446" t="s">
        <v>13246</v>
      </c>
      <c r="C446" t="s">
        <v>13246</v>
      </c>
      <c r="D446">
        <v>931</v>
      </c>
      <c r="E446">
        <v>931</v>
      </c>
      <c r="F446">
        <v>0</v>
      </c>
      <c r="G446" s="13">
        <v>0.98399999999999999</v>
      </c>
      <c r="H446" t="s">
        <v>25</v>
      </c>
      <c r="I446">
        <v>1</v>
      </c>
      <c r="J446">
        <v>187</v>
      </c>
      <c r="K446" t="str">
        <f t="shared" si="6"/>
        <v>Retained</v>
      </c>
    </row>
    <row r="447" spans="1:11" x14ac:dyDescent="0.2">
      <c r="A447" t="s">
        <v>13777</v>
      </c>
      <c r="B447" t="s">
        <v>13697</v>
      </c>
      <c r="C447" t="s">
        <v>13697</v>
      </c>
      <c r="D447">
        <v>910</v>
      </c>
      <c r="E447">
        <v>910</v>
      </c>
      <c r="F447">
        <v>0</v>
      </c>
      <c r="G447" s="13">
        <v>0.98</v>
      </c>
      <c r="H447" t="s">
        <v>25</v>
      </c>
      <c r="I447">
        <v>1</v>
      </c>
      <c r="J447">
        <v>116</v>
      </c>
      <c r="K447" t="str">
        <f t="shared" si="6"/>
        <v>Retained</v>
      </c>
    </row>
    <row r="448" spans="1:11" x14ac:dyDescent="0.2">
      <c r="A448" t="s">
        <v>13778</v>
      </c>
      <c r="B448" t="s">
        <v>13246</v>
      </c>
      <c r="C448" t="s">
        <v>13246</v>
      </c>
      <c r="D448">
        <v>925</v>
      </c>
      <c r="E448">
        <v>937</v>
      </c>
      <c r="F448">
        <v>-1</v>
      </c>
      <c r="G448" s="13">
        <v>0.91200000000000003</v>
      </c>
      <c r="H448" t="s">
        <v>25</v>
      </c>
      <c r="I448">
        <v>1</v>
      </c>
      <c r="J448">
        <v>121</v>
      </c>
      <c r="K448" t="str">
        <f t="shared" si="6"/>
        <v>Retained</v>
      </c>
    </row>
    <row r="449" spans="1:11" x14ac:dyDescent="0.2">
      <c r="A449" t="s">
        <v>13779</v>
      </c>
      <c r="B449" t="s">
        <v>13246</v>
      </c>
      <c r="C449" t="s">
        <v>13246</v>
      </c>
      <c r="D449">
        <v>940</v>
      </c>
      <c r="E449">
        <v>940</v>
      </c>
      <c r="F449">
        <v>0</v>
      </c>
      <c r="G449" s="13">
        <v>0.97399999999999998</v>
      </c>
      <c r="H449" t="s">
        <v>25</v>
      </c>
      <c r="I449">
        <v>1</v>
      </c>
      <c r="J449">
        <v>19</v>
      </c>
      <c r="K449" t="str">
        <f t="shared" si="6"/>
        <v>Retained</v>
      </c>
    </row>
    <row r="450" spans="1:11" x14ac:dyDescent="0.2">
      <c r="A450" t="s">
        <v>13780</v>
      </c>
      <c r="B450" t="s">
        <v>13323</v>
      </c>
      <c r="C450" t="s">
        <v>13323</v>
      </c>
      <c r="D450">
        <v>940</v>
      </c>
      <c r="E450">
        <v>940</v>
      </c>
      <c r="F450">
        <v>0</v>
      </c>
      <c r="G450" s="13">
        <v>0.97799999999999998</v>
      </c>
      <c r="H450" t="s">
        <v>25</v>
      </c>
      <c r="I450">
        <v>1</v>
      </c>
      <c r="J450">
        <v>307</v>
      </c>
      <c r="K450" t="str">
        <f t="shared" si="6"/>
        <v>Retained</v>
      </c>
    </row>
    <row r="451" spans="1:11" x14ac:dyDescent="0.2">
      <c r="A451" t="s">
        <v>13781</v>
      </c>
      <c r="B451" t="s">
        <v>13452</v>
      </c>
      <c r="C451" t="s">
        <v>13452</v>
      </c>
      <c r="D451">
        <v>919</v>
      </c>
      <c r="E451">
        <v>919</v>
      </c>
      <c r="F451">
        <v>0</v>
      </c>
      <c r="G451" s="13">
        <v>0.98</v>
      </c>
      <c r="H451" t="s">
        <v>25</v>
      </c>
      <c r="I451">
        <v>1</v>
      </c>
      <c r="J451">
        <v>105</v>
      </c>
      <c r="K451" t="str">
        <f t="shared" si="6"/>
        <v>Retained</v>
      </c>
    </row>
    <row r="452" spans="1:11" x14ac:dyDescent="0.2">
      <c r="A452" t="s">
        <v>13782</v>
      </c>
      <c r="B452" t="s">
        <v>13452</v>
      </c>
      <c r="C452" t="s">
        <v>13452</v>
      </c>
      <c r="D452">
        <v>919</v>
      </c>
      <c r="E452">
        <v>919</v>
      </c>
      <c r="F452">
        <v>0</v>
      </c>
      <c r="G452" s="13">
        <v>0.98</v>
      </c>
      <c r="H452" t="s">
        <v>25</v>
      </c>
      <c r="I452">
        <v>1</v>
      </c>
      <c r="J452">
        <v>105</v>
      </c>
      <c r="K452" t="str">
        <f t="shared" si="6"/>
        <v>Retained</v>
      </c>
    </row>
    <row r="453" spans="1:11" x14ac:dyDescent="0.2">
      <c r="A453" t="s">
        <v>13783</v>
      </c>
      <c r="B453" t="s">
        <v>13452</v>
      </c>
      <c r="C453" t="s">
        <v>13452</v>
      </c>
      <c r="D453">
        <v>934</v>
      </c>
      <c r="E453">
        <v>934</v>
      </c>
      <c r="F453">
        <v>0</v>
      </c>
      <c r="G453" s="13">
        <v>0.98099999999999998</v>
      </c>
      <c r="H453" t="s">
        <v>25</v>
      </c>
      <c r="I453">
        <v>1</v>
      </c>
      <c r="J453">
        <v>105</v>
      </c>
      <c r="K453" t="str">
        <f t="shared" si="6"/>
        <v>Retained</v>
      </c>
    </row>
    <row r="454" spans="1:11" x14ac:dyDescent="0.2">
      <c r="A454" t="s">
        <v>13784</v>
      </c>
      <c r="B454" t="s">
        <v>13321</v>
      </c>
      <c r="C454" t="s">
        <v>13337</v>
      </c>
      <c r="D454">
        <v>508</v>
      </c>
      <c r="E454">
        <v>892</v>
      </c>
      <c r="F454">
        <v>-43</v>
      </c>
      <c r="G454" s="13">
        <v>0.97</v>
      </c>
      <c r="H454" t="s">
        <v>70</v>
      </c>
      <c r="I454">
        <v>0</v>
      </c>
      <c r="J454" t="s">
        <v>190</v>
      </c>
      <c r="K454" t="str">
        <f t="shared" si="6"/>
        <v>Filtered out</v>
      </c>
    </row>
    <row r="455" spans="1:11" x14ac:dyDescent="0.2">
      <c r="A455" t="s">
        <v>13785</v>
      </c>
      <c r="B455" t="s">
        <v>13246</v>
      </c>
      <c r="C455" t="s">
        <v>13246</v>
      </c>
      <c r="D455">
        <v>955</v>
      </c>
      <c r="E455">
        <v>955</v>
      </c>
      <c r="F455">
        <v>0</v>
      </c>
      <c r="G455" s="13">
        <v>0.96199999999999997</v>
      </c>
      <c r="H455" t="s">
        <v>25</v>
      </c>
      <c r="I455">
        <v>1</v>
      </c>
      <c r="J455">
        <v>262</v>
      </c>
      <c r="K455" t="str">
        <f t="shared" si="6"/>
        <v>Retained</v>
      </c>
    </row>
    <row r="456" spans="1:11" x14ac:dyDescent="0.2">
      <c r="A456" t="s">
        <v>13786</v>
      </c>
      <c r="B456" t="s">
        <v>13452</v>
      </c>
      <c r="C456" t="s">
        <v>13452</v>
      </c>
      <c r="D456">
        <v>940</v>
      </c>
      <c r="E456">
        <v>940</v>
      </c>
      <c r="F456">
        <v>0</v>
      </c>
      <c r="G456" s="13">
        <v>0.98399999999999999</v>
      </c>
      <c r="H456" t="s">
        <v>25</v>
      </c>
      <c r="I456">
        <v>1</v>
      </c>
      <c r="J456">
        <v>310</v>
      </c>
      <c r="K456" t="str">
        <f t="shared" ref="K456:K519" si="7">IF(AND(B456=C456,F456&lt;10,F456&gt;-10,I456&gt;0,G456&gt;90%,G456&lt;100%),"Retained","Filtered out")</f>
        <v>Retained</v>
      </c>
    </row>
    <row r="457" spans="1:11" x14ac:dyDescent="0.2">
      <c r="A457" t="s">
        <v>13787</v>
      </c>
      <c r="B457" t="s">
        <v>13246</v>
      </c>
      <c r="C457" t="s">
        <v>13246</v>
      </c>
      <c r="D457">
        <v>934</v>
      </c>
      <c r="E457">
        <v>934</v>
      </c>
      <c r="F457">
        <v>0</v>
      </c>
      <c r="G457" s="13">
        <v>0.97399999999999998</v>
      </c>
      <c r="H457" t="s">
        <v>25</v>
      </c>
      <c r="I457">
        <v>1</v>
      </c>
      <c r="J457">
        <v>307</v>
      </c>
      <c r="K457" t="str">
        <f t="shared" si="7"/>
        <v>Retained</v>
      </c>
    </row>
    <row r="458" spans="1:11" x14ac:dyDescent="0.2">
      <c r="A458" t="s">
        <v>13788</v>
      </c>
      <c r="B458" t="s">
        <v>13283</v>
      </c>
      <c r="C458" t="s">
        <v>13283</v>
      </c>
      <c r="D458">
        <v>3682</v>
      </c>
      <c r="E458">
        <v>3682</v>
      </c>
      <c r="F458">
        <v>0</v>
      </c>
      <c r="G458" s="13">
        <v>0.99</v>
      </c>
      <c r="H458" t="s">
        <v>25</v>
      </c>
      <c r="I458">
        <v>1</v>
      </c>
      <c r="J458">
        <v>876</v>
      </c>
      <c r="K458" t="str">
        <f t="shared" si="7"/>
        <v>Retained</v>
      </c>
    </row>
    <row r="459" spans="1:11" x14ac:dyDescent="0.2">
      <c r="A459" t="s">
        <v>13789</v>
      </c>
      <c r="B459" t="s">
        <v>13466</v>
      </c>
      <c r="C459" t="s">
        <v>13305</v>
      </c>
      <c r="D459">
        <v>1087</v>
      </c>
      <c r="E459">
        <v>1069</v>
      </c>
      <c r="F459">
        <v>1</v>
      </c>
      <c r="G459" s="13">
        <v>0.98899999999999999</v>
      </c>
      <c r="H459" t="s">
        <v>25</v>
      </c>
      <c r="I459">
        <v>1</v>
      </c>
      <c r="J459">
        <v>358</v>
      </c>
      <c r="K459" t="str">
        <f t="shared" si="7"/>
        <v>Filtered out</v>
      </c>
    </row>
    <row r="460" spans="1:11" x14ac:dyDescent="0.2">
      <c r="A460" t="s">
        <v>13790</v>
      </c>
      <c r="B460" t="s">
        <v>13246</v>
      </c>
      <c r="C460" t="s">
        <v>13246</v>
      </c>
      <c r="D460">
        <v>949</v>
      </c>
      <c r="E460">
        <v>949</v>
      </c>
      <c r="F460">
        <v>0</v>
      </c>
      <c r="G460" s="13">
        <v>0.99099999999999999</v>
      </c>
      <c r="H460" t="s">
        <v>25</v>
      </c>
      <c r="I460">
        <v>1</v>
      </c>
      <c r="J460">
        <v>309</v>
      </c>
      <c r="K460" t="str">
        <f t="shared" si="7"/>
        <v>Retained</v>
      </c>
    </row>
    <row r="461" spans="1:11" x14ac:dyDescent="0.2">
      <c r="A461" t="s">
        <v>13791</v>
      </c>
      <c r="B461" t="s">
        <v>13246</v>
      </c>
      <c r="C461" t="s">
        <v>13246</v>
      </c>
      <c r="D461">
        <v>949</v>
      </c>
      <c r="E461">
        <v>949</v>
      </c>
      <c r="F461">
        <v>0</v>
      </c>
      <c r="G461" s="13">
        <v>0.99099999999999999</v>
      </c>
      <c r="H461" t="s">
        <v>25</v>
      </c>
      <c r="I461">
        <v>1</v>
      </c>
      <c r="J461">
        <v>309</v>
      </c>
      <c r="K461" t="str">
        <f t="shared" si="7"/>
        <v>Retained</v>
      </c>
    </row>
    <row r="462" spans="1:11" x14ac:dyDescent="0.2">
      <c r="A462" t="s">
        <v>13792</v>
      </c>
      <c r="B462" t="s">
        <v>13252</v>
      </c>
      <c r="C462" t="s">
        <v>13246</v>
      </c>
      <c r="D462">
        <v>973</v>
      </c>
      <c r="E462">
        <v>1510</v>
      </c>
      <c r="F462">
        <v>-35</v>
      </c>
      <c r="G462" s="13">
        <v>0.93700000000000006</v>
      </c>
      <c r="H462" t="s">
        <v>25</v>
      </c>
      <c r="I462">
        <v>1</v>
      </c>
      <c r="J462">
        <v>303</v>
      </c>
      <c r="K462" t="str">
        <f t="shared" si="7"/>
        <v>Filtered out</v>
      </c>
    </row>
    <row r="463" spans="1:11" x14ac:dyDescent="0.2">
      <c r="A463" t="s">
        <v>13793</v>
      </c>
      <c r="B463" t="s">
        <v>13794</v>
      </c>
      <c r="C463" t="s">
        <v>13246</v>
      </c>
      <c r="D463">
        <v>298</v>
      </c>
      <c r="E463">
        <v>1162</v>
      </c>
      <c r="F463">
        <v>-74</v>
      </c>
      <c r="G463" s="13">
        <v>0.98</v>
      </c>
      <c r="H463" t="s">
        <v>70</v>
      </c>
      <c r="I463">
        <v>0</v>
      </c>
      <c r="J463" t="s">
        <v>190</v>
      </c>
      <c r="K463" t="str">
        <f t="shared" si="7"/>
        <v>Filtered out</v>
      </c>
    </row>
    <row r="464" spans="1:11" x14ac:dyDescent="0.2">
      <c r="A464" t="s">
        <v>13795</v>
      </c>
      <c r="B464" t="s">
        <v>13308</v>
      </c>
      <c r="C464" t="s">
        <v>13308</v>
      </c>
      <c r="D464">
        <v>2758</v>
      </c>
      <c r="E464">
        <v>3559</v>
      </c>
      <c r="F464">
        <v>-22</v>
      </c>
      <c r="G464" s="13">
        <v>0.96299999999999997</v>
      </c>
      <c r="H464" t="s">
        <v>25</v>
      </c>
      <c r="I464">
        <v>1</v>
      </c>
      <c r="J464">
        <v>916</v>
      </c>
      <c r="K464" t="str">
        <f t="shared" si="7"/>
        <v>Filtered out</v>
      </c>
    </row>
    <row r="465" spans="1:11" x14ac:dyDescent="0.2">
      <c r="A465" t="s">
        <v>17</v>
      </c>
      <c r="B465" t="s">
        <v>13246</v>
      </c>
      <c r="C465" t="s">
        <v>13246</v>
      </c>
      <c r="D465">
        <v>4741</v>
      </c>
      <c r="E465">
        <v>4741</v>
      </c>
      <c r="F465">
        <v>0</v>
      </c>
      <c r="G465" s="13">
        <v>0.99099999999999999</v>
      </c>
      <c r="H465" t="s">
        <v>25</v>
      </c>
      <c r="I465">
        <v>1</v>
      </c>
      <c r="J465">
        <v>1294</v>
      </c>
      <c r="K465" t="str">
        <f t="shared" si="7"/>
        <v>Retained</v>
      </c>
    </row>
    <row r="466" spans="1:11" x14ac:dyDescent="0.2">
      <c r="A466" t="s">
        <v>13797</v>
      </c>
      <c r="B466" t="s">
        <v>13248</v>
      </c>
      <c r="C466" t="s">
        <v>13248</v>
      </c>
      <c r="D466">
        <v>2722</v>
      </c>
      <c r="E466">
        <v>2722</v>
      </c>
      <c r="F466">
        <v>0</v>
      </c>
      <c r="G466" s="13">
        <v>0.98499999999999999</v>
      </c>
      <c r="H466" t="s">
        <v>25</v>
      </c>
      <c r="I466">
        <v>1</v>
      </c>
      <c r="J466">
        <v>413</v>
      </c>
      <c r="K466" t="str">
        <f t="shared" si="7"/>
        <v>Retained</v>
      </c>
    </row>
    <row r="467" spans="1:11" x14ac:dyDescent="0.2">
      <c r="A467" t="s">
        <v>13798</v>
      </c>
      <c r="B467" t="s">
        <v>13312</v>
      </c>
      <c r="C467" t="s">
        <v>13252</v>
      </c>
      <c r="D467">
        <v>580</v>
      </c>
      <c r="E467">
        <v>1822</v>
      </c>
      <c r="F467">
        <v>-68</v>
      </c>
      <c r="G467" s="13">
        <v>0.81299999999999994</v>
      </c>
      <c r="H467" t="s">
        <v>70</v>
      </c>
      <c r="I467">
        <v>0</v>
      </c>
      <c r="J467" t="s">
        <v>190</v>
      </c>
      <c r="K467" t="str">
        <f t="shared" si="7"/>
        <v>Filtered out</v>
      </c>
    </row>
    <row r="468" spans="1:11" x14ac:dyDescent="0.2">
      <c r="A468" t="s">
        <v>13799</v>
      </c>
      <c r="B468" t="s">
        <v>13263</v>
      </c>
      <c r="C468" t="s">
        <v>13246</v>
      </c>
      <c r="D468">
        <v>286</v>
      </c>
      <c r="E468">
        <v>640</v>
      </c>
      <c r="F468">
        <v>-55</v>
      </c>
      <c r="G468" s="13">
        <v>0.224</v>
      </c>
      <c r="H468" t="s">
        <v>70</v>
      </c>
      <c r="I468">
        <v>0</v>
      </c>
      <c r="J468" t="s">
        <v>190</v>
      </c>
      <c r="K468" t="str">
        <f t="shared" si="7"/>
        <v>Filtered out</v>
      </c>
    </row>
    <row r="469" spans="1:11" x14ac:dyDescent="0.2">
      <c r="A469" t="s">
        <v>13800</v>
      </c>
      <c r="B469" t="s">
        <v>13248</v>
      </c>
      <c r="C469" t="s">
        <v>13245</v>
      </c>
      <c r="D469">
        <v>238</v>
      </c>
      <c r="E469">
        <v>547</v>
      </c>
      <c r="F469">
        <v>-56</v>
      </c>
      <c r="G469" s="13">
        <v>0.97499999999999998</v>
      </c>
      <c r="H469" t="s">
        <v>70</v>
      </c>
      <c r="I469">
        <v>0</v>
      </c>
      <c r="J469" t="s">
        <v>190</v>
      </c>
      <c r="K469" t="str">
        <f t="shared" si="7"/>
        <v>Filtered out</v>
      </c>
    </row>
    <row r="470" spans="1:11" x14ac:dyDescent="0.2">
      <c r="A470" t="s">
        <v>13801</v>
      </c>
      <c r="B470" t="s">
        <v>13369</v>
      </c>
      <c r="C470" t="s">
        <v>13246</v>
      </c>
      <c r="D470">
        <v>1927</v>
      </c>
      <c r="E470">
        <v>4084</v>
      </c>
      <c r="F470">
        <v>-52</v>
      </c>
      <c r="G470" s="13">
        <v>0.96299999999999997</v>
      </c>
      <c r="H470" t="s">
        <v>25</v>
      </c>
      <c r="I470">
        <v>1</v>
      </c>
      <c r="J470">
        <v>639</v>
      </c>
      <c r="K470" t="str">
        <f t="shared" si="7"/>
        <v>Filtered out</v>
      </c>
    </row>
    <row r="471" spans="1:11" x14ac:dyDescent="0.2">
      <c r="A471" t="s">
        <v>13802</v>
      </c>
      <c r="B471" t="s">
        <v>13246</v>
      </c>
      <c r="C471" t="s">
        <v>13246</v>
      </c>
      <c r="D471">
        <v>5791</v>
      </c>
      <c r="E471">
        <v>6808</v>
      </c>
      <c r="F471">
        <v>-14</v>
      </c>
      <c r="G471" s="13">
        <v>0.97399999999999998</v>
      </c>
      <c r="H471" t="s">
        <v>25</v>
      </c>
      <c r="I471">
        <v>1</v>
      </c>
      <c r="J471">
        <v>1209</v>
      </c>
      <c r="K471" t="str">
        <f t="shared" si="7"/>
        <v>Filtered out</v>
      </c>
    </row>
    <row r="472" spans="1:11" x14ac:dyDescent="0.2">
      <c r="A472" t="s">
        <v>13803</v>
      </c>
      <c r="B472" t="s">
        <v>13652</v>
      </c>
      <c r="C472" t="s">
        <v>13462</v>
      </c>
      <c r="D472">
        <v>166</v>
      </c>
      <c r="E472">
        <v>456</v>
      </c>
      <c r="F472">
        <v>-63</v>
      </c>
      <c r="G472" s="13">
        <v>0.33300000000000002</v>
      </c>
      <c r="H472" t="s">
        <v>70</v>
      </c>
      <c r="I472">
        <v>0</v>
      </c>
      <c r="J472" t="s">
        <v>190</v>
      </c>
      <c r="K472" t="str">
        <f t="shared" si="7"/>
        <v>Filtered out</v>
      </c>
    </row>
    <row r="473" spans="1:11" x14ac:dyDescent="0.2">
      <c r="A473" t="s">
        <v>13804</v>
      </c>
      <c r="B473" t="s">
        <v>13318</v>
      </c>
      <c r="C473" t="s">
        <v>13266</v>
      </c>
      <c r="D473">
        <v>760</v>
      </c>
      <c r="E473">
        <v>1702</v>
      </c>
      <c r="F473">
        <v>-55</v>
      </c>
      <c r="G473" s="13">
        <v>0.98</v>
      </c>
      <c r="H473" t="s">
        <v>25</v>
      </c>
      <c r="I473">
        <v>1</v>
      </c>
      <c r="J473">
        <v>248</v>
      </c>
      <c r="K473" t="str">
        <f t="shared" si="7"/>
        <v>Filtered out</v>
      </c>
    </row>
    <row r="474" spans="1:11" x14ac:dyDescent="0.2">
      <c r="A474" t="s">
        <v>13805</v>
      </c>
      <c r="B474" t="s">
        <v>13806</v>
      </c>
      <c r="C474" t="s">
        <v>13246</v>
      </c>
      <c r="D474">
        <v>2764</v>
      </c>
      <c r="E474">
        <v>2806</v>
      </c>
      <c r="F474">
        <v>-1</v>
      </c>
      <c r="G474" s="13">
        <v>0.999</v>
      </c>
      <c r="H474" t="s">
        <v>25</v>
      </c>
      <c r="I474">
        <v>1</v>
      </c>
      <c r="J474">
        <v>2</v>
      </c>
      <c r="K474" t="str">
        <f t="shared" si="7"/>
        <v>Filtered out</v>
      </c>
    </row>
    <row r="475" spans="1:11" x14ac:dyDescent="0.2">
      <c r="A475" t="s">
        <v>13807</v>
      </c>
      <c r="B475" t="s">
        <v>13446</v>
      </c>
      <c r="C475" t="s">
        <v>13418</v>
      </c>
      <c r="D475">
        <v>4240</v>
      </c>
      <c r="E475">
        <v>4387</v>
      </c>
      <c r="F475">
        <v>-3</v>
      </c>
      <c r="G475" s="13">
        <v>0.96399999999999997</v>
      </c>
      <c r="H475" t="s">
        <v>25</v>
      </c>
      <c r="I475">
        <v>1</v>
      </c>
      <c r="J475">
        <v>29</v>
      </c>
      <c r="K475" t="str">
        <f t="shared" si="7"/>
        <v>Filtered out</v>
      </c>
    </row>
    <row r="476" spans="1:11" x14ac:dyDescent="0.2">
      <c r="A476" t="s">
        <v>13808</v>
      </c>
      <c r="B476" t="s">
        <v>13246</v>
      </c>
      <c r="C476" t="s">
        <v>13246</v>
      </c>
      <c r="D476">
        <v>343</v>
      </c>
      <c r="E476">
        <v>628</v>
      </c>
      <c r="F476">
        <v>-45</v>
      </c>
      <c r="G476" s="13">
        <v>0.97399999999999998</v>
      </c>
      <c r="H476" t="s">
        <v>25</v>
      </c>
      <c r="I476">
        <v>1</v>
      </c>
      <c r="J476">
        <v>110</v>
      </c>
      <c r="K476" t="str">
        <f t="shared" si="7"/>
        <v>Filtered out</v>
      </c>
    </row>
    <row r="477" spans="1:11" x14ac:dyDescent="0.2">
      <c r="A477" t="s">
        <v>13809</v>
      </c>
      <c r="B477" t="s">
        <v>13283</v>
      </c>
      <c r="C477" t="s">
        <v>13268</v>
      </c>
      <c r="D477">
        <v>133</v>
      </c>
      <c r="E477">
        <v>523</v>
      </c>
      <c r="F477">
        <v>-74</v>
      </c>
      <c r="G477" s="13">
        <v>0.97699999999999998</v>
      </c>
      <c r="H477" t="s">
        <v>70</v>
      </c>
      <c r="I477">
        <v>0</v>
      </c>
      <c r="J477" t="s">
        <v>190</v>
      </c>
      <c r="K477" t="str">
        <f t="shared" si="7"/>
        <v>Filtered out</v>
      </c>
    </row>
    <row r="478" spans="1:11" x14ac:dyDescent="0.2">
      <c r="A478" t="s">
        <v>13810</v>
      </c>
      <c r="B478" t="s">
        <v>13462</v>
      </c>
      <c r="C478" t="s">
        <v>13246</v>
      </c>
      <c r="D478">
        <v>1558</v>
      </c>
      <c r="E478">
        <v>1693</v>
      </c>
      <c r="F478">
        <v>-7</v>
      </c>
      <c r="G478" s="13">
        <v>0.99399999999999999</v>
      </c>
      <c r="H478" t="s">
        <v>25</v>
      </c>
      <c r="I478">
        <v>1</v>
      </c>
      <c r="J478">
        <v>199</v>
      </c>
      <c r="K478" t="str">
        <f t="shared" si="7"/>
        <v>Filtered out</v>
      </c>
    </row>
    <row r="479" spans="1:11" x14ac:dyDescent="0.2">
      <c r="A479" t="s">
        <v>13811</v>
      </c>
      <c r="B479" t="s">
        <v>13246</v>
      </c>
      <c r="C479" t="s">
        <v>13560</v>
      </c>
      <c r="D479">
        <v>2926</v>
      </c>
      <c r="E479">
        <v>2509</v>
      </c>
      <c r="F479">
        <v>16</v>
      </c>
      <c r="G479" s="13">
        <v>0.996</v>
      </c>
      <c r="H479" t="s">
        <v>25</v>
      </c>
      <c r="I479">
        <v>1</v>
      </c>
      <c r="J479">
        <v>8</v>
      </c>
      <c r="K479" t="str">
        <f t="shared" si="7"/>
        <v>Filtered out</v>
      </c>
    </row>
    <row r="480" spans="1:11" x14ac:dyDescent="0.2">
      <c r="A480" t="s">
        <v>13812</v>
      </c>
      <c r="B480" t="s">
        <v>13283</v>
      </c>
      <c r="C480" t="s">
        <v>13688</v>
      </c>
      <c r="D480">
        <v>1681</v>
      </c>
      <c r="E480">
        <v>2170</v>
      </c>
      <c r="F480">
        <v>-22</v>
      </c>
      <c r="G480" s="13">
        <v>0.90500000000000003</v>
      </c>
      <c r="H480" t="s">
        <v>25</v>
      </c>
      <c r="I480">
        <v>2</v>
      </c>
      <c r="J480">
        <v>43</v>
      </c>
      <c r="K480" t="str">
        <f t="shared" si="7"/>
        <v>Filtered out</v>
      </c>
    </row>
    <row r="481" spans="1:11" x14ac:dyDescent="0.2">
      <c r="A481" t="s">
        <v>13813</v>
      </c>
      <c r="B481" t="s">
        <v>13283</v>
      </c>
      <c r="C481" t="s">
        <v>13697</v>
      </c>
      <c r="D481">
        <v>1678</v>
      </c>
      <c r="E481">
        <v>2566</v>
      </c>
      <c r="F481">
        <v>-34</v>
      </c>
      <c r="G481" s="13">
        <v>0.88700000000000001</v>
      </c>
      <c r="H481" t="s">
        <v>25</v>
      </c>
      <c r="I481">
        <v>2</v>
      </c>
      <c r="J481">
        <v>43</v>
      </c>
      <c r="K481" t="str">
        <f t="shared" si="7"/>
        <v>Filtered out</v>
      </c>
    </row>
    <row r="482" spans="1:11" x14ac:dyDescent="0.2">
      <c r="A482" t="s">
        <v>13814</v>
      </c>
      <c r="B482" t="s">
        <v>13390</v>
      </c>
      <c r="C482" t="s">
        <v>13401</v>
      </c>
      <c r="D482">
        <v>100</v>
      </c>
      <c r="E482">
        <v>112</v>
      </c>
      <c r="F482">
        <v>-10</v>
      </c>
      <c r="G482" s="13">
        <v>0.97</v>
      </c>
      <c r="H482" t="s">
        <v>70</v>
      </c>
      <c r="I482">
        <v>0</v>
      </c>
      <c r="J482" t="s">
        <v>190</v>
      </c>
      <c r="K482" t="str">
        <f t="shared" si="7"/>
        <v>Filtered out</v>
      </c>
    </row>
    <row r="483" spans="1:11" x14ac:dyDescent="0.2">
      <c r="A483" t="s">
        <v>13815</v>
      </c>
      <c r="B483" t="s">
        <v>13452</v>
      </c>
      <c r="C483" t="s">
        <v>13452</v>
      </c>
      <c r="D483">
        <v>748</v>
      </c>
      <c r="E483">
        <v>748</v>
      </c>
      <c r="F483">
        <v>0</v>
      </c>
      <c r="G483" s="13">
        <v>0.75700000000000001</v>
      </c>
      <c r="H483" t="s">
        <v>25</v>
      </c>
      <c r="I483">
        <v>1</v>
      </c>
      <c r="J483">
        <v>189</v>
      </c>
      <c r="K483" t="str">
        <f t="shared" si="7"/>
        <v>Filtered out</v>
      </c>
    </row>
    <row r="484" spans="1:11" x14ac:dyDescent="0.2">
      <c r="A484" t="s">
        <v>13816</v>
      </c>
      <c r="B484" t="s">
        <v>13412</v>
      </c>
      <c r="C484" t="s">
        <v>13412</v>
      </c>
      <c r="D484">
        <v>1489</v>
      </c>
      <c r="E484">
        <v>1489</v>
      </c>
      <c r="F484">
        <v>0</v>
      </c>
      <c r="G484" s="13">
        <v>0.90800000000000003</v>
      </c>
      <c r="H484" t="s">
        <v>25</v>
      </c>
      <c r="I484">
        <v>1</v>
      </c>
      <c r="J484">
        <v>61</v>
      </c>
      <c r="K484" t="str">
        <f t="shared" si="7"/>
        <v>Retained</v>
      </c>
    </row>
    <row r="485" spans="1:11" x14ac:dyDescent="0.2">
      <c r="A485" t="s">
        <v>13817</v>
      </c>
      <c r="B485" t="s">
        <v>13547</v>
      </c>
      <c r="C485" t="s">
        <v>13547</v>
      </c>
      <c r="D485">
        <v>1477</v>
      </c>
      <c r="E485">
        <v>1477</v>
      </c>
      <c r="F485">
        <v>0</v>
      </c>
      <c r="G485" s="13">
        <v>0.996</v>
      </c>
      <c r="H485" t="s">
        <v>25</v>
      </c>
      <c r="I485">
        <v>2</v>
      </c>
      <c r="J485">
        <v>5</v>
      </c>
      <c r="K485" t="str">
        <f t="shared" si="7"/>
        <v>Retained</v>
      </c>
    </row>
    <row r="486" spans="1:11" x14ac:dyDescent="0.2">
      <c r="A486" t="s">
        <v>13818</v>
      </c>
      <c r="B486" t="s">
        <v>13349</v>
      </c>
      <c r="C486" t="s">
        <v>13254</v>
      </c>
      <c r="D486">
        <v>1306</v>
      </c>
      <c r="E486">
        <v>1920</v>
      </c>
      <c r="F486">
        <v>-31</v>
      </c>
      <c r="G486" s="13">
        <v>0.32700000000000001</v>
      </c>
      <c r="H486" t="s">
        <v>25</v>
      </c>
      <c r="I486">
        <v>1</v>
      </c>
      <c r="J486">
        <v>159</v>
      </c>
      <c r="K486" t="str">
        <f t="shared" si="7"/>
        <v>Filtered out</v>
      </c>
    </row>
    <row r="487" spans="1:11" x14ac:dyDescent="0.2">
      <c r="A487" t="s">
        <v>13819</v>
      </c>
      <c r="B487" t="s">
        <v>13246</v>
      </c>
      <c r="C487" t="s">
        <v>13246</v>
      </c>
      <c r="D487">
        <v>1207</v>
      </c>
      <c r="E487">
        <v>1207</v>
      </c>
      <c r="F487">
        <v>0</v>
      </c>
      <c r="G487" s="13">
        <v>0.95799999999999996</v>
      </c>
      <c r="H487" t="s">
        <v>25</v>
      </c>
      <c r="I487">
        <v>2</v>
      </c>
      <c r="J487">
        <v>163</v>
      </c>
      <c r="K487" t="str">
        <f t="shared" si="7"/>
        <v>Retained</v>
      </c>
    </row>
    <row r="488" spans="1:11" x14ac:dyDescent="0.2">
      <c r="A488" t="s">
        <v>13820</v>
      </c>
      <c r="B488" t="s">
        <v>13246</v>
      </c>
      <c r="C488" t="s">
        <v>13246</v>
      </c>
      <c r="D488">
        <v>1354</v>
      </c>
      <c r="E488">
        <v>1357</v>
      </c>
      <c r="F488">
        <v>0</v>
      </c>
      <c r="G488" s="13">
        <v>0.96699999999999997</v>
      </c>
      <c r="H488" t="s">
        <v>25</v>
      </c>
      <c r="I488">
        <v>1</v>
      </c>
      <c r="J488">
        <v>179</v>
      </c>
      <c r="K488" t="str">
        <f t="shared" si="7"/>
        <v>Retained</v>
      </c>
    </row>
    <row r="489" spans="1:11" x14ac:dyDescent="0.2">
      <c r="A489" t="s">
        <v>13821</v>
      </c>
      <c r="B489" t="s">
        <v>13360</v>
      </c>
      <c r="C489" t="s">
        <v>13246</v>
      </c>
      <c r="D489">
        <v>286</v>
      </c>
      <c r="E489">
        <v>382</v>
      </c>
      <c r="F489">
        <v>-25</v>
      </c>
      <c r="G489" s="13">
        <v>0.308</v>
      </c>
      <c r="H489" t="s">
        <v>70</v>
      </c>
      <c r="I489">
        <v>0</v>
      </c>
      <c r="J489" t="s">
        <v>190</v>
      </c>
      <c r="K489" t="str">
        <f t="shared" si="7"/>
        <v>Filtered out</v>
      </c>
    </row>
    <row r="490" spans="1:11" x14ac:dyDescent="0.2">
      <c r="A490" t="s">
        <v>13822</v>
      </c>
      <c r="B490" t="s">
        <v>13278</v>
      </c>
      <c r="C490" t="s">
        <v>13368</v>
      </c>
      <c r="D490">
        <v>313</v>
      </c>
      <c r="E490">
        <v>1111</v>
      </c>
      <c r="F490">
        <v>-71</v>
      </c>
      <c r="G490" s="13">
        <v>0.97099999999999997</v>
      </c>
      <c r="H490" t="s">
        <v>70</v>
      </c>
      <c r="I490">
        <v>0</v>
      </c>
      <c r="J490" t="s">
        <v>190</v>
      </c>
      <c r="K490" t="str">
        <f t="shared" si="7"/>
        <v>Filtered out</v>
      </c>
    </row>
    <row r="491" spans="1:11" x14ac:dyDescent="0.2">
      <c r="A491" t="s">
        <v>13823</v>
      </c>
      <c r="B491" t="s">
        <v>13246</v>
      </c>
      <c r="C491" t="s">
        <v>13246</v>
      </c>
      <c r="D491">
        <v>1288</v>
      </c>
      <c r="E491">
        <v>1282</v>
      </c>
      <c r="F491">
        <v>0</v>
      </c>
      <c r="G491" s="13">
        <v>0.93500000000000005</v>
      </c>
      <c r="H491" t="s">
        <v>25</v>
      </c>
      <c r="I491">
        <v>1</v>
      </c>
      <c r="J491">
        <v>331</v>
      </c>
      <c r="K491" t="str">
        <f t="shared" si="7"/>
        <v>Retained</v>
      </c>
    </row>
    <row r="492" spans="1:11" x14ac:dyDescent="0.2">
      <c r="A492" t="s">
        <v>13824</v>
      </c>
      <c r="B492" t="s">
        <v>13254</v>
      </c>
      <c r="C492" t="s">
        <v>13248</v>
      </c>
      <c r="D492">
        <v>229</v>
      </c>
      <c r="E492">
        <v>556</v>
      </c>
      <c r="F492">
        <v>-58</v>
      </c>
      <c r="G492" s="13">
        <v>0.96099999999999997</v>
      </c>
      <c r="H492" t="s">
        <v>70</v>
      </c>
      <c r="I492">
        <v>0</v>
      </c>
      <c r="J492" t="s">
        <v>190</v>
      </c>
      <c r="K492" t="str">
        <f t="shared" si="7"/>
        <v>Filtered out</v>
      </c>
    </row>
    <row r="493" spans="1:11" x14ac:dyDescent="0.2">
      <c r="A493" t="s">
        <v>13825</v>
      </c>
      <c r="B493" t="s">
        <v>13826</v>
      </c>
      <c r="C493" t="s">
        <v>13511</v>
      </c>
      <c r="D493">
        <v>814</v>
      </c>
      <c r="E493">
        <v>865</v>
      </c>
      <c r="F493">
        <v>-5</v>
      </c>
      <c r="G493" s="13">
        <v>0.96699999999999997</v>
      </c>
      <c r="H493" t="s">
        <v>25</v>
      </c>
      <c r="I493">
        <v>1</v>
      </c>
      <c r="J493">
        <v>56</v>
      </c>
      <c r="K493" t="str">
        <f t="shared" si="7"/>
        <v>Filtered out</v>
      </c>
    </row>
    <row r="494" spans="1:11" x14ac:dyDescent="0.2">
      <c r="A494" t="s">
        <v>13827</v>
      </c>
      <c r="B494" t="s">
        <v>13246</v>
      </c>
      <c r="C494" t="s">
        <v>13246</v>
      </c>
      <c r="D494">
        <v>5155</v>
      </c>
      <c r="E494">
        <v>8176</v>
      </c>
      <c r="F494">
        <v>-36</v>
      </c>
      <c r="G494" s="13">
        <v>0.98399999999999999</v>
      </c>
      <c r="H494" t="s">
        <v>25</v>
      </c>
      <c r="I494">
        <v>1</v>
      </c>
      <c r="J494">
        <v>581</v>
      </c>
      <c r="K494" t="str">
        <f t="shared" si="7"/>
        <v>Filtered out</v>
      </c>
    </row>
    <row r="495" spans="1:11" x14ac:dyDescent="0.2">
      <c r="A495" t="s">
        <v>13828</v>
      </c>
      <c r="B495" t="s">
        <v>13248</v>
      </c>
      <c r="C495" t="s">
        <v>13246</v>
      </c>
      <c r="D495">
        <v>1942</v>
      </c>
      <c r="E495">
        <v>1957</v>
      </c>
      <c r="F495">
        <v>0</v>
      </c>
      <c r="G495" s="13">
        <v>0.94699999999999995</v>
      </c>
      <c r="H495" t="s">
        <v>25</v>
      </c>
      <c r="I495">
        <v>2</v>
      </c>
      <c r="J495">
        <v>344</v>
      </c>
      <c r="K495" t="str">
        <f t="shared" si="7"/>
        <v>Filtered out</v>
      </c>
    </row>
    <row r="496" spans="1:11" x14ac:dyDescent="0.2">
      <c r="A496" t="s">
        <v>13829</v>
      </c>
      <c r="B496" t="s">
        <v>13450</v>
      </c>
      <c r="C496" t="s">
        <v>13246</v>
      </c>
      <c r="D496">
        <v>499</v>
      </c>
      <c r="E496">
        <v>5617</v>
      </c>
      <c r="F496">
        <v>-91</v>
      </c>
      <c r="G496" s="13">
        <v>0.99399999999999999</v>
      </c>
      <c r="H496" t="s">
        <v>70</v>
      </c>
      <c r="I496">
        <v>0</v>
      </c>
      <c r="J496" t="s">
        <v>190</v>
      </c>
      <c r="K496" t="str">
        <f t="shared" si="7"/>
        <v>Filtered out</v>
      </c>
    </row>
    <row r="497" spans="1:11" x14ac:dyDescent="0.2">
      <c r="A497" t="s">
        <v>13830</v>
      </c>
      <c r="B497" t="s">
        <v>13831</v>
      </c>
      <c r="C497" t="s">
        <v>13397</v>
      </c>
      <c r="D497">
        <v>3145</v>
      </c>
      <c r="E497">
        <v>5611</v>
      </c>
      <c r="F497">
        <v>-43</v>
      </c>
      <c r="G497" s="13">
        <v>0.93600000000000005</v>
      </c>
      <c r="H497" t="s">
        <v>25</v>
      </c>
      <c r="I497">
        <v>1</v>
      </c>
      <c r="J497">
        <v>292</v>
      </c>
      <c r="K497" t="str">
        <f t="shared" si="7"/>
        <v>Filtered out</v>
      </c>
    </row>
    <row r="498" spans="1:11" x14ac:dyDescent="0.2">
      <c r="A498" t="s">
        <v>13832</v>
      </c>
      <c r="B498" t="s">
        <v>13806</v>
      </c>
      <c r="C498" t="s">
        <v>13246</v>
      </c>
      <c r="D498">
        <v>1750</v>
      </c>
      <c r="E498">
        <v>2470</v>
      </c>
      <c r="F498">
        <v>-29</v>
      </c>
      <c r="G498" s="13">
        <v>0.93300000000000005</v>
      </c>
      <c r="H498" t="s">
        <v>25</v>
      </c>
      <c r="I498">
        <v>1</v>
      </c>
      <c r="J498">
        <v>491</v>
      </c>
      <c r="K498" t="str">
        <f t="shared" si="7"/>
        <v>Filtered out</v>
      </c>
    </row>
    <row r="499" spans="1:11" x14ac:dyDescent="0.2">
      <c r="A499" t="s">
        <v>13833</v>
      </c>
      <c r="B499" t="s">
        <v>13246</v>
      </c>
      <c r="C499" t="s">
        <v>13246</v>
      </c>
      <c r="D499">
        <v>4942</v>
      </c>
      <c r="E499">
        <v>4942</v>
      </c>
      <c r="F499">
        <v>0</v>
      </c>
      <c r="G499" s="13">
        <v>0.98099999999999998</v>
      </c>
      <c r="H499" t="s">
        <v>25</v>
      </c>
      <c r="I499">
        <v>1</v>
      </c>
      <c r="J499">
        <v>994</v>
      </c>
      <c r="K499" t="str">
        <f t="shared" si="7"/>
        <v>Retained</v>
      </c>
    </row>
    <row r="500" spans="1:11" x14ac:dyDescent="0.2">
      <c r="A500" t="s">
        <v>13834</v>
      </c>
      <c r="B500" t="s">
        <v>13346</v>
      </c>
      <c r="C500" t="s">
        <v>13831</v>
      </c>
      <c r="D500">
        <v>2044</v>
      </c>
      <c r="E500">
        <v>2392</v>
      </c>
      <c r="F500">
        <v>-14</v>
      </c>
      <c r="G500" s="13">
        <v>0.90300000000000002</v>
      </c>
      <c r="H500" t="s">
        <v>25</v>
      </c>
      <c r="I500">
        <v>2</v>
      </c>
      <c r="J500">
        <v>38</v>
      </c>
      <c r="K500" t="str">
        <f t="shared" si="7"/>
        <v>Filtered out</v>
      </c>
    </row>
    <row r="501" spans="1:11" x14ac:dyDescent="0.2">
      <c r="A501" t="s">
        <v>13835</v>
      </c>
      <c r="B501" t="s">
        <v>13283</v>
      </c>
      <c r="C501" t="s">
        <v>13418</v>
      </c>
      <c r="D501">
        <v>2713</v>
      </c>
      <c r="E501">
        <v>2737</v>
      </c>
      <c r="F501">
        <v>0</v>
      </c>
      <c r="G501" s="13">
        <v>0.97099999999999997</v>
      </c>
      <c r="H501" t="s">
        <v>25</v>
      </c>
      <c r="I501">
        <v>1</v>
      </c>
      <c r="J501">
        <v>139</v>
      </c>
      <c r="K501" t="str">
        <f t="shared" si="7"/>
        <v>Filtered out</v>
      </c>
    </row>
    <row r="502" spans="1:11" x14ac:dyDescent="0.2">
      <c r="A502" t="s">
        <v>13836</v>
      </c>
      <c r="B502" t="s">
        <v>13246</v>
      </c>
      <c r="C502" t="s">
        <v>13246</v>
      </c>
      <c r="D502">
        <v>3973</v>
      </c>
      <c r="E502">
        <v>8080</v>
      </c>
      <c r="F502">
        <v>-50</v>
      </c>
      <c r="G502" s="13">
        <v>0.995</v>
      </c>
      <c r="H502" t="s">
        <v>25</v>
      </c>
      <c r="I502">
        <v>1</v>
      </c>
      <c r="J502">
        <v>1321</v>
      </c>
      <c r="K502" t="str">
        <f t="shared" si="7"/>
        <v>Filtered out</v>
      </c>
    </row>
    <row r="503" spans="1:11" x14ac:dyDescent="0.2">
      <c r="A503" t="s">
        <v>13837</v>
      </c>
      <c r="B503" t="s">
        <v>13312</v>
      </c>
      <c r="C503" t="s">
        <v>13263</v>
      </c>
      <c r="D503">
        <v>2716</v>
      </c>
      <c r="E503">
        <v>8194</v>
      </c>
      <c r="F503">
        <v>-66</v>
      </c>
      <c r="G503" s="13">
        <v>0.82</v>
      </c>
      <c r="H503" t="s">
        <v>25</v>
      </c>
      <c r="I503">
        <v>2</v>
      </c>
      <c r="J503">
        <v>253</v>
      </c>
      <c r="K503" t="str">
        <f t="shared" si="7"/>
        <v>Filtered out</v>
      </c>
    </row>
    <row r="504" spans="1:11" x14ac:dyDescent="0.2">
      <c r="A504" t="s">
        <v>13838</v>
      </c>
      <c r="B504" t="s">
        <v>13542</v>
      </c>
      <c r="C504" t="s">
        <v>13542</v>
      </c>
      <c r="D504">
        <v>3718</v>
      </c>
      <c r="E504">
        <v>3718</v>
      </c>
      <c r="F504">
        <v>0</v>
      </c>
      <c r="G504" s="13">
        <v>0.97299999999999998</v>
      </c>
      <c r="H504" t="s">
        <v>25</v>
      </c>
      <c r="I504">
        <v>1</v>
      </c>
      <c r="J504">
        <v>1167</v>
      </c>
      <c r="K504" t="str">
        <f t="shared" si="7"/>
        <v>Retained</v>
      </c>
    </row>
    <row r="505" spans="1:11" x14ac:dyDescent="0.2">
      <c r="A505" t="s">
        <v>13839</v>
      </c>
      <c r="B505" t="s">
        <v>13450</v>
      </c>
      <c r="C505" t="s">
        <v>13450</v>
      </c>
      <c r="D505">
        <v>610</v>
      </c>
      <c r="E505">
        <v>610</v>
      </c>
      <c r="F505">
        <v>0</v>
      </c>
      <c r="G505" s="13">
        <v>0.89200000000000002</v>
      </c>
      <c r="H505" t="s">
        <v>25</v>
      </c>
      <c r="I505">
        <v>1</v>
      </c>
      <c r="J505">
        <v>131</v>
      </c>
      <c r="K505" t="str">
        <f t="shared" si="7"/>
        <v>Filtered out</v>
      </c>
    </row>
    <row r="506" spans="1:11" x14ac:dyDescent="0.2">
      <c r="A506" t="s">
        <v>13840</v>
      </c>
      <c r="B506" t="s">
        <v>13283</v>
      </c>
      <c r="C506" t="s">
        <v>13246</v>
      </c>
      <c r="D506">
        <v>1015</v>
      </c>
      <c r="E506">
        <v>1654</v>
      </c>
      <c r="F506">
        <v>-38</v>
      </c>
      <c r="G506" s="13">
        <v>0.82399999999999995</v>
      </c>
      <c r="H506" t="s">
        <v>25</v>
      </c>
      <c r="I506">
        <v>1</v>
      </c>
      <c r="J506">
        <v>235</v>
      </c>
      <c r="K506" t="str">
        <f t="shared" si="7"/>
        <v>Filtered out</v>
      </c>
    </row>
    <row r="507" spans="1:11" x14ac:dyDescent="0.2">
      <c r="A507" t="s">
        <v>13841</v>
      </c>
      <c r="B507" t="s">
        <v>13283</v>
      </c>
      <c r="C507" t="s">
        <v>13246</v>
      </c>
      <c r="D507">
        <v>1015</v>
      </c>
      <c r="E507">
        <v>1654</v>
      </c>
      <c r="F507">
        <v>-38</v>
      </c>
      <c r="G507" s="13">
        <v>0.82399999999999995</v>
      </c>
      <c r="H507" t="s">
        <v>25</v>
      </c>
      <c r="I507">
        <v>1</v>
      </c>
      <c r="J507">
        <v>235</v>
      </c>
      <c r="K507" t="str">
        <f t="shared" si="7"/>
        <v>Filtered out</v>
      </c>
    </row>
    <row r="508" spans="1:11" x14ac:dyDescent="0.2">
      <c r="A508" t="s">
        <v>13842</v>
      </c>
      <c r="B508" t="s">
        <v>13843</v>
      </c>
      <c r="C508" t="s">
        <v>13831</v>
      </c>
      <c r="D508">
        <v>316</v>
      </c>
      <c r="E508">
        <v>679</v>
      </c>
      <c r="F508">
        <v>-53</v>
      </c>
      <c r="G508" s="13">
        <v>0.93300000000000005</v>
      </c>
      <c r="H508" t="s">
        <v>25</v>
      </c>
      <c r="I508">
        <v>1</v>
      </c>
      <c r="J508">
        <v>67</v>
      </c>
      <c r="K508" t="str">
        <f t="shared" si="7"/>
        <v>Filtered out</v>
      </c>
    </row>
    <row r="509" spans="1:11" x14ac:dyDescent="0.2">
      <c r="A509" t="s">
        <v>60</v>
      </c>
      <c r="B509" t="s">
        <v>13843</v>
      </c>
      <c r="C509" t="s">
        <v>13831</v>
      </c>
      <c r="D509">
        <v>316</v>
      </c>
      <c r="E509">
        <v>679</v>
      </c>
      <c r="F509">
        <v>-53</v>
      </c>
      <c r="G509" s="13">
        <v>0.93300000000000005</v>
      </c>
      <c r="H509" t="s">
        <v>25</v>
      </c>
      <c r="I509">
        <v>1</v>
      </c>
      <c r="J509">
        <v>67</v>
      </c>
      <c r="K509" t="str">
        <f t="shared" si="7"/>
        <v>Filtered out</v>
      </c>
    </row>
    <row r="510" spans="1:11" x14ac:dyDescent="0.2">
      <c r="A510" t="s">
        <v>13844</v>
      </c>
      <c r="B510" t="s">
        <v>13831</v>
      </c>
      <c r="C510" t="s">
        <v>13265</v>
      </c>
      <c r="D510">
        <v>2233</v>
      </c>
      <c r="E510">
        <v>2329</v>
      </c>
      <c r="F510">
        <v>-4</v>
      </c>
      <c r="G510" s="13">
        <v>0.98499999999999999</v>
      </c>
      <c r="H510" t="s">
        <v>25</v>
      </c>
      <c r="I510">
        <v>2</v>
      </c>
      <c r="J510">
        <v>497</v>
      </c>
      <c r="K510" t="str">
        <f t="shared" si="7"/>
        <v>Filtered out</v>
      </c>
    </row>
    <row r="511" spans="1:11" x14ac:dyDescent="0.2">
      <c r="A511" t="s">
        <v>13845</v>
      </c>
      <c r="B511" t="s">
        <v>13246</v>
      </c>
      <c r="C511" t="s">
        <v>13246</v>
      </c>
      <c r="D511">
        <v>988</v>
      </c>
      <c r="E511">
        <v>1138</v>
      </c>
      <c r="F511">
        <v>-13</v>
      </c>
      <c r="G511" s="13">
        <v>0.93899999999999995</v>
      </c>
      <c r="H511" t="s">
        <v>25</v>
      </c>
      <c r="I511">
        <v>1</v>
      </c>
      <c r="J511">
        <v>116</v>
      </c>
      <c r="K511" t="str">
        <f t="shared" si="7"/>
        <v>Filtered out</v>
      </c>
    </row>
    <row r="512" spans="1:11" x14ac:dyDescent="0.2">
      <c r="A512" t="s">
        <v>13846</v>
      </c>
      <c r="B512" t="s">
        <v>13375</v>
      </c>
      <c r="C512" t="s">
        <v>13375</v>
      </c>
      <c r="D512">
        <v>1576</v>
      </c>
      <c r="E512">
        <v>1573</v>
      </c>
      <c r="F512">
        <v>0</v>
      </c>
      <c r="G512" s="13">
        <v>0.95499999999999996</v>
      </c>
      <c r="H512" t="s">
        <v>25</v>
      </c>
      <c r="I512">
        <v>2</v>
      </c>
      <c r="J512">
        <v>477</v>
      </c>
      <c r="K512" t="str">
        <f t="shared" si="7"/>
        <v>Retained</v>
      </c>
    </row>
    <row r="513" spans="1:11" x14ac:dyDescent="0.2">
      <c r="A513" t="s">
        <v>13847</v>
      </c>
      <c r="B513" t="s">
        <v>13265</v>
      </c>
      <c r="C513" t="s">
        <v>13246</v>
      </c>
      <c r="D513">
        <v>883</v>
      </c>
      <c r="E513">
        <v>1264</v>
      </c>
      <c r="F513">
        <v>-30</v>
      </c>
      <c r="G513" s="13">
        <v>0.98</v>
      </c>
      <c r="H513" t="s">
        <v>25</v>
      </c>
      <c r="I513">
        <v>1</v>
      </c>
      <c r="J513">
        <v>187</v>
      </c>
      <c r="K513" t="str">
        <f t="shared" si="7"/>
        <v>Filtered out</v>
      </c>
    </row>
    <row r="514" spans="1:11" x14ac:dyDescent="0.2">
      <c r="A514" t="s">
        <v>13848</v>
      </c>
      <c r="B514" t="s">
        <v>13246</v>
      </c>
      <c r="C514" t="s">
        <v>13246</v>
      </c>
      <c r="D514">
        <v>3562</v>
      </c>
      <c r="E514">
        <v>3553</v>
      </c>
      <c r="F514">
        <v>0</v>
      </c>
      <c r="G514" s="13">
        <v>0.92600000000000005</v>
      </c>
      <c r="H514" t="s">
        <v>25</v>
      </c>
      <c r="I514">
        <v>1</v>
      </c>
      <c r="J514">
        <v>116</v>
      </c>
      <c r="K514" t="str">
        <f t="shared" si="7"/>
        <v>Retained</v>
      </c>
    </row>
    <row r="515" spans="1:11" x14ac:dyDescent="0.2">
      <c r="A515" t="s">
        <v>66</v>
      </c>
      <c r="B515" t="s">
        <v>13246</v>
      </c>
      <c r="C515" t="s">
        <v>13246</v>
      </c>
      <c r="D515">
        <v>2581</v>
      </c>
      <c r="E515">
        <v>2524</v>
      </c>
      <c r="F515">
        <v>2</v>
      </c>
      <c r="G515" s="13">
        <v>0.99299999999999999</v>
      </c>
      <c r="H515" t="s">
        <v>25</v>
      </c>
      <c r="I515">
        <v>1</v>
      </c>
      <c r="J515">
        <v>337</v>
      </c>
      <c r="K515" t="str">
        <f t="shared" si="7"/>
        <v>Retained</v>
      </c>
    </row>
    <row r="516" spans="1:11" x14ac:dyDescent="0.2">
      <c r="A516" t="s">
        <v>13850</v>
      </c>
      <c r="B516" t="s">
        <v>13452</v>
      </c>
      <c r="C516" t="s">
        <v>13452</v>
      </c>
      <c r="D516">
        <v>1408</v>
      </c>
      <c r="E516">
        <v>2575</v>
      </c>
      <c r="F516">
        <v>-45</v>
      </c>
      <c r="G516" s="13">
        <v>0.94199999999999995</v>
      </c>
      <c r="H516" t="s">
        <v>25</v>
      </c>
      <c r="I516">
        <v>1</v>
      </c>
      <c r="J516">
        <v>329</v>
      </c>
      <c r="K516" t="str">
        <f t="shared" si="7"/>
        <v>Filtered out</v>
      </c>
    </row>
    <row r="517" spans="1:11" x14ac:dyDescent="0.2">
      <c r="A517" t="s">
        <v>13851</v>
      </c>
      <c r="B517" t="s">
        <v>13312</v>
      </c>
      <c r="C517" t="s">
        <v>13245</v>
      </c>
      <c r="D517">
        <v>1777</v>
      </c>
      <c r="E517">
        <v>1888</v>
      </c>
      <c r="F517">
        <v>-5</v>
      </c>
      <c r="G517" s="13">
        <v>0.99099999999999999</v>
      </c>
      <c r="H517" t="s">
        <v>25</v>
      </c>
      <c r="I517">
        <v>1</v>
      </c>
      <c r="J517">
        <v>101</v>
      </c>
      <c r="K517" t="str">
        <f t="shared" si="7"/>
        <v>Filtered out</v>
      </c>
    </row>
    <row r="518" spans="1:11" x14ac:dyDescent="0.2">
      <c r="A518" t="s">
        <v>13851</v>
      </c>
      <c r="B518" t="s">
        <v>13312</v>
      </c>
      <c r="C518" t="s">
        <v>13245</v>
      </c>
      <c r="D518">
        <v>1777</v>
      </c>
      <c r="E518">
        <v>1888</v>
      </c>
      <c r="F518">
        <v>-5</v>
      </c>
      <c r="G518" s="13">
        <v>0.99099999999999999</v>
      </c>
      <c r="H518" t="s">
        <v>25</v>
      </c>
      <c r="I518">
        <v>1</v>
      </c>
      <c r="J518">
        <v>101</v>
      </c>
      <c r="K518" t="str">
        <f t="shared" si="7"/>
        <v>Filtered out</v>
      </c>
    </row>
    <row r="519" spans="1:11" x14ac:dyDescent="0.2">
      <c r="A519" t="s">
        <v>13852</v>
      </c>
      <c r="B519" t="s">
        <v>13533</v>
      </c>
      <c r="C519" t="s">
        <v>13560</v>
      </c>
      <c r="D519">
        <v>3067</v>
      </c>
      <c r="E519">
        <v>4474</v>
      </c>
      <c r="F519">
        <v>-31</v>
      </c>
      <c r="G519" s="13">
        <v>0.96799999999999997</v>
      </c>
      <c r="H519" t="s">
        <v>25</v>
      </c>
      <c r="I519">
        <v>1</v>
      </c>
      <c r="J519">
        <v>23</v>
      </c>
      <c r="K519" t="str">
        <f t="shared" si="7"/>
        <v>Filtered out</v>
      </c>
    </row>
    <row r="520" spans="1:11" x14ac:dyDescent="0.2">
      <c r="A520" t="s">
        <v>13853</v>
      </c>
      <c r="B520" t="s">
        <v>13390</v>
      </c>
      <c r="C520" t="s">
        <v>13390</v>
      </c>
      <c r="D520">
        <v>2443</v>
      </c>
      <c r="E520">
        <v>2473</v>
      </c>
      <c r="F520">
        <v>-1</v>
      </c>
      <c r="G520" s="13">
        <v>0.98499999999999999</v>
      </c>
      <c r="H520" t="s">
        <v>25</v>
      </c>
      <c r="I520">
        <v>1</v>
      </c>
      <c r="J520">
        <v>65</v>
      </c>
      <c r="K520" t="str">
        <f t="shared" ref="K520:K583" si="8">IF(AND(B520=C520,F520&lt;10,F520&gt;-10,I520&gt;0,G520&gt;90%,G520&lt;100%),"Retained","Filtered out")</f>
        <v>Retained</v>
      </c>
    </row>
    <row r="521" spans="1:11" x14ac:dyDescent="0.2">
      <c r="A521" t="s">
        <v>13854</v>
      </c>
      <c r="B521" t="s">
        <v>13308</v>
      </c>
      <c r="C521" t="s">
        <v>13295</v>
      </c>
      <c r="D521">
        <v>5395</v>
      </c>
      <c r="E521">
        <v>5848</v>
      </c>
      <c r="F521">
        <v>-7</v>
      </c>
      <c r="G521" s="13">
        <v>0.35499999999999998</v>
      </c>
      <c r="H521" t="s">
        <v>25</v>
      </c>
      <c r="I521">
        <v>40</v>
      </c>
      <c r="J521">
        <v>107</v>
      </c>
      <c r="K521" t="str">
        <f t="shared" si="8"/>
        <v>Filtered out</v>
      </c>
    </row>
    <row r="522" spans="1:11" x14ac:dyDescent="0.2">
      <c r="A522" t="s">
        <v>13855</v>
      </c>
      <c r="B522" t="s">
        <v>13543</v>
      </c>
      <c r="C522" t="s">
        <v>13246</v>
      </c>
      <c r="D522">
        <v>1258</v>
      </c>
      <c r="E522">
        <v>3829</v>
      </c>
      <c r="F522">
        <v>-67</v>
      </c>
      <c r="G522" s="13">
        <v>0.94</v>
      </c>
      <c r="H522" t="s">
        <v>25</v>
      </c>
      <c r="I522">
        <v>1</v>
      </c>
      <c r="J522">
        <v>28</v>
      </c>
      <c r="K522" t="str">
        <f t="shared" si="8"/>
        <v>Filtered out</v>
      </c>
    </row>
    <row r="523" spans="1:11" x14ac:dyDescent="0.2">
      <c r="A523" t="s">
        <v>13856</v>
      </c>
      <c r="B523" t="s">
        <v>13703</v>
      </c>
      <c r="C523" t="s">
        <v>13703</v>
      </c>
      <c r="D523">
        <v>3121</v>
      </c>
      <c r="E523">
        <v>3412</v>
      </c>
      <c r="F523">
        <v>-8</v>
      </c>
      <c r="G523" s="13">
        <v>0.47399999999999998</v>
      </c>
      <c r="H523" t="s">
        <v>25</v>
      </c>
      <c r="I523">
        <v>25</v>
      </c>
      <c r="J523">
        <v>356</v>
      </c>
      <c r="K523" t="str">
        <f t="shared" si="8"/>
        <v>Filtered out</v>
      </c>
    </row>
    <row r="524" spans="1:11" x14ac:dyDescent="0.2">
      <c r="A524" t="s">
        <v>13857</v>
      </c>
      <c r="B524" t="s">
        <v>13246</v>
      </c>
      <c r="C524" t="s">
        <v>13246</v>
      </c>
      <c r="D524">
        <v>295</v>
      </c>
      <c r="E524">
        <v>205</v>
      </c>
      <c r="F524">
        <v>43</v>
      </c>
      <c r="G524" s="13">
        <v>0.98399999999999999</v>
      </c>
      <c r="H524" t="s">
        <v>25</v>
      </c>
      <c r="I524">
        <v>1</v>
      </c>
      <c r="J524">
        <v>64</v>
      </c>
      <c r="K524" t="str">
        <f t="shared" si="8"/>
        <v>Filtered out</v>
      </c>
    </row>
    <row r="525" spans="1:11" x14ac:dyDescent="0.2">
      <c r="A525" t="s">
        <v>13858</v>
      </c>
      <c r="B525" t="s">
        <v>13248</v>
      </c>
      <c r="C525" t="s">
        <v>13418</v>
      </c>
      <c r="D525">
        <v>2983</v>
      </c>
      <c r="E525">
        <v>3115</v>
      </c>
      <c r="F525">
        <v>-4</v>
      </c>
      <c r="G525" s="13">
        <v>0.97299999999999998</v>
      </c>
      <c r="H525" t="s">
        <v>25</v>
      </c>
      <c r="I525">
        <v>1</v>
      </c>
      <c r="J525">
        <v>510</v>
      </c>
      <c r="K525" t="str">
        <f t="shared" si="8"/>
        <v>Filtered out</v>
      </c>
    </row>
    <row r="526" spans="1:11" x14ac:dyDescent="0.2">
      <c r="A526" t="s">
        <v>13859</v>
      </c>
      <c r="B526" t="s">
        <v>13618</v>
      </c>
      <c r="C526" t="s">
        <v>13618</v>
      </c>
      <c r="D526">
        <v>2815</v>
      </c>
      <c r="E526">
        <v>3118</v>
      </c>
      <c r="F526">
        <v>-9</v>
      </c>
      <c r="G526" s="13">
        <v>0.98699999999999999</v>
      </c>
      <c r="H526" t="s">
        <v>25</v>
      </c>
      <c r="I526">
        <v>1</v>
      </c>
      <c r="J526">
        <v>908</v>
      </c>
      <c r="K526" t="str">
        <f t="shared" si="8"/>
        <v>Retained</v>
      </c>
    </row>
    <row r="527" spans="1:11" x14ac:dyDescent="0.2">
      <c r="A527" t="s">
        <v>13860</v>
      </c>
      <c r="B527" t="s">
        <v>13475</v>
      </c>
      <c r="C527" t="s">
        <v>13246</v>
      </c>
      <c r="D527">
        <v>2245</v>
      </c>
      <c r="E527">
        <v>2962</v>
      </c>
      <c r="F527">
        <v>-24</v>
      </c>
      <c r="G527" s="13">
        <v>0.629</v>
      </c>
      <c r="H527" t="s">
        <v>25</v>
      </c>
      <c r="I527">
        <v>11</v>
      </c>
      <c r="J527">
        <v>142</v>
      </c>
      <c r="K527" t="str">
        <f t="shared" si="8"/>
        <v>Filtered out</v>
      </c>
    </row>
    <row r="528" spans="1:11" x14ac:dyDescent="0.2">
      <c r="A528" t="s">
        <v>13861</v>
      </c>
      <c r="B528" t="s">
        <v>13688</v>
      </c>
      <c r="C528" t="s">
        <v>13688</v>
      </c>
      <c r="D528">
        <v>2851</v>
      </c>
      <c r="E528">
        <v>2851</v>
      </c>
      <c r="F528">
        <v>0</v>
      </c>
      <c r="G528" s="13">
        <v>0.97499999999999998</v>
      </c>
      <c r="H528" t="s">
        <v>25</v>
      </c>
      <c r="I528">
        <v>1</v>
      </c>
      <c r="J528">
        <v>430</v>
      </c>
      <c r="K528" t="str">
        <f t="shared" si="8"/>
        <v>Retained</v>
      </c>
    </row>
    <row r="529" spans="1:11" x14ac:dyDescent="0.2">
      <c r="A529" t="s">
        <v>13862</v>
      </c>
      <c r="B529" t="s">
        <v>13385</v>
      </c>
      <c r="C529" t="s">
        <v>13246</v>
      </c>
      <c r="D529">
        <v>1612</v>
      </c>
      <c r="E529">
        <v>1657</v>
      </c>
      <c r="F529">
        <v>-2</v>
      </c>
      <c r="G529" s="13">
        <v>0.95399999999999996</v>
      </c>
      <c r="H529" t="s">
        <v>25</v>
      </c>
      <c r="I529">
        <v>1</v>
      </c>
      <c r="J529">
        <v>4</v>
      </c>
      <c r="K529" t="str">
        <f t="shared" si="8"/>
        <v>Filtered out</v>
      </c>
    </row>
    <row r="530" spans="1:11" x14ac:dyDescent="0.2">
      <c r="A530" t="s">
        <v>13863</v>
      </c>
      <c r="B530" t="s">
        <v>13864</v>
      </c>
      <c r="C530" t="s">
        <v>13864</v>
      </c>
      <c r="D530">
        <v>1918</v>
      </c>
      <c r="E530">
        <v>1918</v>
      </c>
      <c r="F530">
        <v>0</v>
      </c>
      <c r="G530" s="13">
        <v>0.98599999999999999</v>
      </c>
      <c r="H530" t="s">
        <v>25</v>
      </c>
      <c r="I530">
        <v>1</v>
      </c>
      <c r="J530">
        <v>306</v>
      </c>
      <c r="K530" t="str">
        <f t="shared" si="8"/>
        <v>Retained</v>
      </c>
    </row>
    <row r="531" spans="1:11" x14ac:dyDescent="0.2">
      <c r="A531" t="s">
        <v>13865</v>
      </c>
      <c r="B531" t="s">
        <v>13385</v>
      </c>
      <c r="C531" t="s">
        <v>13385</v>
      </c>
      <c r="D531">
        <v>730</v>
      </c>
      <c r="E531">
        <v>940</v>
      </c>
      <c r="F531">
        <v>-22</v>
      </c>
      <c r="G531" s="13">
        <v>0.97899999999999998</v>
      </c>
      <c r="H531" t="s">
        <v>25</v>
      </c>
      <c r="I531">
        <v>1</v>
      </c>
      <c r="J531">
        <v>84</v>
      </c>
      <c r="K531" t="str">
        <f t="shared" si="8"/>
        <v>Filtered out</v>
      </c>
    </row>
    <row r="532" spans="1:11" x14ac:dyDescent="0.2">
      <c r="A532" t="s">
        <v>13866</v>
      </c>
      <c r="B532" t="s">
        <v>13246</v>
      </c>
      <c r="C532" t="s">
        <v>13246</v>
      </c>
      <c r="D532">
        <v>1312</v>
      </c>
      <c r="E532">
        <v>1318</v>
      </c>
      <c r="F532">
        <v>0</v>
      </c>
      <c r="G532" s="13">
        <v>0.95199999999999996</v>
      </c>
      <c r="H532" t="s">
        <v>25</v>
      </c>
      <c r="I532">
        <v>1</v>
      </c>
      <c r="J532">
        <v>241</v>
      </c>
      <c r="K532" t="str">
        <f t="shared" si="8"/>
        <v>Retained</v>
      </c>
    </row>
    <row r="533" spans="1:11" x14ac:dyDescent="0.2">
      <c r="A533" t="s">
        <v>13867</v>
      </c>
      <c r="B533" t="s">
        <v>13246</v>
      </c>
      <c r="C533" t="s">
        <v>13246</v>
      </c>
      <c r="D533">
        <v>2617</v>
      </c>
      <c r="E533">
        <v>2617</v>
      </c>
      <c r="F533">
        <v>0</v>
      </c>
      <c r="G533" s="13">
        <v>0.98699999999999999</v>
      </c>
      <c r="H533" t="s">
        <v>25</v>
      </c>
      <c r="I533">
        <v>2</v>
      </c>
      <c r="J533">
        <v>69</v>
      </c>
      <c r="K533" t="str">
        <f t="shared" si="8"/>
        <v>Retained</v>
      </c>
    </row>
    <row r="534" spans="1:11" x14ac:dyDescent="0.2">
      <c r="A534" t="s">
        <v>13868</v>
      </c>
      <c r="B534" t="s">
        <v>13263</v>
      </c>
      <c r="C534" t="s">
        <v>13263</v>
      </c>
      <c r="D534">
        <v>370</v>
      </c>
      <c r="E534">
        <v>670</v>
      </c>
      <c r="F534">
        <v>-44</v>
      </c>
      <c r="G534" s="13">
        <v>0.99199999999999999</v>
      </c>
      <c r="H534" t="s">
        <v>70</v>
      </c>
      <c r="I534">
        <v>0</v>
      </c>
      <c r="J534" t="s">
        <v>190</v>
      </c>
      <c r="K534" t="str">
        <f t="shared" si="8"/>
        <v>Filtered out</v>
      </c>
    </row>
    <row r="535" spans="1:11" x14ac:dyDescent="0.2">
      <c r="A535" t="s">
        <v>13869</v>
      </c>
      <c r="B535" t="s">
        <v>13397</v>
      </c>
      <c r="C535" t="s">
        <v>13283</v>
      </c>
      <c r="D535">
        <v>589</v>
      </c>
      <c r="E535">
        <v>577</v>
      </c>
      <c r="F535">
        <v>2</v>
      </c>
      <c r="G535" s="13">
        <v>0.98899999999999999</v>
      </c>
      <c r="H535" t="s">
        <v>25</v>
      </c>
      <c r="I535">
        <v>1</v>
      </c>
      <c r="J535">
        <v>13</v>
      </c>
      <c r="K535" t="str">
        <f t="shared" si="8"/>
        <v>Filtered out</v>
      </c>
    </row>
    <row r="536" spans="1:11" x14ac:dyDescent="0.2">
      <c r="A536" t="s">
        <v>13870</v>
      </c>
      <c r="B536" t="s">
        <v>13543</v>
      </c>
      <c r="C536" t="s">
        <v>13297</v>
      </c>
      <c r="D536">
        <v>313</v>
      </c>
      <c r="E536">
        <v>1192</v>
      </c>
      <c r="F536">
        <v>-73</v>
      </c>
      <c r="G536" s="13">
        <v>1</v>
      </c>
      <c r="H536" t="s">
        <v>70</v>
      </c>
      <c r="I536">
        <v>0</v>
      </c>
      <c r="J536" t="s">
        <v>190</v>
      </c>
      <c r="K536" t="str">
        <f t="shared" si="8"/>
        <v>Filtered out</v>
      </c>
    </row>
    <row r="537" spans="1:11" x14ac:dyDescent="0.2">
      <c r="A537" t="s">
        <v>13871</v>
      </c>
      <c r="B537" t="s">
        <v>13369</v>
      </c>
      <c r="C537" t="s">
        <v>13254</v>
      </c>
      <c r="D537">
        <v>277</v>
      </c>
      <c r="E537">
        <v>1144</v>
      </c>
      <c r="F537">
        <v>-75</v>
      </c>
      <c r="G537" s="13">
        <v>1</v>
      </c>
      <c r="H537" t="s">
        <v>70</v>
      </c>
      <c r="I537">
        <v>0</v>
      </c>
      <c r="J537" t="s">
        <v>190</v>
      </c>
      <c r="K537" t="str">
        <f t="shared" si="8"/>
        <v>Filtered out</v>
      </c>
    </row>
    <row r="538" spans="1:11" x14ac:dyDescent="0.2">
      <c r="A538" t="s">
        <v>13872</v>
      </c>
      <c r="B538" t="s">
        <v>13405</v>
      </c>
      <c r="C538" t="s">
        <v>13462</v>
      </c>
      <c r="D538">
        <v>1336</v>
      </c>
      <c r="E538">
        <v>1708</v>
      </c>
      <c r="F538">
        <v>-21</v>
      </c>
      <c r="G538" s="13">
        <v>0.91</v>
      </c>
      <c r="H538" t="s">
        <v>25</v>
      </c>
      <c r="I538">
        <v>3</v>
      </c>
      <c r="J538">
        <v>45</v>
      </c>
      <c r="K538" t="str">
        <f t="shared" si="8"/>
        <v>Filtered out</v>
      </c>
    </row>
    <row r="539" spans="1:11" x14ac:dyDescent="0.2">
      <c r="A539" t="s">
        <v>13873</v>
      </c>
      <c r="B539" t="s">
        <v>13246</v>
      </c>
      <c r="C539" t="s">
        <v>13246</v>
      </c>
      <c r="D539">
        <v>2800</v>
      </c>
      <c r="E539">
        <v>2800</v>
      </c>
      <c r="F539">
        <v>0</v>
      </c>
      <c r="G539" s="13">
        <v>0.98499999999999999</v>
      </c>
      <c r="H539" t="s">
        <v>25</v>
      </c>
      <c r="I539">
        <v>1</v>
      </c>
      <c r="J539">
        <v>827</v>
      </c>
      <c r="K539" t="str">
        <f t="shared" si="8"/>
        <v>Retained</v>
      </c>
    </row>
    <row r="540" spans="1:11" x14ac:dyDescent="0.2">
      <c r="A540" t="s">
        <v>13874</v>
      </c>
      <c r="B540" t="s">
        <v>13246</v>
      </c>
      <c r="C540" t="s">
        <v>13246</v>
      </c>
      <c r="D540">
        <v>1390</v>
      </c>
      <c r="E540">
        <v>1390</v>
      </c>
      <c r="F540">
        <v>0</v>
      </c>
      <c r="G540" s="13">
        <v>0.96499999999999997</v>
      </c>
      <c r="H540" t="s">
        <v>25</v>
      </c>
      <c r="I540">
        <v>2</v>
      </c>
      <c r="J540">
        <v>147</v>
      </c>
      <c r="K540" t="str">
        <f t="shared" si="8"/>
        <v>Retained</v>
      </c>
    </row>
    <row r="541" spans="1:11" x14ac:dyDescent="0.2">
      <c r="A541" t="s">
        <v>13875</v>
      </c>
      <c r="B541" t="s">
        <v>13397</v>
      </c>
      <c r="C541" t="s">
        <v>13446</v>
      </c>
      <c r="D541">
        <v>850</v>
      </c>
      <c r="E541">
        <v>823</v>
      </c>
      <c r="F541">
        <v>3</v>
      </c>
      <c r="G541" s="13">
        <v>0.99199999999999999</v>
      </c>
      <c r="H541" t="s">
        <v>25</v>
      </c>
      <c r="I541">
        <v>1</v>
      </c>
      <c r="J541">
        <v>5</v>
      </c>
      <c r="K541" t="str">
        <f t="shared" si="8"/>
        <v>Filtered out</v>
      </c>
    </row>
    <row r="542" spans="1:11" x14ac:dyDescent="0.2">
      <c r="A542" t="s">
        <v>13876</v>
      </c>
      <c r="B542" t="s">
        <v>13265</v>
      </c>
      <c r="C542" t="s">
        <v>13265</v>
      </c>
      <c r="D542">
        <v>1051</v>
      </c>
      <c r="E542">
        <v>1051</v>
      </c>
      <c r="F542">
        <v>0</v>
      </c>
      <c r="G542" s="13">
        <v>0.97699999999999998</v>
      </c>
      <c r="H542" t="s">
        <v>25</v>
      </c>
      <c r="I542">
        <v>1</v>
      </c>
      <c r="J542">
        <v>154</v>
      </c>
      <c r="K542" t="str">
        <f t="shared" si="8"/>
        <v>Retained</v>
      </c>
    </row>
    <row r="543" spans="1:11" x14ac:dyDescent="0.2">
      <c r="A543" t="s">
        <v>13877</v>
      </c>
      <c r="B543" t="s">
        <v>13466</v>
      </c>
      <c r="C543" t="s">
        <v>13466</v>
      </c>
      <c r="D543">
        <v>484</v>
      </c>
      <c r="E543">
        <v>802</v>
      </c>
      <c r="F543">
        <v>-39</v>
      </c>
      <c r="G543" s="13">
        <v>0.96299999999999997</v>
      </c>
      <c r="H543" t="s">
        <v>70</v>
      </c>
      <c r="I543">
        <v>0</v>
      </c>
      <c r="J543" t="s">
        <v>190</v>
      </c>
      <c r="K543" t="str">
        <f t="shared" si="8"/>
        <v>Filtered out</v>
      </c>
    </row>
    <row r="544" spans="1:11" x14ac:dyDescent="0.2">
      <c r="A544" t="s">
        <v>13878</v>
      </c>
      <c r="B544" t="s">
        <v>13246</v>
      </c>
      <c r="C544" t="s">
        <v>13246</v>
      </c>
      <c r="D544">
        <v>259</v>
      </c>
      <c r="E544">
        <v>769</v>
      </c>
      <c r="F544">
        <v>-66</v>
      </c>
      <c r="G544" s="13">
        <v>0.96499999999999997</v>
      </c>
      <c r="H544" t="s">
        <v>25</v>
      </c>
      <c r="I544">
        <v>1</v>
      </c>
      <c r="J544">
        <v>82</v>
      </c>
      <c r="K544" t="str">
        <f t="shared" si="8"/>
        <v>Filtered out</v>
      </c>
    </row>
    <row r="545" spans="1:11" x14ac:dyDescent="0.2">
      <c r="A545" t="s">
        <v>13879</v>
      </c>
      <c r="B545" t="s">
        <v>13248</v>
      </c>
      <c r="C545" t="s">
        <v>13246</v>
      </c>
      <c r="D545">
        <v>1312</v>
      </c>
      <c r="E545">
        <v>1462</v>
      </c>
      <c r="F545">
        <v>-10</v>
      </c>
      <c r="G545" s="13">
        <v>0.97499999999999998</v>
      </c>
      <c r="H545" t="s">
        <v>25</v>
      </c>
      <c r="I545">
        <v>1</v>
      </c>
      <c r="J545">
        <v>425</v>
      </c>
      <c r="K545" t="str">
        <f t="shared" si="8"/>
        <v>Filtered out</v>
      </c>
    </row>
    <row r="546" spans="1:11" x14ac:dyDescent="0.2">
      <c r="A546" t="s">
        <v>13880</v>
      </c>
      <c r="B546" t="s">
        <v>13255</v>
      </c>
      <c r="C546" t="s">
        <v>13246</v>
      </c>
      <c r="D546">
        <v>769</v>
      </c>
      <c r="E546">
        <v>1120</v>
      </c>
      <c r="F546">
        <v>-31</v>
      </c>
      <c r="G546" s="13">
        <v>0.57899999999999996</v>
      </c>
      <c r="H546" t="s">
        <v>25</v>
      </c>
      <c r="I546">
        <v>1</v>
      </c>
      <c r="J546">
        <v>169</v>
      </c>
      <c r="K546" t="str">
        <f t="shared" si="8"/>
        <v>Filtered out</v>
      </c>
    </row>
    <row r="547" spans="1:11" x14ac:dyDescent="0.2">
      <c r="A547" t="s">
        <v>13881</v>
      </c>
      <c r="B547" t="s">
        <v>13318</v>
      </c>
      <c r="C547" t="s">
        <v>13283</v>
      </c>
      <c r="D547">
        <v>154</v>
      </c>
      <c r="E547">
        <v>277</v>
      </c>
      <c r="F547">
        <v>-44</v>
      </c>
      <c r="G547" s="13">
        <v>0.84299999999999997</v>
      </c>
      <c r="H547" t="s">
        <v>70</v>
      </c>
      <c r="I547">
        <v>0</v>
      </c>
      <c r="J547" t="s">
        <v>190</v>
      </c>
      <c r="K547" t="str">
        <f t="shared" si="8"/>
        <v>Filtered out</v>
      </c>
    </row>
    <row r="548" spans="1:11" x14ac:dyDescent="0.2">
      <c r="A548" t="s">
        <v>13882</v>
      </c>
      <c r="B548" t="s">
        <v>13508</v>
      </c>
      <c r="C548" t="s">
        <v>13508</v>
      </c>
      <c r="D548">
        <v>436</v>
      </c>
      <c r="E548">
        <v>436</v>
      </c>
      <c r="F548">
        <v>0</v>
      </c>
      <c r="G548" s="13">
        <v>1</v>
      </c>
      <c r="H548" t="s">
        <v>25</v>
      </c>
      <c r="I548">
        <v>1</v>
      </c>
      <c r="J548">
        <v>3</v>
      </c>
      <c r="K548" t="str">
        <f t="shared" si="8"/>
        <v>Filtered out</v>
      </c>
    </row>
    <row r="549" spans="1:11" x14ac:dyDescent="0.2">
      <c r="A549" t="s">
        <v>13883</v>
      </c>
      <c r="B549" t="s">
        <v>13369</v>
      </c>
      <c r="C549" t="s">
        <v>13446</v>
      </c>
      <c r="D549">
        <v>733</v>
      </c>
      <c r="E549">
        <v>2269</v>
      </c>
      <c r="F549">
        <v>-67</v>
      </c>
      <c r="G549" s="13">
        <v>0.91400000000000003</v>
      </c>
      <c r="H549" t="s">
        <v>25</v>
      </c>
      <c r="I549">
        <v>1</v>
      </c>
      <c r="J549">
        <v>58</v>
      </c>
      <c r="K549" t="str">
        <f t="shared" si="8"/>
        <v>Filtered out</v>
      </c>
    </row>
    <row r="550" spans="1:11" x14ac:dyDescent="0.2">
      <c r="A550" t="s">
        <v>13884</v>
      </c>
      <c r="B550" t="s">
        <v>13543</v>
      </c>
      <c r="C550" t="s">
        <v>13246</v>
      </c>
      <c r="D550">
        <v>439</v>
      </c>
      <c r="E550">
        <v>1645</v>
      </c>
      <c r="F550">
        <v>-73</v>
      </c>
      <c r="G550" s="13">
        <v>0.97899999999999998</v>
      </c>
      <c r="H550" t="s">
        <v>70</v>
      </c>
      <c r="I550">
        <v>0</v>
      </c>
      <c r="J550" t="s">
        <v>190</v>
      </c>
      <c r="K550" t="str">
        <f t="shared" si="8"/>
        <v>Filtered out</v>
      </c>
    </row>
    <row r="551" spans="1:11" x14ac:dyDescent="0.2">
      <c r="A551" t="s">
        <v>13885</v>
      </c>
      <c r="B551" t="s">
        <v>13246</v>
      </c>
      <c r="C551" t="s">
        <v>13321</v>
      </c>
      <c r="D551">
        <v>139</v>
      </c>
      <c r="E551">
        <v>151</v>
      </c>
      <c r="F551">
        <v>-7</v>
      </c>
      <c r="G551" s="13">
        <v>0.2</v>
      </c>
      <c r="H551" t="s">
        <v>70</v>
      </c>
      <c r="I551">
        <v>0</v>
      </c>
      <c r="J551" t="s">
        <v>190</v>
      </c>
      <c r="K551" t="str">
        <f t="shared" si="8"/>
        <v>Filtered out</v>
      </c>
    </row>
    <row r="552" spans="1:11" x14ac:dyDescent="0.2">
      <c r="A552" t="s">
        <v>13886</v>
      </c>
      <c r="B552" t="s">
        <v>13246</v>
      </c>
      <c r="C552" t="s">
        <v>13246</v>
      </c>
      <c r="D552">
        <v>136</v>
      </c>
      <c r="E552">
        <v>238</v>
      </c>
      <c r="F552">
        <v>-42</v>
      </c>
      <c r="G552" s="13">
        <v>1</v>
      </c>
      <c r="H552" t="s">
        <v>70</v>
      </c>
      <c r="I552">
        <v>0</v>
      </c>
      <c r="J552" t="s">
        <v>190</v>
      </c>
      <c r="K552" t="str">
        <f t="shared" si="8"/>
        <v>Filtered out</v>
      </c>
    </row>
    <row r="553" spans="1:11" x14ac:dyDescent="0.2">
      <c r="A553" t="s">
        <v>13887</v>
      </c>
      <c r="B553" t="s">
        <v>13246</v>
      </c>
      <c r="C553" t="s">
        <v>13246</v>
      </c>
      <c r="D553">
        <v>547</v>
      </c>
      <c r="E553">
        <v>994</v>
      </c>
      <c r="F553">
        <v>-44</v>
      </c>
      <c r="G553" s="13">
        <v>0.97299999999999998</v>
      </c>
      <c r="H553" t="s">
        <v>25</v>
      </c>
      <c r="I553">
        <v>1</v>
      </c>
      <c r="J553">
        <v>180</v>
      </c>
      <c r="K553" t="str">
        <f t="shared" si="8"/>
        <v>Filtered out</v>
      </c>
    </row>
    <row r="554" spans="1:11" x14ac:dyDescent="0.2">
      <c r="A554" t="s">
        <v>13888</v>
      </c>
      <c r="B554" t="s">
        <v>13263</v>
      </c>
      <c r="C554" t="s">
        <v>13312</v>
      </c>
      <c r="D554">
        <v>820</v>
      </c>
      <c r="E554">
        <v>2455</v>
      </c>
      <c r="F554">
        <v>-66</v>
      </c>
      <c r="G554" s="13">
        <v>0.97099999999999997</v>
      </c>
      <c r="H554" t="s">
        <v>25</v>
      </c>
      <c r="I554">
        <v>2</v>
      </c>
      <c r="J554">
        <v>91</v>
      </c>
      <c r="K554" t="str">
        <f t="shared" si="8"/>
        <v>Filtered out</v>
      </c>
    </row>
    <row r="555" spans="1:11" x14ac:dyDescent="0.2">
      <c r="A555" t="s">
        <v>13889</v>
      </c>
      <c r="B555" t="s">
        <v>13714</v>
      </c>
      <c r="C555" t="s">
        <v>13714</v>
      </c>
      <c r="D555">
        <v>634</v>
      </c>
      <c r="E555">
        <v>1108</v>
      </c>
      <c r="F555">
        <v>-42</v>
      </c>
      <c r="G555" s="13">
        <v>0.90500000000000003</v>
      </c>
      <c r="H555" t="s">
        <v>25</v>
      </c>
      <c r="I555">
        <v>2</v>
      </c>
      <c r="J555">
        <v>15</v>
      </c>
      <c r="K555" t="str">
        <f t="shared" si="8"/>
        <v>Filtered out</v>
      </c>
    </row>
    <row r="556" spans="1:11" x14ac:dyDescent="0.2">
      <c r="A556" t="s">
        <v>13890</v>
      </c>
      <c r="B556" t="s">
        <v>13297</v>
      </c>
      <c r="C556" t="s">
        <v>13266</v>
      </c>
      <c r="D556">
        <v>160</v>
      </c>
      <c r="E556">
        <v>550</v>
      </c>
      <c r="F556">
        <v>-70</v>
      </c>
      <c r="G556" s="13">
        <v>1</v>
      </c>
      <c r="H556" t="s">
        <v>70</v>
      </c>
      <c r="I556">
        <v>0</v>
      </c>
      <c r="J556" t="s">
        <v>190</v>
      </c>
      <c r="K556" t="str">
        <f t="shared" si="8"/>
        <v>Filtered out</v>
      </c>
    </row>
    <row r="557" spans="1:11" x14ac:dyDescent="0.2">
      <c r="A557" t="s">
        <v>13891</v>
      </c>
      <c r="B557" t="s">
        <v>13368</v>
      </c>
      <c r="C557" t="s">
        <v>13484</v>
      </c>
      <c r="D557">
        <v>118</v>
      </c>
      <c r="E557">
        <v>253</v>
      </c>
      <c r="F557">
        <v>-53</v>
      </c>
      <c r="G557" s="13">
        <v>0.81100000000000005</v>
      </c>
      <c r="H557" t="s">
        <v>70</v>
      </c>
      <c r="I557">
        <v>0</v>
      </c>
      <c r="J557" t="s">
        <v>190</v>
      </c>
      <c r="K557" t="str">
        <f t="shared" si="8"/>
        <v>Filtered out</v>
      </c>
    </row>
    <row r="558" spans="1:11" x14ac:dyDescent="0.2">
      <c r="A558" t="s">
        <v>13892</v>
      </c>
      <c r="B558" t="s">
        <v>13726</v>
      </c>
      <c r="C558" t="s">
        <v>13664</v>
      </c>
      <c r="D558">
        <v>151</v>
      </c>
      <c r="E558">
        <v>1759</v>
      </c>
      <c r="F558">
        <v>-91</v>
      </c>
      <c r="G558" s="13">
        <v>0.98</v>
      </c>
      <c r="H558" t="s">
        <v>70</v>
      </c>
      <c r="I558">
        <v>0</v>
      </c>
      <c r="J558" t="s">
        <v>190</v>
      </c>
      <c r="K558" t="str">
        <f t="shared" si="8"/>
        <v>Filtered out</v>
      </c>
    </row>
    <row r="559" spans="1:11" x14ac:dyDescent="0.2">
      <c r="A559" t="s">
        <v>13893</v>
      </c>
      <c r="B559" t="s">
        <v>13894</v>
      </c>
      <c r="C559" t="s">
        <v>13246</v>
      </c>
      <c r="D559">
        <v>1273</v>
      </c>
      <c r="E559">
        <v>1324</v>
      </c>
      <c r="F559">
        <v>-3</v>
      </c>
      <c r="G559" s="13">
        <v>0.98299999999999998</v>
      </c>
      <c r="H559" t="s">
        <v>25</v>
      </c>
      <c r="I559">
        <v>1</v>
      </c>
      <c r="J559">
        <v>364</v>
      </c>
      <c r="K559" t="str">
        <f t="shared" si="8"/>
        <v>Filtered out</v>
      </c>
    </row>
    <row r="560" spans="1:11" x14ac:dyDescent="0.2">
      <c r="A560" t="s">
        <v>13895</v>
      </c>
      <c r="B560" t="s">
        <v>13246</v>
      </c>
      <c r="C560" t="s">
        <v>13246</v>
      </c>
      <c r="D560">
        <v>1252</v>
      </c>
      <c r="E560">
        <v>1252</v>
      </c>
      <c r="F560">
        <v>0</v>
      </c>
      <c r="G560" s="13">
        <v>0.94099999999999995</v>
      </c>
      <c r="H560" t="s">
        <v>25</v>
      </c>
      <c r="I560">
        <v>1</v>
      </c>
      <c r="J560">
        <v>25</v>
      </c>
      <c r="K560" t="str">
        <f t="shared" si="8"/>
        <v>Retained</v>
      </c>
    </row>
    <row r="561" spans="1:11" x14ac:dyDescent="0.2">
      <c r="A561" t="s">
        <v>13896</v>
      </c>
      <c r="B561" t="s">
        <v>13245</v>
      </c>
      <c r="C561" t="s">
        <v>13265</v>
      </c>
      <c r="D561">
        <v>172</v>
      </c>
      <c r="E561">
        <v>403</v>
      </c>
      <c r="F561">
        <v>-57</v>
      </c>
      <c r="G561" s="13">
        <v>0.92900000000000005</v>
      </c>
      <c r="H561" t="s">
        <v>70</v>
      </c>
      <c r="I561">
        <v>0</v>
      </c>
      <c r="J561" t="s">
        <v>190</v>
      </c>
      <c r="K561" t="str">
        <f t="shared" si="8"/>
        <v>Filtered out</v>
      </c>
    </row>
    <row r="562" spans="1:11" x14ac:dyDescent="0.2">
      <c r="A562" t="s">
        <v>13897</v>
      </c>
      <c r="B562" t="s">
        <v>13246</v>
      </c>
      <c r="C562" t="s">
        <v>13246</v>
      </c>
      <c r="D562">
        <v>2074</v>
      </c>
      <c r="E562">
        <v>2074</v>
      </c>
      <c r="F562">
        <v>0</v>
      </c>
      <c r="G562" s="13">
        <v>0.98399999999999999</v>
      </c>
      <c r="H562" t="s">
        <v>25</v>
      </c>
      <c r="I562">
        <v>1</v>
      </c>
      <c r="J562">
        <v>315</v>
      </c>
      <c r="K562" t="str">
        <f t="shared" si="8"/>
        <v>Retained</v>
      </c>
    </row>
    <row r="563" spans="1:11" x14ac:dyDescent="0.2">
      <c r="A563" t="s">
        <v>13898</v>
      </c>
      <c r="B563" t="s">
        <v>13647</v>
      </c>
      <c r="C563" t="s">
        <v>13647</v>
      </c>
      <c r="D563">
        <v>2386</v>
      </c>
      <c r="E563">
        <v>2383</v>
      </c>
      <c r="F563">
        <v>0</v>
      </c>
      <c r="G563" s="13">
        <v>0.97</v>
      </c>
      <c r="H563" t="s">
        <v>25</v>
      </c>
      <c r="I563">
        <v>2</v>
      </c>
      <c r="J563">
        <v>213</v>
      </c>
      <c r="K563" t="str">
        <f t="shared" si="8"/>
        <v>Retained</v>
      </c>
    </row>
    <row r="564" spans="1:11" x14ac:dyDescent="0.2">
      <c r="A564" t="s">
        <v>13899</v>
      </c>
      <c r="B564" t="s">
        <v>13536</v>
      </c>
      <c r="C564" t="s">
        <v>13246</v>
      </c>
      <c r="D564">
        <v>2257</v>
      </c>
      <c r="E564">
        <v>3604</v>
      </c>
      <c r="F564">
        <v>-37</v>
      </c>
      <c r="G564" s="13">
        <v>0.94299999999999995</v>
      </c>
      <c r="H564" t="s">
        <v>25</v>
      </c>
      <c r="I564">
        <v>1</v>
      </c>
      <c r="J564">
        <v>598</v>
      </c>
      <c r="K564" t="str">
        <f t="shared" si="8"/>
        <v>Filtered out</v>
      </c>
    </row>
    <row r="565" spans="1:11" x14ac:dyDescent="0.2">
      <c r="A565" t="s">
        <v>13900</v>
      </c>
      <c r="B565" t="s">
        <v>13394</v>
      </c>
      <c r="C565" t="s">
        <v>13254</v>
      </c>
      <c r="D565">
        <v>151</v>
      </c>
      <c r="E565">
        <v>1111</v>
      </c>
      <c r="F565">
        <v>-86</v>
      </c>
      <c r="G565" s="13">
        <v>0.96</v>
      </c>
      <c r="H565" t="s">
        <v>70</v>
      </c>
      <c r="I565">
        <v>0</v>
      </c>
      <c r="J565" t="s">
        <v>190</v>
      </c>
      <c r="K565" t="str">
        <f t="shared" si="8"/>
        <v>Filtered out</v>
      </c>
    </row>
    <row r="566" spans="1:11" x14ac:dyDescent="0.2">
      <c r="A566" t="s">
        <v>13901</v>
      </c>
      <c r="B566" t="s">
        <v>13293</v>
      </c>
      <c r="C566" t="s">
        <v>13377</v>
      </c>
      <c r="D566">
        <v>2302</v>
      </c>
      <c r="E566">
        <v>2566</v>
      </c>
      <c r="F566">
        <v>-10</v>
      </c>
      <c r="G566" s="13">
        <v>0.91600000000000004</v>
      </c>
      <c r="H566" t="s">
        <v>25</v>
      </c>
      <c r="I566">
        <v>3</v>
      </c>
      <c r="J566">
        <v>19</v>
      </c>
      <c r="K566" t="str">
        <f t="shared" si="8"/>
        <v>Filtered out</v>
      </c>
    </row>
    <row r="567" spans="1:11" x14ac:dyDescent="0.2">
      <c r="A567" t="s">
        <v>13902</v>
      </c>
      <c r="B567" t="s">
        <v>13903</v>
      </c>
      <c r="C567" t="s">
        <v>13903</v>
      </c>
      <c r="D567">
        <v>2155</v>
      </c>
      <c r="E567">
        <v>2155</v>
      </c>
      <c r="F567">
        <v>0</v>
      </c>
      <c r="G567" s="13">
        <v>0.97399999999999998</v>
      </c>
      <c r="H567" t="s">
        <v>25</v>
      </c>
      <c r="I567">
        <v>2</v>
      </c>
      <c r="J567">
        <v>516</v>
      </c>
      <c r="K567" t="str">
        <f t="shared" si="8"/>
        <v>Retained</v>
      </c>
    </row>
    <row r="568" spans="1:11" x14ac:dyDescent="0.2">
      <c r="A568" t="s">
        <v>13904</v>
      </c>
      <c r="B568" t="s">
        <v>13246</v>
      </c>
      <c r="C568" t="s">
        <v>13246</v>
      </c>
      <c r="D568">
        <v>1672</v>
      </c>
      <c r="E568">
        <v>1669</v>
      </c>
      <c r="F568">
        <v>0</v>
      </c>
      <c r="G568" s="13">
        <v>0.97699999999999998</v>
      </c>
      <c r="H568" t="s">
        <v>25</v>
      </c>
      <c r="I568">
        <v>1</v>
      </c>
      <c r="J568">
        <v>408</v>
      </c>
      <c r="K568" t="str">
        <f t="shared" si="8"/>
        <v>Retained</v>
      </c>
    </row>
    <row r="569" spans="1:11" x14ac:dyDescent="0.2">
      <c r="A569" t="s">
        <v>13905</v>
      </c>
      <c r="B569" t="s">
        <v>13246</v>
      </c>
      <c r="C569" t="s">
        <v>13246</v>
      </c>
      <c r="D569">
        <v>1066</v>
      </c>
      <c r="E569">
        <v>1060</v>
      </c>
      <c r="F569">
        <v>0</v>
      </c>
      <c r="G569" s="13">
        <v>0.82499999999999996</v>
      </c>
      <c r="H569" t="s">
        <v>25</v>
      </c>
      <c r="I569">
        <v>1</v>
      </c>
      <c r="J569">
        <v>226</v>
      </c>
      <c r="K569" t="str">
        <f t="shared" si="8"/>
        <v>Filtered out</v>
      </c>
    </row>
    <row r="570" spans="1:11" x14ac:dyDescent="0.2">
      <c r="A570" t="s">
        <v>13906</v>
      </c>
      <c r="B570" t="s">
        <v>13907</v>
      </c>
      <c r="C570" t="s">
        <v>13908</v>
      </c>
      <c r="D570">
        <v>1168</v>
      </c>
      <c r="E570">
        <v>1168</v>
      </c>
      <c r="F570">
        <v>0</v>
      </c>
      <c r="G570" s="13">
        <v>0.99199999999999999</v>
      </c>
      <c r="H570" t="s">
        <v>25</v>
      </c>
      <c r="I570">
        <v>1</v>
      </c>
      <c r="J570">
        <v>8</v>
      </c>
      <c r="K570" t="str">
        <f t="shared" si="8"/>
        <v>Retained</v>
      </c>
    </row>
    <row r="571" spans="1:11" x14ac:dyDescent="0.2">
      <c r="A571" t="s">
        <v>13909</v>
      </c>
      <c r="B571" t="s">
        <v>13246</v>
      </c>
      <c r="C571" t="s">
        <v>13246</v>
      </c>
      <c r="D571">
        <v>1543</v>
      </c>
      <c r="E571">
        <v>1549</v>
      </c>
      <c r="F571">
        <v>0</v>
      </c>
      <c r="G571" s="13">
        <v>0.94199999999999995</v>
      </c>
      <c r="H571" t="s">
        <v>25</v>
      </c>
      <c r="I571">
        <v>1</v>
      </c>
      <c r="J571">
        <v>304</v>
      </c>
      <c r="K571" t="str">
        <f t="shared" si="8"/>
        <v>Retained</v>
      </c>
    </row>
    <row r="572" spans="1:11" x14ac:dyDescent="0.2">
      <c r="A572" t="s">
        <v>13910</v>
      </c>
      <c r="B572" t="s">
        <v>13246</v>
      </c>
      <c r="C572" t="s">
        <v>13246</v>
      </c>
      <c r="D572">
        <v>430</v>
      </c>
      <c r="E572">
        <v>916</v>
      </c>
      <c r="F572">
        <v>-53</v>
      </c>
      <c r="G572" s="13">
        <v>0.95099999999999996</v>
      </c>
      <c r="H572" t="s">
        <v>70</v>
      </c>
      <c r="I572">
        <v>0</v>
      </c>
      <c r="J572" t="s">
        <v>190</v>
      </c>
      <c r="K572" t="str">
        <f t="shared" si="8"/>
        <v>Filtered out</v>
      </c>
    </row>
    <row r="573" spans="1:11" x14ac:dyDescent="0.2">
      <c r="A573" t="s">
        <v>13911</v>
      </c>
      <c r="B573" t="s">
        <v>13293</v>
      </c>
      <c r="C573" t="s">
        <v>13664</v>
      </c>
      <c r="D573">
        <v>313</v>
      </c>
      <c r="E573">
        <v>544</v>
      </c>
      <c r="F573">
        <v>-42</v>
      </c>
      <c r="G573" s="13">
        <v>1</v>
      </c>
      <c r="H573" t="s">
        <v>70</v>
      </c>
      <c r="I573">
        <v>0</v>
      </c>
      <c r="J573" t="s">
        <v>190</v>
      </c>
      <c r="K573" t="str">
        <f t="shared" si="8"/>
        <v>Filtered out</v>
      </c>
    </row>
    <row r="574" spans="1:11" x14ac:dyDescent="0.2">
      <c r="A574" t="s">
        <v>13912</v>
      </c>
      <c r="B574" t="s">
        <v>13263</v>
      </c>
      <c r="C574" t="s">
        <v>13263</v>
      </c>
      <c r="D574">
        <v>2575</v>
      </c>
      <c r="E574">
        <v>2767</v>
      </c>
      <c r="F574">
        <v>-6</v>
      </c>
      <c r="G574" s="13">
        <v>0.99299999999999999</v>
      </c>
      <c r="H574" t="s">
        <v>25</v>
      </c>
      <c r="I574">
        <v>1</v>
      </c>
      <c r="J574">
        <v>855</v>
      </c>
      <c r="K574" t="str">
        <f t="shared" si="8"/>
        <v>Retained</v>
      </c>
    </row>
    <row r="575" spans="1:11" x14ac:dyDescent="0.2">
      <c r="A575" t="s">
        <v>13913</v>
      </c>
      <c r="B575" t="s">
        <v>13245</v>
      </c>
      <c r="C575" t="s">
        <v>13246</v>
      </c>
      <c r="D575">
        <v>1789</v>
      </c>
      <c r="E575">
        <v>1894</v>
      </c>
      <c r="F575">
        <v>-5</v>
      </c>
      <c r="G575" s="13">
        <v>0.98699999999999999</v>
      </c>
      <c r="H575" t="s">
        <v>25</v>
      </c>
      <c r="I575">
        <v>2</v>
      </c>
      <c r="J575">
        <v>77</v>
      </c>
      <c r="K575" t="str">
        <f t="shared" si="8"/>
        <v>Filtered out</v>
      </c>
    </row>
    <row r="576" spans="1:11" x14ac:dyDescent="0.2">
      <c r="A576" t="s">
        <v>34</v>
      </c>
      <c r="B576" t="s">
        <v>13266</v>
      </c>
      <c r="C576" t="s">
        <v>13266</v>
      </c>
      <c r="D576">
        <v>2713</v>
      </c>
      <c r="E576">
        <v>2713</v>
      </c>
      <c r="F576">
        <v>0</v>
      </c>
      <c r="G576" s="13">
        <v>0.996</v>
      </c>
      <c r="H576" t="s">
        <v>25</v>
      </c>
      <c r="I576">
        <v>1</v>
      </c>
      <c r="J576">
        <v>270</v>
      </c>
      <c r="K576" t="str">
        <f t="shared" si="8"/>
        <v>Retained</v>
      </c>
    </row>
    <row r="577" spans="1:11" x14ac:dyDescent="0.2">
      <c r="A577" t="s">
        <v>13915</v>
      </c>
      <c r="B577" t="s">
        <v>13333</v>
      </c>
      <c r="C577" t="s">
        <v>13321</v>
      </c>
      <c r="D577">
        <v>178</v>
      </c>
      <c r="E577">
        <v>613</v>
      </c>
      <c r="F577">
        <v>-70</v>
      </c>
      <c r="G577" s="13">
        <v>0.97699999999999998</v>
      </c>
      <c r="H577" t="s">
        <v>70</v>
      </c>
      <c r="I577">
        <v>0</v>
      </c>
      <c r="J577" t="s">
        <v>190</v>
      </c>
      <c r="K577" t="str">
        <f t="shared" si="8"/>
        <v>Filtered out</v>
      </c>
    </row>
    <row r="578" spans="1:11" x14ac:dyDescent="0.2">
      <c r="A578" t="s">
        <v>13916</v>
      </c>
      <c r="B578" t="s">
        <v>13418</v>
      </c>
      <c r="C578" t="s">
        <v>13321</v>
      </c>
      <c r="D578">
        <v>691</v>
      </c>
      <c r="E578">
        <v>2254</v>
      </c>
      <c r="F578">
        <v>-69</v>
      </c>
      <c r="G578" s="13">
        <v>0.98699999999999999</v>
      </c>
      <c r="H578" t="s">
        <v>70</v>
      </c>
      <c r="I578">
        <v>0</v>
      </c>
      <c r="J578" t="s">
        <v>190</v>
      </c>
      <c r="K578" t="str">
        <f t="shared" si="8"/>
        <v>Filtered out</v>
      </c>
    </row>
    <row r="579" spans="1:11" x14ac:dyDescent="0.2">
      <c r="A579" t="s">
        <v>13917</v>
      </c>
      <c r="B579" t="s">
        <v>13390</v>
      </c>
      <c r="C579" t="s">
        <v>13390</v>
      </c>
      <c r="D579">
        <v>7888</v>
      </c>
      <c r="E579">
        <v>7889</v>
      </c>
      <c r="F579">
        <v>0</v>
      </c>
      <c r="G579" s="13">
        <v>0.98799999999999999</v>
      </c>
      <c r="H579" t="s">
        <v>25</v>
      </c>
      <c r="I579">
        <v>1</v>
      </c>
      <c r="J579">
        <v>2514</v>
      </c>
      <c r="K579" t="str">
        <f t="shared" si="8"/>
        <v>Retained</v>
      </c>
    </row>
    <row r="580" spans="1:11" x14ac:dyDescent="0.2">
      <c r="A580" t="s">
        <v>20</v>
      </c>
      <c r="B580" t="s">
        <v>13452</v>
      </c>
      <c r="C580" t="s">
        <v>13452</v>
      </c>
      <c r="D580">
        <v>646</v>
      </c>
      <c r="E580">
        <v>646</v>
      </c>
      <c r="F580">
        <v>0</v>
      </c>
      <c r="G580" s="13">
        <v>0.995</v>
      </c>
      <c r="H580" t="s">
        <v>25</v>
      </c>
      <c r="I580">
        <v>1</v>
      </c>
      <c r="J580">
        <v>24</v>
      </c>
      <c r="K580" t="str">
        <f t="shared" si="8"/>
        <v>Retained</v>
      </c>
    </row>
    <row r="581" spans="1:11" x14ac:dyDescent="0.2">
      <c r="A581" t="s">
        <v>13919</v>
      </c>
      <c r="B581" t="s">
        <v>13246</v>
      </c>
      <c r="C581" t="s">
        <v>13246</v>
      </c>
      <c r="D581">
        <v>619</v>
      </c>
      <c r="E581">
        <v>676</v>
      </c>
      <c r="F581">
        <v>-8</v>
      </c>
      <c r="G581" s="13">
        <v>0.73599999999999999</v>
      </c>
      <c r="H581" t="s">
        <v>25</v>
      </c>
      <c r="I581">
        <v>2</v>
      </c>
      <c r="J581">
        <v>104</v>
      </c>
      <c r="K581" t="str">
        <f t="shared" si="8"/>
        <v>Filtered out</v>
      </c>
    </row>
    <row r="582" spans="1:11" x14ac:dyDescent="0.2">
      <c r="A582" t="s">
        <v>13920</v>
      </c>
      <c r="B582" t="s">
        <v>13412</v>
      </c>
      <c r="C582" t="s">
        <v>13297</v>
      </c>
      <c r="D582">
        <v>85</v>
      </c>
      <c r="E582">
        <v>346</v>
      </c>
      <c r="F582">
        <v>-75</v>
      </c>
      <c r="G582" s="13">
        <v>1</v>
      </c>
      <c r="H582" t="s">
        <v>70</v>
      </c>
      <c r="I582">
        <v>0</v>
      </c>
      <c r="J582" t="s">
        <v>190</v>
      </c>
      <c r="K582" t="str">
        <f t="shared" si="8"/>
        <v>Filtered out</v>
      </c>
    </row>
    <row r="583" spans="1:11" x14ac:dyDescent="0.2">
      <c r="A583" t="s">
        <v>13921</v>
      </c>
      <c r="B583" t="s">
        <v>13246</v>
      </c>
      <c r="C583" t="s">
        <v>13246</v>
      </c>
      <c r="D583">
        <v>5584</v>
      </c>
      <c r="E583">
        <v>5584</v>
      </c>
      <c r="F583">
        <v>0</v>
      </c>
      <c r="G583" s="13">
        <v>0.995</v>
      </c>
      <c r="H583" t="s">
        <v>25</v>
      </c>
      <c r="I583">
        <v>1</v>
      </c>
      <c r="J583">
        <v>215</v>
      </c>
      <c r="K583" t="str">
        <f t="shared" si="8"/>
        <v>Retained</v>
      </c>
    </row>
    <row r="584" spans="1:11" x14ac:dyDescent="0.2">
      <c r="A584" t="s">
        <v>13922</v>
      </c>
      <c r="B584" t="s">
        <v>13831</v>
      </c>
      <c r="C584" t="s">
        <v>13246</v>
      </c>
      <c r="D584">
        <v>379</v>
      </c>
      <c r="E584">
        <v>1177</v>
      </c>
      <c r="F584">
        <v>-67</v>
      </c>
      <c r="G584" s="13">
        <v>0.85799999999999998</v>
      </c>
      <c r="H584" t="s">
        <v>25</v>
      </c>
      <c r="I584">
        <v>1</v>
      </c>
      <c r="J584">
        <v>84</v>
      </c>
      <c r="K584" t="str">
        <f t="shared" ref="K584:K647" si="9">IF(AND(B584=C584,F584&lt;10,F584&gt;-10,I584&gt;0,G584&gt;90%,G584&lt;100%),"Retained","Filtered out")</f>
        <v>Filtered out</v>
      </c>
    </row>
    <row r="585" spans="1:11" x14ac:dyDescent="0.2">
      <c r="A585" t="s">
        <v>13923</v>
      </c>
      <c r="B585" t="s">
        <v>13263</v>
      </c>
      <c r="C585" t="s">
        <v>13246</v>
      </c>
      <c r="D585">
        <v>826</v>
      </c>
      <c r="E585">
        <v>841</v>
      </c>
      <c r="F585">
        <v>-1</v>
      </c>
      <c r="G585" s="13">
        <v>0.98499999999999999</v>
      </c>
      <c r="H585" t="s">
        <v>25</v>
      </c>
      <c r="I585">
        <v>2</v>
      </c>
      <c r="J585">
        <v>125</v>
      </c>
      <c r="K585" t="str">
        <f t="shared" si="9"/>
        <v>Filtered out</v>
      </c>
    </row>
    <row r="586" spans="1:11" x14ac:dyDescent="0.2">
      <c r="A586" t="s">
        <v>13924</v>
      </c>
      <c r="B586" t="s">
        <v>13246</v>
      </c>
      <c r="C586" t="s">
        <v>13246</v>
      </c>
      <c r="D586">
        <v>565</v>
      </c>
      <c r="E586">
        <v>565</v>
      </c>
      <c r="F586">
        <v>0</v>
      </c>
      <c r="G586" s="13">
        <v>0.995</v>
      </c>
      <c r="H586" t="s">
        <v>25</v>
      </c>
      <c r="I586">
        <v>1</v>
      </c>
      <c r="J586">
        <v>178</v>
      </c>
      <c r="K586" t="str">
        <f t="shared" si="9"/>
        <v>Retained</v>
      </c>
    </row>
    <row r="587" spans="1:11" x14ac:dyDescent="0.2">
      <c r="A587" t="s">
        <v>13925</v>
      </c>
      <c r="B587" t="s">
        <v>13295</v>
      </c>
      <c r="C587" t="s">
        <v>13368</v>
      </c>
      <c r="D587">
        <v>6760</v>
      </c>
      <c r="E587">
        <v>6829</v>
      </c>
      <c r="F587">
        <v>-1</v>
      </c>
      <c r="G587" s="13">
        <v>0.98899999999999999</v>
      </c>
      <c r="H587" t="s">
        <v>25</v>
      </c>
      <c r="I587">
        <v>2</v>
      </c>
      <c r="J587">
        <v>12</v>
      </c>
      <c r="K587" t="str">
        <f t="shared" si="9"/>
        <v>Filtered out</v>
      </c>
    </row>
    <row r="588" spans="1:11" x14ac:dyDescent="0.2">
      <c r="A588" t="s">
        <v>13926</v>
      </c>
      <c r="B588" t="s">
        <v>13714</v>
      </c>
      <c r="C588" t="s">
        <v>13543</v>
      </c>
      <c r="D588">
        <v>1345</v>
      </c>
      <c r="E588">
        <v>1549</v>
      </c>
      <c r="F588">
        <v>-13</v>
      </c>
      <c r="G588" s="13">
        <v>0.97099999999999997</v>
      </c>
      <c r="H588" t="s">
        <v>25</v>
      </c>
      <c r="I588">
        <v>1</v>
      </c>
      <c r="J588">
        <v>202</v>
      </c>
      <c r="K588" t="str">
        <f t="shared" si="9"/>
        <v>Filtered out</v>
      </c>
    </row>
    <row r="589" spans="1:11" x14ac:dyDescent="0.2">
      <c r="A589" t="s">
        <v>13927</v>
      </c>
      <c r="B589" t="s">
        <v>13246</v>
      </c>
      <c r="C589" t="s">
        <v>13246</v>
      </c>
      <c r="D589">
        <v>1510</v>
      </c>
      <c r="E589">
        <v>1510</v>
      </c>
      <c r="F589">
        <v>0</v>
      </c>
      <c r="G589" s="13">
        <v>0.97199999999999998</v>
      </c>
      <c r="H589" t="s">
        <v>25</v>
      </c>
      <c r="I589">
        <v>2</v>
      </c>
      <c r="J589">
        <v>63</v>
      </c>
      <c r="K589" t="str">
        <f t="shared" si="9"/>
        <v>Retained</v>
      </c>
    </row>
    <row r="590" spans="1:11" x14ac:dyDescent="0.2">
      <c r="A590" t="s">
        <v>13928</v>
      </c>
      <c r="B590" t="s">
        <v>13246</v>
      </c>
      <c r="C590" t="s">
        <v>13246</v>
      </c>
      <c r="D590">
        <v>1507</v>
      </c>
      <c r="E590">
        <v>1507</v>
      </c>
      <c r="F590">
        <v>0</v>
      </c>
      <c r="G590" s="13">
        <v>0.97799999999999998</v>
      </c>
      <c r="H590" t="s">
        <v>25</v>
      </c>
      <c r="I590">
        <v>2</v>
      </c>
      <c r="J590">
        <v>25</v>
      </c>
      <c r="K590" t="str">
        <f t="shared" si="9"/>
        <v>Retained</v>
      </c>
    </row>
    <row r="591" spans="1:11" x14ac:dyDescent="0.2">
      <c r="A591" t="s">
        <v>13929</v>
      </c>
      <c r="B591" t="s">
        <v>13246</v>
      </c>
      <c r="C591" t="s">
        <v>13246</v>
      </c>
      <c r="D591">
        <v>1600</v>
      </c>
      <c r="E591">
        <v>1600</v>
      </c>
      <c r="F591">
        <v>0</v>
      </c>
      <c r="G591" s="13">
        <v>0.97899999999999998</v>
      </c>
      <c r="H591" t="s">
        <v>25</v>
      </c>
      <c r="I591">
        <v>2</v>
      </c>
      <c r="J591">
        <v>25</v>
      </c>
      <c r="K591" t="str">
        <f t="shared" si="9"/>
        <v>Retained</v>
      </c>
    </row>
    <row r="592" spans="1:11" x14ac:dyDescent="0.2">
      <c r="A592" t="s">
        <v>13930</v>
      </c>
      <c r="B592" t="s">
        <v>13246</v>
      </c>
      <c r="C592" t="s">
        <v>13246</v>
      </c>
      <c r="D592">
        <v>883</v>
      </c>
      <c r="E592">
        <v>922</v>
      </c>
      <c r="F592">
        <v>-4</v>
      </c>
      <c r="G592" s="13">
        <v>0.85899999999999999</v>
      </c>
      <c r="H592" t="s">
        <v>25</v>
      </c>
      <c r="I592">
        <v>1</v>
      </c>
      <c r="J592">
        <v>183</v>
      </c>
      <c r="K592" t="str">
        <f t="shared" si="9"/>
        <v>Filtered out</v>
      </c>
    </row>
    <row r="593" spans="1:11" x14ac:dyDescent="0.2">
      <c r="A593" t="s">
        <v>13931</v>
      </c>
      <c r="B593" t="s">
        <v>13932</v>
      </c>
      <c r="C593" t="s">
        <v>13246</v>
      </c>
      <c r="D593">
        <v>415</v>
      </c>
      <c r="E593">
        <v>1074</v>
      </c>
      <c r="F593">
        <v>-61</v>
      </c>
      <c r="G593" s="13">
        <v>0.3</v>
      </c>
      <c r="H593" t="s">
        <v>70</v>
      </c>
      <c r="I593">
        <v>0</v>
      </c>
      <c r="J593" t="s">
        <v>190</v>
      </c>
      <c r="K593" t="str">
        <f t="shared" si="9"/>
        <v>Filtered out</v>
      </c>
    </row>
    <row r="594" spans="1:11" x14ac:dyDescent="0.2">
      <c r="A594" t="s">
        <v>13933</v>
      </c>
      <c r="B594" t="s">
        <v>13262</v>
      </c>
      <c r="C594" t="s">
        <v>13262</v>
      </c>
      <c r="D594">
        <v>1933</v>
      </c>
      <c r="E594">
        <v>1933</v>
      </c>
      <c r="F594">
        <v>0</v>
      </c>
      <c r="G594" s="13">
        <v>0.995</v>
      </c>
      <c r="H594" t="s">
        <v>25</v>
      </c>
      <c r="I594">
        <v>1</v>
      </c>
      <c r="J594">
        <v>10</v>
      </c>
      <c r="K594" t="str">
        <f t="shared" si="9"/>
        <v>Retained</v>
      </c>
    </row>
    <row r="595" spans="1:11" x14ac:dyDescent="0.2">
      <c r="A595" t="s">
        <v>13934</v>
      </c>
      <c r="B595" t="s">
        <v>13446</v>
      </c>
      <c r="C595" t="s">
        <v>13246</v>
      </c>
      <c r="D595">
        <v>3052</v>
      </c>
      <c r="E595">
        <v>3211</v>
      </c>
      <c r="F595">
        <v>-4</v>
      </c>
      <c r="G595" s="13">
        <v>0.96199999999999997</v>
      </c>
      <c r="H595" t="s">
        <v>25</v>
      </c>
      <c r="I595">
        <v>1</v>
      </c>
      <c r="J595">
        <v>818</v>
      </c>
      <c r="K595" t="str">
        <f t="shared" si="9"/>
        <v>Filtered out</v>
      </c>
    </row>
    <row r="596" spans="1:11" x14ac:dyDescent="0.2">
      <c r="A596" t="s">
        <v>13935</v>
      </c>
      <c r="B596" t="s">
        <v>13248</v>
      </c>
      <c r="C596" t="s">
        <v>13246</v>
      </c>
      <c r="D596">
        <v>3262</v>
      </c>
      <c r="E596">
        <v>2446</v>
      </c>
      <c r="F596">
        <v>33</v>
      </c>
      <c r="G596" s="13">
        <v>0.99399999999999999</v>
      </c>
      <c r="H596" t="s">
        <v>25</v>
      </c>
      <c r="I596">
        <v>1</v>
      </c>
      <c r="J596">
        <v>1033</v>
      </c>
      <c r="K596" t="str">
        <f t="shared" si="9"/>
        <v>Filtered out</v>
      </c>
    </row>
    <row r="597" spans="1:11" x14ac:dyDescent="0.2">
      <c r="A597" t="s">
        <v>13936</v>
      </c>
      <c r="B597" t="s">
        <v>13246</v>
      </c>
      <c r="C597" t="s">
        <v>13246</v>
      </c>
      <c r="D597">
        <v>1918</v>
      </c>
      <c r="E597">
        <v>1918</v>
      </c>
      <c r="F597">
        <v>0</v>
      </c>
      <c r="G597" s="13">
        <v>0.96699999999999997</v>
      </c>
      <c r="H597" t="s">
        <v>25</v>
      </c>
      <c r="I597">
        <v>2</v>
      </c>
      <c r="J597">
        <v>95</v>
      </c>
      <c r="K597" t="str">
        <f t="shared" si="9"/>
        <v>Retained</v>
      </c>
    </row>
    <row r="598" spans="1:11" x14ac:dyDescent="0.2">
      <c r="A598" t="s">
        <v>13937</v>
      </c>
      <c r="B598" t="s">
        <v>13254</v>
      </c>
      <c r="C598" t="s">
        <v>13254</v>
      </c>
      <c r="D598">
        <v>2017</v>
      </c>
      <c r="E598">
        <v>2188</v>
      </c>
      <c r="F598">
        <v>-7</v>
      </c>
      <c r="G598" s="13">
        <v>0.94299999999999995</v>
      </c>
      <c r="H598" t="s">
        <v>25</v>
      </c>
      <c r="I598">
        <v>1</v>
      </c>
      <c r="J598">
        <v>413</v>
      </c>
      <c r="K598" t="str">
        <f t="shared" si="9"/>
        <v>Retained</v>
      </c>
    </row>
    <row r="599" spans="1:11" x14ac:dyDescent="0.2">
      <c r="A599" t="s">
        <v>13938</v>
      </c>
      <c r="B599" t="s">
        <v>13246</v>
      </c>
      <c r="C599" t="s">
        <v>13246</v>
      </c>
      <c r="D599">
        <v>5872</v>
      </c>
      <c r="E599">
        <v>5875</v>
      </c>
      <c r="F599">
        <v>0</v>
      </c>
      <c r="G599" s="13">
        <v>0.98599999999999999</v>
      </c>
      <c r="H599" t="s">
        <v>25</v>
      </c>
      <c r="I599">
        <v>3</v>
      </c>
      <c r="J599">
        <v>299</v>
      </c>
      <c r="K599" t="str">
        <f t="shared" si="9"/>
        <v>Retained</v>
      </c>
    </row>
    <row r="600" spans="1:11" x14ac:dyDescent="0.2">
      <c r="A600" t="s">
        <v>13939</v>
      </c>
      <c r="B600" t="s">
        <v>13246</v>
      </c>
      <c r="C600" t="s">
        <v>13246</v>
      </c>
      <c r="D600">
        <v>2353</v>
      </c>
      <c r="E600">
        <v>2401</v>
      </c>
      <c r="F600">
        <v>-1</v>
      </c>
      <c r="G600" s="13">
        <v>0.97699999999999998</v>
      </c>
      <c r="H600" t="s">
        <v>25</v>
      </c>
      <c r="I600">
        <v>1</v>
      </c>
      <c r="J600">
        <v>350</v>
      </c>
      <c r="K600" t="str">
        <f t="shared" si="9"/>
        <v>Retained</v>
      </c>
    </row>
    <row r="601" spans="1:11" x14ac:dyDescent="0.2">
      <c r="A601" t="s">
        <v>13940</v>
      </c>
      <c r="B601" t="s">
        <v>13246</v>
      </c>
      <c r="C601" t="s">
        <v>13699</v>
      </c>
      <c r="D601">
        <v>3412</v>
      </c>
      <c r="E601">
        <v>1966</v>
      </c>
      <c r="F601">
        <v>73</v>
      </c>
      <c r="G601" s="13">
        <v>0.97299999999999998</v>
      </c>
      <c r="H601" t="s">
        <v>25</v>
      </c>
      <c r="I601">
        <v>1</v>
      </c>
      <c r="J601">
        <v>41</v>
      </c>
      <c r="K601" t="str">
        <f t="shared" si="9"/>
        <v>Filtered out</v>
      </c>
    </row>
    <row r="602" spans="1:11" x14ac:dyDescent="0.2">
      <c r="A602" t="s">
        <v>13941</v>
      </c>
      <c r="B602" t="s">
        <v>13293</v>
      </c>
      <c r="C602" t="s">
        <v>13293</v>
      </c>
      <c r="D602">
        <v>193</v>
      </c>
      <c r="E602">
        <v>526</v>
      </c>
      <c r="F602">
        <v>-63</v>
      </c>
      <c r="G602" s="13">
        <v>0.90900000000000003</v>
      </c>
      <c r="H602" t="s">
        <v>70</v>
      </c>
      <c r="I602">
        <v>0</v>
      </c>
      <c r="J602" t="s">
        <v>190</v>
      </c>
      <c r="K602" t="str">
        <f t="shared" si="9"/>
        <v>Filtered out</v>
      </c>
    </row>
    <row r="603" spans="1:11" x14ac:dyDescent="0.2">
      <c r="A603" t="s">
        <v>13942</v>
      </c>
      <c r="B603" t="s">
        <v>13246</v>
      </c>
      <c r="C603" t="s">
        <v>13246</v>
      </c>
      <c r="D603">
        <v>841</v>
      </c>
      <c r="E603">
        <v>841</v>
      </c>
      <c r="F603">
        <v>0</v>
      </c>
      <c r="G603" s="13">
        <v>0.94299999999999995</v>
      </c>
      <c r="H603" t="s">
        <v>25</v>
      </c>
      <c r="I603">
        <v>1</v>
      </c>
      <c r="J603">
        <v>124</v>
      </c>
      <c r="K603" t="str">
        <f t="shared" si="9"/>
        <v>Retained</v>
      </c>
    </row>
    <row r="604" spans="1:11" x14ac:dyDescent="0.2">
      <c r="A604" t="s">
        <v>13943</v>
      </c>
      <c r="B604" t="s">
        <v>13318</v>
      </c>
      <c r="C604" t="s">
        <v>13246</v>
      </c>
      <c r="D604">
        <v>313</v>
      </c>
      <c r="E604">
        <v>721</v>
      </c>
      <c r="F604">
        <v>-56</v>
      </c>
      <c r="G604" s="13">
        <v>1</v>
      </c>
      <c r="H604" t="s">
        <v>70</v>
      </c>
      <c r="I604">
        <v>0</v>
      </c>
      <c r="J604" t="s">
        <v>190</v>
      </c>
      <c r="K604" t="str">
        <f t="shared" si="9"/>
        <v>Filtered out</v>
      </c>
    </row>
    <row r="605" spans="1:11" x14ac:dyDescent="0.2">
      <c r="A605" t="s">
        <v>13944</v>
      </c>
      <c r="B605" t="s">
        <v>13263</v>
      </c>
      <c r="C605" t="s">
        <v>13263</v>
      </c>
      <c r="D605">
        <v>112</v>
      </c>
      <c r="E605">
        <v>112</v>
      </c>
      <c r="F605">
        <v>0</v>
      </c>
      <c r="G605" s="13">
        <v>0.91900000000000004</v>
      </c>
      <c r="H605" t="s">
        <v>70</v>
      </c>
      <c r="I605">
        <v>0</v>
      </c>
      <c r="J605" t="s">
        <v>190</v>
      </c>
      <c r="K605" t="str">
        <f t="shared" si="9"/>
        <v>Filtered out</v>
      </c>
    </row>
    <row r="606" spans="1:11" x14ac:dyDescent="0.2">
      <c r="A606" t="s">
        <v>13945</v>
      </c>
      <c r="B606" t="s">
        <v>13262</v>
      </c>
      <c r="C606" t="s">
        <v>13246</v>
      </c>
      <c r="D606">
        <v>3934</v>
      </c>
      <c r="E606">
        <v>3946</v>
      </c>
      <c r="F606">
        <v>0</v>
      </c>
      <c r="G606" s="13">
        <v>0.97299999999999998</v>
      </c>
      <c r="H606" t="s">
        <v>25</v>
      </c>
      <c r="I606">
        <v>1</v>
      </c>
      <c r="J606">
        <v>19</v>
      </c>
      <c r="K606" t="str">
        <f t="shared" si="9"/>
        <v>Filtered out</v>
      </c>
    </row>
    <row r="607" spans="1:11" x14ac:dyDescent="0.2">
      <c r="A607" t="s">
        <v>13946</v>
      </c>
      <c r="B607" t="s">
        <v>13246</v>
      </c>
      <c r="C607" t="s">
        <v>13246</v>
      </c>
      <c r="D607">
        <v>2071</v>
      </c>
      <c r="E607">
        <v>2073</v>
      </c>
      <c r="F607">
        <v>0</v>
      </c>
      <c r="G607" s="13">
        <v>0.98799999999999999</v>
      </c>
      <c r="H607" t="s">
        <v>25</v>
      </c>
      <c r="I607">
        <v>14</v>
      </c>
      <c r="J607">
        <v>516</v>
      </c>
      <c r="K607" t="str">
        <f t="shared" si="9"/>
        <v>Retained</v>
      </c>
    </row>
    <row r="608" spans="1:11" x14ac:dyDescent="0.2">
      <c r="A608" t="s">
        <v>13947</v>
      </c>
      <c r="B608" t="s">
        <v>13246</v>
      </c>
      <c r="C608" t="s">
        <v>13246</v>
      </c>
      <c r="D608">
        <v>2803</v>
      </c>
      <c r="E608">
        <v>2803</v>
      </c>
      <c r="F608">
        <v>0</v>
      </c>
      <c r="G608" s="13">
        <v>0.96699999999999997</v>
      </c>
      <c r="H608" t="s">
        <v>25</v>
      </c>
      <c r="I608">
        <v>1</v>
      </c>
      <c r="J608">
        <v>75</v>
      </c>
      <c r="K608" t="str">
        <f t="shared" si="9"/>
        <v>Retained</v>
      </c>
    </row>
    <row r="609" spans="1:11" x14ac:dyDescent="0.2">
      <c r="A609" t="s">
        <v>13948</v>
      </c>
      <c r="B609" t="s">
        <v>13246</v>
      </c>
      <c r="C609" t="s">
        <v>13246</v>
      </c>
      <c r="D609">
        <v>1372</v>
      </c>
      <c r="E609">
        <v>1372</v>
      </c>
      <c r="F609">
        <v>0</v>
      </c>
      <c r="G609" s="13">
        <v>0.90600000000000003</v>
      </c>
      <c r="H609" t="s">
        <v>25</v>
      </c>
      <c r="I609">
        <v>1</v>
      </c>
      <c r="J609">
        <v>108</v>
      </c>
      <c r="K609" t="str">
        <f t="shared" si="9"/>
        <v>Retained</v>
      </c>
    </row>
    <row r="610" spans="1:11" x14ac:dyDescent="0.2">
      <c r="A610" t="s">
        <v>13949</v>
      </c>
      <c r="B610" t="s">
        <v>13295</v>
      </c>
      <c r="C610" t="s">
        <v>13295</v>
      </c>
      <c r="D610">
        <v>616</v>
      </c>
      <c r="E610">
        <v>616</v>
      </c>
      <c r="F610">
        <v>0</v>
      </c>
      <c r="G610" s="13">
        <v>0.96599999999999997</v>
      </c>
      <c r="H610" t="s">
        <v>25</v>
      </c>
      <c r="I610">
        <v>1</v>
      </c>
      <c r="J610">
        <v>126</v>
      </c>
      <c r="K610" t="str">
        <f t="shared" si="9"/>
        <v>Retained</v>
      </c>
    </row>
    <row r="611" spans="1:11" x14ac:dyDescent="0.2">
      <c r="A611" t="s">
        <v>13950</v>
      </c>
      <c r="B611" t="s">
        <v>13951</v>
      </c>
      <c r="C611" t="s">
        <v>13952</v>
      </c>
      <c r="D611">
        <v>922</v>
      </c>
      <c r="E611">
        <v>817</v>
      </c>
      <c r="F611">
        <v>12</v>
      </c>
      <c r="G611" s="13">
        <v>0.76</v>
      </c>
      <c r="H611" t="s">
        <v>25</v>
      </c>
      <c r="I611">
        <v>2</v>
      </c>
      <c r="J611">
        <v>33</v>
      </c>
      <c r="K611" t="str">
        <f t="shared" si="9"/>
        <v>Filtered out</v>
      </c>
    </row>
    <row r="612" spans="1:11" x14ac:dyDescent="0.2">
      <c r="A612" t="s">
        <v>13953</v>
      </c>
      <c r="B612" t="s">
        <v>13954</v>
      </c>
      <c r="C612" t="s">
        <v>13547</v>
      </c>
      <c r="D612">
        <v>4801</v>
      </c>
      <c r="E612">
        <v>4801</v>
      </c>
      <c r="F612">
        <v>0</v>
      </c>
      <c r="G612" s="13">
        <v>0.99299999999999999</v>
      </c>
      <c r="H612" t="s">
        <v>25</v>
      </c>
      <c r="I612">
        <v>1</v>
      </c>
      <c r="J612">
        <v>1513</v>
      </c>
      <c r="K612" t="str">
        <f t="shared" si="9"/>
        <v>Retained</v>
      </c>
    </row>
    <row r="613" spans="1:11" x14ac:dyDescent="0.2">
      <c r="A613" t="s">
        <v>13955</v>
      </c>
      <c r="B613" t="s">
        <v>13318</v>
      </c>
      <c r="C613" t="s">
        <v>13297</v>
      </c>
      <c r="D613">
        <v>2446</v>
      </c>
      <c r="E613">
        <v>4854</v>
      </c>
      <c r="F613">
        <v>-49</v>
      </c>
      <c r="G613" s="13">
        <v>0.91500000000000004</v>
      </c>
      <c r="H613" t="s">
        <v>25</v>
      </c>
      <c r="I613">
        <v>1</v>
      </c>
      <c r="J613">
        <v>569</v>
      </c>
      <c r="K613" t="str">
        <f t="shared" si="9"/>
        <v>Filtered out</v>
      </c>
    </row>
    <row r="614" spans="1:11" x14ac:dyDescent="0.2">
      <c r="A614" t="s">
        <v>13956</v>
      </c>
      <c r="B614" t="s">
        <v>13246</v>
      </c>
      <c r="C614" t="s">
        <v>13246</v>
      </c>
      <c r="D614">
        <v>5197</v>
      </c>
      <c r="E614">
        <v>6163</v>
      </c>
      <c r="F614">
        <v>-15</v>
      </c>
      <c r="G614" s="13">
        <v>0.98699999999999999</v>
      </c>
      <c r="H614" t="s">
        <v>25</v>
      </c>
      <c r="I614">
        <v>1</v>
      </c>
      <c r="J614">
        <v>1036</v>
      </c>
      <c r="K614" t="str">
        <f t="shared" si="9"/>
        <v>Filtered out</v>
      </c>
    </row>
    <row r="615" spans="1:11" x14ac:dyDescent="0.2">
      <c r="A615" t="s">
        <v>13957</v>
      </c>
      <c r="B615" t="s">
        <v>13246</v>
      </c>
      <c r="C615" t="s">
        <v>13246</v>
      </c>
      <c r="D615">
        <v>5791</v>
      </c>
      <c r="E615">
        <v>5929</v>
      </c>
      <c r="F615">
        <v>-2</v>
      </c>
      <c r="G615" s="13">
        <v>0.98399999999999999</v>
      </c>
      <c r="H615" t="s">
        <v>25</v>
      </c>
      <c r="I615">
        <v>1</v>
      </c>
      <c r="J615">
        <v>1927</v>
      </c>
      <c r="K615" t="str">
        <f t="shared" si="9"/>
        <v>Retained</v>
      </c>
    </row>
    <row r="616" spans="1:11" x14ac:dyDescent="0.2">
      <c r="A616" t="s">
        <v>13958</v>
      </c>
      <c r="B616" t="s">
        <v>13263</v>
      </c>
      <c r="C616" t="s">
        <v>13401</v>
      </c>
      <c r="D616">
        <v>2974</v>
      </c>
      <c r="E616">
        <v>5533</v>
      </c>
      <c r="F616">
        <v>-46</v>
      </c>
      <c r="G616" s="13">
        <v>0.96699999999999997</v>
      </c>
      <c r="H616" t="s">
        <v>25</v>
      </c>
      <c r="I616">
        <v>2</v>
      </c>
      <c r="J616">
        <v>419</v>
      </c>
      <c r="K616" t="str">
        <f t="shared" si="9"/>
        <v>Filtered out</v>
      </c>
    </row>
    <row r="617" spans="1:11" x14ac:dyDescent="0.2">
      <c r="A617" t="s">
        <v>13959</v>
      </c>
      <c r="B617" t="s">
        <v>13246</v>
      </c>
      <c r="C617" t="s">
        <v>13246</v>
      </c>
      <c r="D617">
        <v>5146</v>
      </c>
      <c r="E617">
        <v>5821</v>
      </c>
      <c r="F617">
        <v>-11</v>
      </c>
      <c r="G617" s="13">
        <v>0.98499999999999999</v>
      </c>
      <c r="H617" t="s">
        <v>25</v>
      </c>
      <c r="I617">
        <v>1</v>
      </c>
      <c r="J617">
        <v>111</v>
      </c>
      <c r="K617" t="str">
        <f t="shared" si="9"/>
        <v>Filtered out</v>
      </c>
    </row>
    <row r="618" spans="1:11" x14ac:dyDescent="0.2">
      <c r="A618" t="s">
        <v>13960</v>
      </c>
      <c r="B618" t="s">
        <v>13254</v>
      </c>
      <c r="C618" t="s">
        <v>13246</v>
      </c>
      <c r="D618">
        <v>2791</v>
      </c>
      <c r="E618">
        <v>6484</v>
      </c>
      <c r="F618">
        <v>-56</v>
      </c>
      <c r="G618" s="13">
        <v>0.96399999999999997</v>
      </c>
      <c r="H618" t="s">
        <v>25</v>
      </c>
      <c r="I618">
        <v>1</v>
      </c>
      <c r="J618">
        <v>325</v>
      </c>
      <c r="K618" t="str">
        <f t="shared" si="9"/>
        <v>Filtered out</v>
      </c>
    </row>
    <row r="619" spans="1:11" x14ac:dyDescent="0.2">
      <c r="A619" t="s">
        <v>13961</v>
      </c>
      <c r="B619" t="s">
        <v>13254</v>
      </c>
      <c r="C619" t="s">
        <v>13246</v>
      </c>
      <c r="D619">
        <v>874</v>
      </c>
      <c r="E619">
        <v>1435</v>
      </c>
      <c r="F619">
        <v>-39</v>
      </c>
      <c r="G619" s="13">
        <v>0.77800000000000002</v>
      </c>
      <c r="H619" t="s">
        <v>25</v>
      </c>
      <c r="I619">
        <v>1</v>
      </c>
      <c r="J619">
        <v>135</v>
      </c>
      <c r="K619" t="str">
        <f t="shared" si="9"/>
        <v>Filtered out</v>
      </c>
    </row>
    <row r="620" spans="1:11" x14ac:dyDescent="0.2">
      <c r="A620" t="s">
        <v>13962</v>
      </c>
      <c r="B620" t="s">
        <v>13246</v>
      </c>
      <c r="C620" t="s">
        <v>13246</v>
      </c>
      <c r="D620">
        <v>1315</v>
      </c>
      <c r="E620">
        <v>1321</v>
      </c>
      <c r="F620">
        <v>0</v>
      </c>
      <c r="G620" s="13">
        <v>0.95899999999999996</v>
      </c>
      <c r="H620" t="s">
        <v>25</v>
      </c>
      <c r="I620">
        <v>1</v>
      </c>
      <c r="J620">
        <v>410</v>
      </c>
      <c r="K620" t="str">
        <f t="shared" si="9"/>
        <v>Retained</v>
      </c>
    </row>
    <row r="621" spans="1:11" x14ac:dyDescent="0.2">
      <c r="A621" t="s">
        <v>13964</v>
      </c>
      <c r="B621" t="s">
        <v>13350</v>
      </c>
      <c r="C621" t="s">
        <v>13246</v>
      </c>
      <c r="D621">
        <v>1804</v>
      </c>
      <c r="E621">
        <v>1906</v>
      </c>
      <c r="F621">
        <v>-5</v>
      </c>
      <c r="G621" s="13">
        <v>0.63400000000000001</v>
      </c>
      <c r="H621" t="s">
        <v>25</v>
      </c>
      <c r="I621">
        <v>10</v>
      </c>
      <c r="J621">
        <v>388</v>
      </c>
      <c r="K621" t="str">
        <f t="shared" si="9"/>
        <v>Filtered out</v>
      </c>
    </row>
    <row r="622" spans="1:11" x14ac:dyDescent="0.2">
      <c r="A622" t="s">
        <v>13965</v>
      </c>
      <c r="B622" t="s">
        <v>13385</v>
      </c>
      <c r="C622" t="s">
        <v>13289</v>
      </c>
      <c r="D622">
        <v>448</v>
      </c>
      <c r="E622">
        <v>1402</v>
      </c>
      <c r="F622">
        <v>-68</v>
      </c>
      <c r="G622" s="13">
        <v>0.879</v>
      </c>
      <c r="H622" t="s">
        <v>70</v>
      </c>
      <c r="I622">
        <v>0</v>
      </c>
      <c r="J622" t="s">
        <v>190</v>
      </c>
      <c r="K622" t="str">
        <f t="shared" si="9"/>
        <v>Filtered out</v>
      </c>
    </row>
    <row r="623" spans="1:11" x14ac:dyDescent="0.2">
      <c r="A623" t="s">
        <v>13966</v>
      </c>
      <c r="B623" t="s">
        <v>13246</v>
      </c>
      <c r="C623" t="s">
        <v>13246</v>
      </c>
      <c r="D623">
        <v>256</v>
      </c>
      <c r="E623">
        <v>535</v>
      </c>
      <c r="F623">
        <v>-52</v>
      </c>
      <c r="G623" s="13">
        <v>0.71799999999999997</v>
      </c>
      <c r="H623" t="s">
        <v>25</v>
      </c>
      <c r="I623">
        <v>1</v>
      </c>
      <c r="J623">
        <v>40</v>
      </c>
      <c r="K623" t="str">
        <f t="shared" si="9"/>
        <v>Filtered out</v>
      </c>
    </row>
    <row r="624" spans="1:11" x14ac:dyDescent="0.2">
      <c r="A624" t="s">
        <v>13967</v>
      </c>
      <c r="B624" t="s">
        <v>13371</v>
      </c>
      <c r="C624" t="s">
        <v>13761</v>
      </c>
      <c r="D624">
        <v>352</v>
      </c>
      <c r="E624">
        <v>346</v>
      </c>
      <c r="F624">
        <v>1</v>
      </c>
      <c r="G624" s="13">
        <v>0.80300000000000005</v>
      </c>
      <c r="H624" t="s">
        <v>70</v>
      </c>
      <c r="I624">
        <v>0</v>
      </c>
      <c r="J624" t="s">
        <v>190</v>
      </c>
      <c r="K624" t="str">
        <f t="shared" si="9"/>
        <v>Filtered out</v>
      </c>
    </row>
    <row r="625" spans="1:11" x14ac:dyDescent="0.2">
      <c r="A625" t="s">
        <v>13968</v>
      </c>
      <c r="B625" t="s">
        <v>13246</v>
      </c>
      <c r="C625" t="s">
        <v>13246</v>
      </c>
      <c r="D625">
        <v>256</v>
      </c>
      <c r="E625">
        <v>505</v>
      </c>
      <c r="F625">
        <v>-49</v>
      </c>
      <c r="G625" s="13">
        <v>0.753</v>
      </c>
      <c r="H625" t="s">
        <v>25</v>
      </c>
      <c r="I625">
        <v>1</v>
      </c>
      <c r="J625">
        <v>81</v>
      </c>
      <c r="K625" t="str">
        <f t="shared" si="9"/>
        <v>Filtered out</v>
      </c>
    </row>
    <row r="626" spans="1:11" x14ac:dyDescent="0.2">
      <c r="A626" t="s">
        <v>13969</v>
      </c>
      <c r="B626" t="s">
        <v>13263</v>
      </c>
      <c r="C626" t="s">
        <v>13263</v>
      </c>
      <c r="D626">
        <v>1252</v>
      </c>
      <c r="E626">
        <v>2215</v>
      </c>
      <c r="F626">
        <v>-43</v>
      </c>
      <c r="G626" s="13">
        <v>0.91</v>
      </c>
      <c r="H626" t="s">
        <v>25</v>
      </c>
      <c r="I626">
        <v>2</v>
      </c>
      <c r="J626">
        <v>21</v>
      </c>
      <c r="K626" t="str">
        <f t="shared" si="9"/>
        <v>Filtered out</v>
      </c>
    </row>
    <row r="627" spans="1:11" x14ac:dyDescent="0.2">
      <c r="A627" t="s">
        <v>13970</v>
      </c>
      <c r="B627" t="s">
        <v>13254</v>
      </c>
      <c r="C627" t="s">
        <v>13263</v>
      </c>
      <c r="D627">
        <v>691</v>
      </c>
      <c r="E627">
        <v>3229</v>
      </c>
      <c r="F627">
        <v>-78</v>
      </c>
      <c r="G627" s="13">
        <v>0.91400000000000003</v>
      </c>
      <c r="H627" t="s">
        <v>70</v>
      </c>
      <c r="I627">
        <v>0</v>
      </c>
      <c r="J627" t="s">
        <v>190</v>
      </c>
      <c r="K627" t="str">
        <f t="shared" si="9"/>
        <v>Filtered out</v>
      </c>
    </row>
    <row r="628" spans="1:11" x14ac:dyDescent="0.2">
      <c r="A628" t="s">
        <v>13957</v>
      </c>
      <c r="B628" t="s">
        <v>13246</v>
      </c>
      <c r="C628" t="s">
        <v>13246</v>
      </c>
      <c r="D628">
        <v>5791</v>
      </c>
      <c r="E628">
        <v>5929</v>
      </c>
      <c r="F628">
        <v>-2</v>
      </c>
      <c r="G628" s="13">
        <v>0.98399999999999999</v>
      </c>
      <c r="H628" t="s">
        <v>25</v>
      </c>
      <c r="I628">
        <v>1</v>
      </c>
      <c r="J628">
        <v>1927</v>
      </c>
      <c r="K628" t="str">
        <f t="shared" si="9"/>
        <v>Retained</v>
      </c>
    </row>
    <row r="629" spans="1:11" x14ac:dyDescent="0.2">
      <c r="A629" t="s">
        <v>13971</v>
      </c>
      <c r="B629" t="s">
        <v>13246</v>
      </c>
      <c r="C629" t="s">
        <v>13246</v>
      </c>
      <c r="D629">
        <v>940</v>
      </c>
      <c r="E629">
        <v>940</v>
      </c>
      <c r="F629">
        <v>0</v>
      </c>
      <c r="G629" s="13">
        <v>0.97799999999999998</v>
      </c>
      <c r="H629" t="s">
        <v>25</v>
      </c>
      <c r="I629">
        <v>1</v>
      </c>
      <c r="J629">
        <v>220</v>
      </c>
      <c r="K629" t="str">
        <f t="shared" si="9"/>
        <v>Retained</v>
      </c>
    </row>
    <row r="630" spans="1:11" x14ac:dyDescent="0.2">
      <c r="A630" t="s">
        <v>13972</v>
      </c>
      <c r="B630" t="s">
        <v>13263</v>
      </c>
      <c r="C630" t="s">
        <v>13263</v>
      </c>
      <c r="D630">
        <v>418</v>
      </c>
      <c r="E630">
        <v>418</v>
      </c>
      <c r="F630">
        <v>0</v>
      </c>
      <c r="G630" s="13">
        <v>0.99299999999999999</v>
      </c>
      <c r="H630" t="s">
        <v>25</v>
      </c>
      <c r="I630">
        <v>5</v>
      </c>
      <c r="J630">
        <v>56</v>
      </c>
      <c r="K630" t="str">
        <f t="shared" si="9"/>
        <v>Retained</v>
      </c>
    </row>
    <row r="631" spans="1:11" x14ac:dyDescent="0.2">
      <c r="A631" t="s">
        <v>13973</v>
      </c>
      <c r="B631" t="s">
        <v>13484</v>
      </c>
      <c r="C631" t="s">
        <v>13385</v>
      </c>
      <c r="D631">
        <v>151</v>
      </c>
      <c r="E631">
        <v>343</v>
      </c>
      <c r="F631">
        <v>-55</v>
      </c>
      <c r="G631" s="13">
        <v>0.67400000000000004</v>
      </c>
      <c r="H631" t="s">
        <v>70</v>
      </c>
      <c r="I631">
        <v>0</v>
      </c>
      <c r="J631" t="s">
        <v>190</v>
      </c>
      <c r="K631" t="str">
        <f t="shared" si="9"/>
        <v>Filtered out</v>
      </c>
    </row>
    <row r="632" spans="1:11" x14ac:dyDescent="0.2">
      <c r="A632" t="s">
        <v>13974</v>
      </c>
      <c r="B632" t="s">
        <v>13246</v>
      </c>
      <c r="C632" t="s">
        <v>13246</v>
      </c>
      <c r="D632">
        <v>2560</v>
      </c>
      <c r="E632">
        <v>2560</v>
      </c>
      <c r="F632">
        <v>0</v>
      </c>
      <c r="G632" s="13">
        <v>0.99299999999999999</v>
      </c>
      <c r="H632" t="s">
        <v>25</v>
      </c>
      <c r="I632">
        <v>1</v>
      </c>
      <c r="J632">
        <v>366</v>
      </c>
      <c r="K632" t="str">
        <f t="shared" si="9"/>
        <v>Retained</v>
      </c>
    </row>
    <row r="633" spans="1:11" x14ac:dyDescent="0.2">
      <c r="A633" t="s">
        <v>13975</v>
      </c>
      <c r="B633" t="s">
        <v>13265</v>
      </c>
      <c r="C633" t="s">
        <v>13246</v>
      </c>
      <c r="D633">
        <v>286</v>
      </c>
      <c r="E633">
        <v>2491</v>
      </c>
      <c r="F633">
        <v>-88</v>
      </c>
      <c r="G633" s="13">
        <v>0.97899999999999998</v>
      </c>
      <c r="H633" t="s">
        <v>70</v>
      </c>
      <c r="I633">
        <v>0</v>
      </c>
      <c r="J633" t="s">
        <v>190</v>
      </c>
      <c r="K633" t="str">
        <f t="shared" si="9"/>
        <v>Filtered out</v>
      </c>
    </row>
    <row r="634" spans="1:11" x14ac:dyDescent="0.2">
      <c r="A634" t="s">
        <v>13976</v>
      </c>
      <c r="B634" t="s">
        <v>13458</v>
      </c>
      <c r="C634" t="s">
        <v>13368</v>
      </c>
      <c r="D634">
        <v>2584</v>
      </c>
      <c r="E634">
        <v>2542</v>
      </c>
      <c r="F634">
        <v>1</v>
      </c>
      <c r="G634" s="13">
        <v>0.98099999999999998</v>
      </c>
      <c r="H634" t="s">
        <v>25</v>
      </c>
      <c r="I634">
        <v>1</v>
      </c>
      <c r="J634">
        <v>612</v>
      </c>
      <c r="K634" t="str">
        <f t="shared" si="9"/>
        <v>Filtered out</v>
      </c>
    </row>
    <row r="635" spans="1:11" x14ac:dyDescent="0.2">
      <c r="A635" t="s">
        <v>13977</v>
      </c>
      <c r="B635" t="s">
        <v>13246</v>
      </c>
      <c r="C635" t="s">
        <v>13246</v>
      </c>
      <c r="D635">
        <v>2254</v>
      </c>
      <c r="E635">
        <v>2251</v>
      </c>
      <c r="F635">
        <v>0</v>
      </c>
      <c r="G635" s="13">
        <v>0.95199999999999996</v>
      </c>
      <c r="H635" t="s">
        <v>25</v>
      </c>
      <c r="I635">
        <v>3</v>
      </c>
      <c r="J635">
        <v>245</v>
      </c>
      <c r="K635" t="str">
        <f t="shared" si="9"/>
        <v>Retained</v>
      </c>
    </row>
    <row r="636" spans="1:11" x14ac:dyDescent="0.2">
      <c r="A636" t="s">
        <v>13978</v>
      </c>
      <c r="B636" t="s">
        <v>13283</v>
      </c>
      <c r="C636" t="s">
        <v>13268</v>
      </c>
      <c r="D636">
        <v>88</v>
      </c>
      <c r="E636">
        <v>814</v>
      </c>
      <c r="F636">
        <v>-89</v>
      </c>
      <c r="G636" s="13">
        <v>1</v>
      </c>
      <c r="H636" t="s">
        <v>70</v>
      </c>
      <c r="I636">
        <v>0</v>
      </c>
      <c r="J636" t="s">
        <v>190</v>
      </c>
      <c r="K636" t="str">
        <f t="shared" si="9"/>
        <v>Filtered out</v>
      </c>
    </row>
    <row r="637" spans="1:11" x14ac:dyDescent="0.2">
      <c r="A637" t="s">
        <v>13979</v>
      </c>
      <c r="B637" t="s">
        <v>13484</v>
      </c>
      <c r="C637" t="s">
        <v>13246</v>
      </c>
      <c r="D637">
        <v>1474</v>
      </c>
      <c r="E637">
        <v>3721</v>
      </c>
      <c r="F637">
        <v>-60</v>
      </c>
      <c r="G637" s="13">
        <v>0.93700000000000006</v>
      </c>
      <c r="H637" t="s">
        <v>25</v>
      </c>
      <c r="I637">
        <v>1</v>
      </c>
      <c r="J637">
        <v>489</v>
      </c>
      <c r="K637" t="str">
        <f t="shared" si="9"/>
        <v>Filtered out</v>
      </c>
    </row>
    <row r="638" spans="1:11" x14ac:dyDescent="0.2">
      <c r="A638" t="s">
        <v>13980</v>
      </c>
      <c r="B638" t="s">
        <v>13452</v>
      </c>
      <c r="C638" t="s">
        <v>13452</v>
      </c>
      <c r="D638">
        <v>3310</v>
      </c>
      <c r="E638">
        <v>3319</v>
      </c>
      <c r="F638">
        <v>0</v>
      </c>
      <c r="G638" s="13">
        <v>0.96399999999999997</v>
      </c>
      <c r="H638" t="s">
        <v>25</v>
      </c>
      <c r="I638">
        <v>2</v>
      </c>
      <c r="J638">
        <v>441</v>
      </c>
      <c r="K638" t="str">
        <f t="shared" si="9"/>
        <v>Retained</v>
      </c>
    </row>
    <row r="639" spans="1:11" x14ac:dyDescent="0.2">
      <c r="A639" t="s">
        <v>13981</v>
      </c>
      <c r="B639" t="s">
        <v>13246</v>
      </c>
      <c r="C639" t="s">
        <v>13246</v>
      </c>
      <c r="D639">
        <v>298</v>
      </c>
      <c r="E639">
        <v>298</v>
      </c>
      <c r="F639">
        <v>0</v>
      </c>
      <c r="G639" s="13">
        <v>0.88900000000000001</v>
      </c>
      <c r="H639" t="s">
        <v>25</v>
      </c>
      <c r="I639">
        <v>1</v>
      </c>
      <c r="J639">
        <v>76</v>
      </c>
      <c r="K639" t="str">
        <f t="shared" si="9"/>
        <v>Filtered out</v>
      </c>
    </row>
    <row r="640" spans="1:11" x14ac:dyDescent="0.2">
      <c r="A640" t="s">
        <v>13982</v>
      </c>
      <c r="B640" t="s">
        <v>13246</v>
      </c>
      <c r="C640" t="s">
        <v>13246</v>
      </c>
      <c r="D640">
        <v>3358</v>
      </c>
      <c r="E640">
        <v>3355</v>
      </c>
      <c r="F640">
        <v>0</v>
      </c>
      <c r="G640" s="13">
        <v>0.96399999999999997</v>
      </c>
      <c r="H640" t="s">
        <v>25</v>
      </c>
      <c r="I640">
        <v>1</v>
      </c>
      <c r="J640">
        <v>432</v>
      </c>
      <c r="K640" t="str">
        <f t="shared" si="9"/>
        <v>Retained</v>
      </c>
    </row>
    <row r="641" spans="1:11" x14ac:dyDescent="0.2">
      <c r="A641" t="s">
        <v>13983</v>
      </c>
      <c r="B641" t="s">
        <v>13246</v>
      </c>
      <c r="C641" t="s">
        <v>13246</v>
      </c>
      <c r="D641">
        <v>2917</v>
      </c>
      <c r="E641">
        <v>2917</v>
      </c>
      <c r="F641">
        <v>0</v>
      </c>
      <c r="G641" s="13">
        <v>0.998</v>
      </c>
      <c r="H641" t="s">
        <v>25</v>
      </c>
      <c r="I641">
        <v>1</v>
      </c>
      <c r="J641">
        <v>354</v>
      </c>
      <c r="K641" t="str">
        <f t="shared" si="9"/>
        <v>Retained</v>
      </c>
    </row>
    <row r="642" spans="1:11" x14ac:dyDescent="0.2">
      <c r="A642" t="s">
        <v>13984</v>
      </c>
      <c r="B642" t="s">
        <v>13412</v>
      </c>
      <c r="C642" t="s">
        <v>13521</v>
      </c>
      <c r="D642">
        <v>1654</v>
      </c>
      <c r="E642">
        <v>2056</v>
      </c>
      <c r="F642">
        <v>-19</v>
      </c>
      <c r="G642" s="13">
        <v>0.78100000000000003</v>
      </c>
      <c r="H642" t="s">
        <v>25</v>
      </c>
      <c r="I642">
        <v>1</v>
      </c>
      <c r="J642">
        <v>53</v>
      </c>
      <c r="K642" t="str">
        <f t="shared" si="9"/>
        <v>Filtered out</v>
      </c>
    </row>
    <row r="643" spans="1:11" x14ac:dyDescent="0.2">
      <c r="A643" t="s">
        <v>13985</v>
      </c>
      <c r="B643" t="s">
        <v>13263</v>
      </c>
      <c r="C643" t="s">
        <v>13246</v>
      </c>
      <c r="D643">
        <v>619</v>
      </c>
      <c r="E643">
        <v>1288</v>
      </c>
      <c r="F643">
        <v>-51</v>
      </c>
      <c r="G643" s="13">
        <v>0.88600000000000001</v>
      </c>
      <c r="H643" t="s">
        <v>25</v>
      </c>
      <c r="I643">
        <v>1</v>
      </c>
      <c r="J643">
        <v>140</v>
      </c>
      <c r="K643" t="str">
        <f t="shared" si="9"/>
        <v>Filtered out</v>
      </c>
    </row>
    <row r="644" spans="1:11" x14ac:dyDescent="0.2">
      <c r="A644" t="s">
        <v>13986</v>
      </c>
      <c r="B644" t="s">
        <v>13246</v>
      </c>
      <c r="C644" t="s">
        <v>13543</v>
      </c>
      <c r="D644">
        <v>640</v>
      </c>
      <c r="E644">
        <v>937</v>
      </c>
      <c r="F644">
        <v>-31</v>
      </c>
      <c r="G644" s="13">
        <v>0.25</v>
      </c>
      <c r="H644" t="s">
        <v>70</v>
      </c>
      <c r="I644">
        <v>0</v>
      </c>
      <c r="J644" t="s">
        <v>190</v>
      </c>
      <c r="K644" t="str">
        <f t="shared" si="9"/>
        <v>Filtered out</v>
      </c>
    </row>
    <row r="645" spans="1:11" x14ac:dyDescent="0.2">
      <c r="A645" t="s">
        <v>13987</v>
      </c>
      <c r="B645" t="s">
        <v>13421</v>
      </c>
      <c r="C645" t="s">
        <v>13421</v>
      </c>
      <c r="D645">
        <v>1489</v>
      </c>
      <c r="E645">
        <v>1483</v>
      </c>
      <c r="F645">
        <v>0</v>
      </c>
      <c r="G645" s="13">
        <v>0.96</v>
      </c>
      <c r="H645" t="s">
        <v>25</v>
      </c>
      <c r="I645">
        <v>1</v>
      </c>
      <c r="J645">
        <v>181</v>
      </c>
      <c r="K645" t="str">
        <f t="shared" si="9"/>
        <v>Retained</v>
      </c>
    </row>
    <row r="646" spans="1:11" x14ac:dyDescent="0.2">
      <c r="A646" t="s">
        <v>13988</v>
      </c>
      <c r="B646" t="s">
        <v>13543</v>
      </c>
      <c r="C646" t="s">
        <v>13543</v>
      </c>
      <c r="D646">
        <v>229</v>
      </c>
      <c r="E646">
        <v>502</v>
      </c>
      <c r="F646">
        <v>-54</v>
      </c>
      <c r="G646" s="13">
        <v>0.98699999999999999</v>
      </c>
      <c r="H646" t="s">
        <v>70</v>
      </c>
      <c r="I646">
        <v>0</v>
      </c>
      <c r="J646" t="s">
        <v>190</v>
      </c>
      <c r="K646" t="str">
        <f t="shared" si="9"/>
        <v>Filtered out</v>
      </c>
    </row>
    <row r="647" spans="1:11" x14ac:dyDescent="0.2">
      <c r="A647" t="s">
        <v>13989</v>
      </c>
      <c r="B647" t="s">
        <v>13418</v>
      </c>
      <c r="C647" t="s">
        <v>13314</v>
      </c>
      <c r="D647">
        <v>130</v>
      </c>
      <c r="E647">
        <v>1027</v>
      </c>
      <c r="F647">
        <v>-87</v>
      </c>
      <c r="G647" s="13">
        <v>0.90700000000000003</v>
      </c>
      <c r="H647" t="s">
        <v>70</v>
      </c>
      <c r="I647">
        <v>0</v>
      </c>
      <c r="J647" t="s">
        <v>190</v>
      </c>
      <c r="K647" t="str">
        <f t="shared" si="9"/>
        <v>Filtered out</v>
      </c>
    </row>
    <row r="648" spans="1:11" x14ac:dyDescent="0.2">
      <c r="A648" t="s">
        <v>13990</v>
      </c>
      <c r="B648" t="s">
        <v>13265</v>
      </c>
      <c r="C648" t="s">
        <v>13246</v>
      </c>
      <c r="D648">
        <v>382</v>
      </c>
      <c r="E648">
        <v>1111</v>
      </c>
      <c r="F648">
        <v>-65</v>
      </c>
      <c r="G648" s="13">
        <v>0.96899999999999997</v>
      </c>
      <c r="H648" t="s">
        <v>25</v>
      </c>
      <c r="I648">
        <v>1</v>
      </c>
      <c r="J648">
        <v>7</v>
      </c>
      <c r="K648" t="str">
        <f t="shared" ref="K648:K711" si="10">IF(AND(B648=C648,F648&lt;10,F648&gt;-10,I648&gt;0,G648&gt;90%,G648&lt;100%),"Retained","Filtered out")</f>
        <v>Filtered out</v>
      </c>
    </row>
    <row r="649" spans="1:11" x14ac:dyDescent="0.2">
      <c r="A649" t="s">
        <v>13991</v>
      </c>
      <c r="B649" t="s">
        <v>13495</v>
      </c>
      <c r="C649" t="s">
        <v>13495</v>
      </c>
      <c r="D649">
        <v>370</v>
      </c>
      <c r="E649">
        <v>976</v>
      </c>
      <c r="F649">
        <v>-62</v>
      </c>
      <c r="G649" s="13">
        <v>1</v>
      </c>
      <c r="H649" t="s">
        <v>70</v>
      </c>
      <c r="I649">
        <v>0</v>
      </c>
      <c r="J649" t="s">
        <v>190</v>
      </c>
      <c r="K649" t="str">
        <f t="shared" si="10"/>
        <v>Filtered out</v>
      </c>
    </row>
    <row r="650" spans="1:11" x14ac:dyDescent="0.2">
      <c r="A650" t="s">
        <v>13992</v>
      </c>
      <c r="B650" t="s">
        <v>13295</v>
      </c>
      <c r="C650" t="s">
        <v>13246</v>
      </c>
      <c r="D650">
        <v>1912</v>
      </c>
      <c r="E650">
        <v>3109</v>
      </c>
      <c r="F650">
        <v>-38</v>
      </c>
      <c r="G650" s="13">
        <v>0.92100000000000004</v>
      </c>
      <c r="H650" t="s">
        <v>25</v>
      </c>
      <c r="I650">
        <v>2</v>
      </c>
      <c r="J650">
        <v>601</v>
      </c>
      <c r="K650" t="str">
        <f t="shared" si="10"/>
        <v>Filtered out</v>
      </c>
    </row>
    <row r="651" spans="1:11" x14ac:dyDescent="0.2">
      <c r="A651" t="s">
        <v>13993</v>
      </c>
      <c r="B651" t="s">
        <v>13452</v>
      </c>
      <c r="C651" t="s">
        <v>13452</v>
      </c>
      <c r="D651">
        <v>2857</v>
      </c>
      <c r="E651">
        <v>2857</v>
      </c>
      <c r="F651">
        <v>0</v>
      </c>
      <c r="G651" s="13">
        <v>0.97199999999999998</v>
      </c>
      <c r="H651" t="s">
        <v>25</v>
      </c>
      <c r="I651">
        <v>2</v>
      </c>
      <c r="J651">
        <v>500</v>
      </c>
      <c r="K651" t="str">
        <f t="shared" si="10"/>
        <v>Retained</v>
      </c>
    </row>
    <row r="652" spans="1:11" x14ac:dyDescent="0.2">
      <c r="A652" t="s">
        <v>13994</v>
      </c>
      <c r="B652" t="s">
        <v>13263</v>
      </c>
      <c r="C652" t="s">
        <v>13263</v>
      </c>
      <c r="D652">
        <v>1867</v>
      </c>
      <c r="E652">
        <v>1873</v>
      </c>
      <c r="F652">
        <v>0</v>
      </c>
      <c r="G652" s="13">
        <v>0.96499999999999997</v>
      </c>
      <c r="H652" t="s">
        <v>25</v>
      </c>
      <c r="I652">
        <v>1</v>
      </c>
      <c r="J652">
        <v>51</v>
      </c>
      <c r="K652" t="str">
        <f t="shared" si="10"/>
        <v>Retained</v>
      </c>
    </row>
    <row r="653" spans="1:11" x14ac:dyDescent="0.2">
      <c r="A653" t="s">
        <v>13995</v>
      </c>
      <c r="B653" t="s">
        <v>13263</v>
      </c>
      <c r="C653" t="s">
        <v>13263</v>
      </c>
      <c r="D653">
        <v>496</v>
      </c>
      <c r="E653">
        <v>502</v>
      </c>
      <c r="F653">
        <v>-1</v>
      </c>
      <c r="G653" s="13">
        <v>0.91600000000000004</v>
      </c>
      <c r="H653" t="s">
        <v>25</v>
      </c>
      <c r="I653">
        <v>1</v>
      </c>
      <c r="J653">
        <v>51</v>
      </c>
      <c r="K653" t="str">
        <f t="shared" si="10"/>
        <v>Retained</v>
      </c>
    </row>
    <row r="654" spans="1:11" x14ac:dyDescent="0.2">
      <c r="A654" t="s">
        <v>13996</v>
      </c>
      <c r="B654" t="s">
        <v>13246</v>
      </c>
      <c r="C654" t="s">
        <v>13246</v>
      </c>
      <c r="D654">
        <v>298</v>
      </c>
      <c r="E654">
        <v>802</v>
      </c>
      <c r="F654">
        <v>-62</v>
      </c>
      <c r="G654" s="13">
        <v>1</v>
      </c>
      <c r="H654" t="s">
        <v>70</v>
      </c>
      <c r="I654">
        <v>0</v>
      </c>
      <c r="J654" t="s">
        <v>190</v>
      </c>
      <c r="K654" t="str">
        <f t="shared" si="10"/>
        <v>Filtered out</v>
      </c>
    </row>
    <row r="655" spans="1:11" x14ac:dyDescent="0.2">
      <c r="A655" t="s">
        <v>13997</v>
      </c>
      <c r="B655" t="s">
        <v>13371</v>
      </c>
      <c r="C655" t="s">
        <v>13371</v>
      </c>
      <c r="D655">
        <v>2953</v>
      </c>
      <c r="E655">
        <v>2959</v>
      </c>
      <c r="F655">
        <v>0</v>
      </c>
      <c r="G655" s="13">
        <v>0.98199999999999998</v>
      </c>
      <c r="H655" t="s">
        <v>25</v>
      </c>
      <c r="I655">
        <v>2</v>
      </c>
      <c r="J655">
        <v>863</v>
      </c>
      <c r="K655" t="str">
        <f t="shared" si="10"/>
        <v>Retained</v>
      </c>
    </row>
    <row r="656" spans="1:11" x14ac:dyDescent="0.2">
      <c r="A656" t="s">
        <v>15</v>
      </c>
      <c r="B656" t="s">
        <v>13337</v>
      </c>
      <c r="C656" t="s">
        <v>13360</v>
      </c>
      <c r="D656">
        <v>3469</v>
      </c>
      <c r="E656">
        <v>3472</v>
      </c>
      <c r="F656">
        <v>0</v>
      </c>
      <c r="G656" s="13">
        <v>0.99</v>
      </c>
      <c r="H656" t="s">
        <v>25</v>
      </c>
      <c r="I656">
        <v>1</v>
      </c>
      <c r="J656">
        <v>494</v>
      </c>
      <c r="K656" t="str">
        <f t="shared" si="10"/>
        <v>Filtered out</v>
      </c>
    </row>
    <row r="657" spans="1:11" x14ac:dyDescent="0.2">
      <c r="A657" t="s">
        <v>15</v>
      </c>
      <c r="B657" t="s">
        <v>13337</v>
      </c>
      <c r="C657" t="s">
        <v>13360</v>
      </c>
      <c r="D657">
        <v>3469</v>
      </c>
      <c r="E657">
        <v>3472</v>
      </c>
      <c r="F657">
        <v>0</v>
      </c>
      <c r="G657" s="13">
        <v>0.99</v>
      </c>
      <c r="H657" t="s">
        <v>25</v>
      </c>
      <c r="I657">
        <v>1</v>
      </c>
      <c r="J657">
        <v>494</v>
      </c>
      <c r="K657" t="str">
        <f t="shared" si="10"/>
        <v>Filtered out</v>
      </c>
    </row>
    <row r="658" spans="1:11" x14ac:dyDescent="0.2">
      <c r="A658" t="s">
        <v>13999</v>
      </c>
      <c r="B658" t="s">
        <v>13543</v>
      </c>
      <c r="C658" t="s">
        <v>13248</v>
      </c>
      <c r="D658">
        <v>3373</v>
      </c>
      <c r="E658">
        <v>3457</v>
      </c>
      <c r="F658">
        <v>-2</v>
      </c>
      <c r="G658" s="13">
        <v>0.98599999999999999</v>
      </c>
      <c r="H658" t="s">
        <v>25</v>
      </c>
      <c r="I658">
        <v>1</v>
      </c>
      <c r="J658">
        <v>970</v>
      </c>
      <c r="K658" t="str">
        <f t="shared" si="10"/>
        <v>Filtered out</v>
      </c>
    </row>
    <row r="659" spans="1:11" x14ac:dyDescent="0.2">
      <c r="A659" t="s">
        <v>65</v>
      </c>
      <c r="B659" t="s">
        <v>13246</v>
      </c>
      <c r="C659" t="s">
        <v>13246</v>
      </c>
      <c r="D659">
        <v>1867</v>
      </c>
      <c r="E659">
        <v>1876</v>
      </c>
      <c r="F659">
        <v>0</v>
      </c>
      <c r="G659" s="13">
        <v>0.995</v>
      </c>
      <c r="H659" t="s">
        <v>25</v>
      </c>
      <c r="I659">
        <v>1</v>
      </c>
      <c r="J659">
        <v>2</v>
      </c>
      <c r="K659" t="str">
        <f t="shared" si="10"/>
        <v>Retained</v>
      </c>
    </row>
    <row r="660" spans="1:11" x14ac:dyDescent="0.2">
      <c r="A660" t="s">
        <v>14001</v>
      </c>
      <c r="B660" t="s">
        <v>13466</v>
      </c>
      <c r="C660" t="s">
        <v>13246</v>
      </c>
      <c r="D660">
        <v>2110</v>
      </c>
      <c r="E660">
        <v>2143</v>
      </c>
      <c r="F660">
        <v>-1</v>
      </c>
      <c r="G660" s="13">
        <v>0.96299999999999997</v>
      </c>
      <c r="H660" t="s">
        <v>25</v>
      </c>
      <c r="I660">
        <v>2</v>
      </c>
      <c r="J660">
        <v>81</v>
      </c>
      <c r="K660" t="str">
        <f t="shared" si="10"/>
        <v>Filtered out</v>
      </c>
    </row>
    <row r="661" spans="1:11" x14ac:dyDescent="0.2">
      <c r="A661" t="s">
        <v>14002</v>
      </c>
      <c r="B661" t="s">
        <v>13662</v>
      </c>
      <c r="C661" t="s">
        <v>13246</v>
      </c>
      <c r="D661">
        <v>1183</v>
      </c>
      <c r="E661">
        <v>1354</v>
      </c>
      <c r="F661">
        <v>-12</v>
      </c>
      <c r="G661" s="13">
        <v>1</v>
      </c>
      <c r="H661" t="s">
        <v>25</v>
      </c>
      <c r="I661">
        <v>1</v>
      </c>
      <c r="J661">
        <v>3</v>
      </c>
      <c r="K661" t="str">
        <f t="shared" si="10"/>
        <v>Filtered out</v>
      </c>
    </row>
    <row r="662" spans="1:11" x14ac:dyDescent="0.2">
      <c r="A662" t="s">
        <v>14003</v>
      </c>
      <c r="B662" t="s">
        <v>13246</v>
      </c>
      <c r="C662" t="s">
        <v>13246</v>
      </c>
      <c r="D662">
        <v>664</v>
      </c>
      <c r="E662">
        <v>664</v>
      </c>
      <c r="F662">
        <v>0</v>
      </c>
      <c r="G662" s="13">
        <v>0.97299999999999998</v>
      </c>
      <c r="H662" t="s">
        <v>25</v>
      </c>
      <c r="I662">
        <v>1</v>
      </c>
      <c r="J662">
        <v>219</v>
      </c>
      <c r="K662" t="str">
        <f t="shared" si="10"/>
        <v>Retained</v>
      </c>
    </row>
    <row r="663" spans="1:11" x14ac:dyDescent="0.2">
      <c r="A663" t="s">
        <v>14004</v>
      </c>
      <c r="B663" t="s">
        <v>13418</v>
      </c>
      <c r="C663" t="s">
        <v>13397</v>
      </c>
      <c r="D663">
        <v>301</v>
      </c>
      <c r="E663">
        <v>628</v>
      </c>
      <c r="F663">
        <v>-52</v>
      </c>
      <c r="G663" s="13">
        <v>0.8</v>
      </c>
      <c r="H663" t="s">
        <v>70</v>
      </c>
      <c r="I663">
        <v>0</v>
      </c>
      <c r="J663" t="s">
        <v>190</v>
      </c>
      <c r="K663" t="str">
        <f t="shared" si="10"/>
        <v>Filtered out</v>
      </c>
    </row>
    <row r="664" spans="1:11" x14ac:dyDescent="0.2">
      <c r="A664" t="s">
        <v>14005</v>
      </c>
      <c r="B664" t="s">
        <v>13368</v>
      </c>
      <c r="C664" t="s">
        <v>13246</v>
      </c>
      <c r="D664">
        <v>241</v>
      </c>
      <c r="E664">
        <v>440</v>
      </c>
      <c r="F664">
        <v>-45</v>
      </c>
      <c r="G664" s="13">
        <v>0.38100000000000001</v>
      </c>
      <c r="H664" t="s">
        <v>70</v>
      </c>
      <c r="I664">
        <v>0</v>
      </c>
      <c r="J664" t="s">
        <v>190</v>
      </c>
      <c r="K664" t="str">
        <f t="shared" si="10"/>
        <v>Filtered out</v>
      </c>
    </row>
    <row r="665" spans="1:11" x14ac:dyDescent="0.2">
      <c r="A665" t="s">
        <v>14006</v>
      </c>
      <c r="B665" t="s">
        <v>13369</v>
      </c>
      <c r="C665" t="s">
        <v>13333</v>
      </c>
      <c r="D665">
        <v>589</v>
      </c>
      <c r="E665">
        <v>1951</v>
      </c>
      <c r="F665">
        <v>-69</v>
      </c>
      <c r="G665" s="13">
        <v>0.63100000000000001</v>
      </c>
      <c r="H665" t="s">
        <v>70</v>
      </c>
      <c r="I665">
        <v>0</v>
      </c>
      <c r="J665" t="s">
        <v>190</v>
      </c>
      <c r="K665" t="str">
        <f t="shared" si="10"/>
        <v>Filtered out</v>
      </c>
    </row>
    <row r="666" spans="1:11" x14ac:dyDescent="0.2">
      <c r="A666" t="s">
        <v>14007</v>
      </c>
      <c r="B666" t="s">
        <v>13543</v>
      </c>
      <c r="C666" t="s">
        <v>13373</v>
      </c>
      <c r="D666">
        <v>475</v>
      </c>
      <c r="E666">
        <v>556</v>
      </c>
      <c r="F666">
        <v>-14</v>
      </c>
      <c r="G666" s="13">
        <v>0.76300000000000001</v>
      </c>
      <c r="H666" t="s">
        <v>25</v>
      </c>
      <c r="I666">
        <v>1</v>
      </c>
      <c r="J666">
        <v>96</v>
      </c>
      <c r="K666" t="str">
        <f t="shared" si="10"/>
        <v>Filtered out</v>
      </c>
    </row>
    <row r="667" spans="1:11" x14ac:dyDescent="0.2">
      <c r="A667" t="s">
        <v>14008</v>
      </c>
      <c r="B667" t="s">
        <v>13446</v>
      </c>
      <c r="C667" t="s">
        <v>13446</v>
      </c>
      <c r="D667">
        <v>1321</v>
      </c>
      <c r="E667">
        <v>1501</v>
      </c>
      <c r="F667">
        <v>-11</v>
      </c>
      <c r="G667" s="13">
        <v>0.96399999999999997</v>
      </c>
      <c r="H667" t="s">
        <v>25</v>
      </c>
      <c r="I667">
        <v>1</v>
      </c>
      <c r="J667">
        <v>407</v>
      </c>
      <c r="K667" t="str">
        <f t="shared" si="10"/>
        <v>Filtered out</v>
      </c>
    </row>
    <row r="668" spans="1:11" x14ac:dyDescent="0.2">
      <c r="A668" t="s">
        <v>14009</v>
      </c>
      <c r="B668" t="s">
        <v>13246</v>
      </c>
      <c r="C668" t="s">
        <v>13246</v>
      </c>
      <c r="D668">
        <v>709</v>
      </c>
      <c r="E668">
        <v>1315</v>
      </c>
      <c r="F668">
        <v>-46</v>
      </c>
      <c r="G668" s="13">
        <v>0.91100000000000003</v>
      </c>
      <c r="H668" t="s">
        <v>25</v>
      </c>
      <c r="I668">
        <v>1</v>
      </c>
      <c r="J668">
        <v>142</v>
      </c>
      <c r="K668" t="str">
        <f t="shared" si="10"/>
        <v>Filtered out</v>
      </c>
    </row>
    <row r="669" spans="1:11" x14ac:dyDescent="0.2">
      <c r="A669" t="s">
        <v>14010</v>
      </c>
      <c r="B669" t="s">
        <v>13246</v>
      </c>
      <c r="C669" t="s">
        <v>13246</v>
      </c>
      <c r="D669">
        <v>2071</v>
      </c>
      <c r="E669">
        <v>2350</v>
      </c>
      <c r="F669">
        <v>-11</v>
      </c>
      <c r="G669" s="13">
        <v>0.97699999999999998</v>
      </c>
      <c r="H669" t="s">
        <v>25</v>
      </c>
      <c r="I669">
        <v>2</v>
      </c>
      <c r="J669">
        <v>608</v>
      </c>
      <c r="K669" t="str">
        <f t="shared" si="10"/>
        <v>Filtered out</v>
      </c>
    </row>
    <row r="670" spans="1:11" x14ac:dyDescent="0.2">
      <c r="A670" t="s">
        <v>14011</v>
      </c>
      <c r="B670" t="s">
        <v>13246</v>
      </c>
      <c r="C670" t="s">
        <v>13246</v>
      </c>
      <c r="D670">
        <v>2521</v>
      </c>
      <c r="E670">
        <v>2713</v>
      </c>
      <c r="F670">
        <v>-7</v>
      </c>
      <c r="G670" s="13">
        <v>0.99199999999999999</v>
      </c>
      <c r="H670" t="s">
        <v>25</v>
      </c>
      <c r="I670">
        <v>1</v>
      </c>
      <c r="J670">
        <v>218</v>
      </c>
      <c r="K670" t="str">
        <f t="shared" si="10"/>
        <v>Retained</v>
      </c>
    </row>
    <row r="671" spans="1:11" x14ac:dyDescent="0.2">
      <c r="A671" t="s">
        <v>14012</v>
      </c>
      <c r="B671" t="s">
        <v>13547</v>
      </c>
      <c r="C671" t="s">
        <v>13246</v>
      </c>
      <c r="D671">
        <v>4144</v>
      </c>
      <c r="E671">
        <v>4450</v>
      </c>
      <c r="F671">
        <v>-6</v>
      </c>
      <c r="G671" s="13">
        <v>0.998</v>
      </c>
      <c r="H671" t="s">
        <v>25</v>
      </c>
      <c r="I671">
        <v>1</v>
      </c>
      <c r="J671">
        <v>1183</v>
      </c>
      <c r="K671" t="str">
        <f t="shared" si="10"/>
        <v>Filtered out</v>
      </c>
    </row>
    <row r="672" spans="1:11" x14ac:dyDescent="0.2">
      <c r="A672" t="s">
        <v>14013</v>
      </c>
      <c r="B672" t="s">
        <v>13254</v>
      </c>
      <c r="C672" t="s">
        <v>13560</v>
      </c>
      <c r="D672">
        <v>121</v>
      </c>
      <c r="E672">
        <v>934</v>
      </c>
      <c r="F672">
        <v>-87</v>
      </c>
      <c r="G672" s="13">
        <v>0.9</v>
      </c>
      <c r="H672" t="s">
        <v>70</v>
      </c>
      <c r="I672">
        <v>0</v>
      </c>
      <c r="J672" t="s">
        <v>190</v>
      </c>
      <c r="K672" t="str">
        <f t="shared" si="10"/>
        <v>Filtered out</v>
      </c>
    </row>
    <row r="673" spans="1:11" x14ac:dyDescent="0.2">
      <c r="A673" t="s">
        <v>14011</v>
      </c>
      <c r="B673" t="s">
        <v>13246</v>
      </c>
      <c r="C673" t="s">
        <v>13246</v>
      </c>
      <c r="D673">
        <v>2521</v>
      </c>
      <c r="E673">
        <v>2713</v>
      </c>
      <c r="F673">
        <v>-7</v>
      </c>
      <c r="G673" s="13">
        <v>0.99199999999999999</v>
      </c>
      <c r="H673" t="s">
        <v>25</v>
      </c>
      <c r="I673">
        <v>1</v>
      </c>
      <c r="J673">
        <v>218</v>
      </c>
      <c r="K673" t="str">
        <f t="shared" si="10"/>
        <v>Retained</v>
      </c>
    </row>
    <row r="674" spans="1:11" x14ac:dyDescent="0.2">
      <c r="A674" t="s">
        <v>14014</v>
      </c>
      <c r="B674" t="s">
        <v>13246</v>
      </c>
      <c r="C674" t="s">
        <v>13246</v>
      </c>
      <c r="D674">
        <v>1273</v>
      </c>
      <c r="E674">
        <v>2414</v>
      </c>
      <c r="F674">
        <v>-47</v>
      </c>
      <c r="G674" s="13">
        <v>0.98799999999999999</v>
      </c>
      <c r="H674" t="s">
        <v>25</v>
      </c>
      <c r="I674">
        <v>1</v>
      </c>
      <c r="J674">
        <v>417</v>
      </c>
      <c r="K674" t="str">
        <f t="shared" si="10"/>
        <v>Filtered out</v>
      </c>
    </row>
    <row r="675" spans="1:11" x14ac:dyDescent="0.2">
      <c r="A675" t="s">
        <v>14015</v>
      </c>
      <c r="B675" t="s">
        <v>13246</v>
      </c>
      <c r="C675" t="s">
        <v>13246</v>
      </c>
      <c r="D675">
        <v>1819</v>
      </c>
      <c r="E675">
        <v>1834</v>
      </c>
      <c r="F675">
        <v>0</v>
      </c>
      <c r="G675" s="13">
        <v>0.96599999999999997</v>
      </c>
      <c r="H675" t="s">
        <v>25</v>
      </c>
      <c r="I675">
        <v>1</v>
      </c>
      <c r="J675">
        <v>167</v>
      </c>
      <c r="K675" t="str">
        <f t="shared" si="10"/>
        <v>Retained</v>
      </c>
    </row>
    <row r="676" spans="1:11" x14ac:dyDescent="0.2">
      <c r="A676" t="s">
        <v>14016</v>
      </c>
      <c r="B676" t="s">
        <v>13246</v>
      </c>
      <c r="C676" t="s">
        <v>13246</v>
      </c>
      <c r="D676">
        <v>2800</v>
      </c>
      <c r="E676">
        <v>2800</v>
      </c>
      <c r="F676">
        <v>0</v>
      </c>
      <c r="G676" s="13">
        <v>0.97099999999999997</v>
      </c>
      <c r="H676" t="s">
        <v>25</v>
      </c>
      <c r="I676">
        <v>2</v>
      </c>
      <c r="J676">
        <v>820</v>
      </c>
      <c r="K676" t="str">
        <f t="shared" si="10"/>
        <v>Retained</v>
      </c>
    </row>
    <row r="677" spans="1:11" x14ac:dyDescent="0.2">
      <c r="A677" t="s">
        <v>14017</v>
      </c>
      <c r="B677" t="s">
        <v>13458</v>
      </c>
      <c r="C677" t="s">
        <v>13246</v>
      </c>
      <c r="D677">
        <v>1066</v>
      </c>
      <c r="E677">
        <v>2104</v>
      </c>
      <c r="F677">
        <v>-49</v>
      </c>
      <c r="G677" s="13">
        <v>0.92400000000000004</v>
      </c>
      <c r="H677" t="s">
        <v>25</v>
      </c>
      <c r="I677">
        <v>1</v>
      </c>
      <c r="J677">
        <v>18</v>
      </c>
      <c r="K677" t="str">
        <f t="shared" si="10"/>
        <v>Filtered out</v>
      </c>
    </row>
    <row r="678" spans="1:11" x14ac:dyDescent="0.2">
      <c r="A678" t="s">
        <v>14018</v>
      </c>
      <c r="B678" t="s">
        <v>13297</v>
      </c>
      <c r="C678" t="s">
        <v>13385</v>
      </c>
      <c r="D678">
        <v>673</v>
      </c>
      <c r="E678">
        <v>1192</v>
      </c>
      <c r="F678">
        <v>-43</v>
      </c>
      <c r="G678" s="13">
        <v>0.996</v>
      </c>
      <c r="H678" t="s">
        <v>25</v>
      </c>
      <c r="I678">
        <v>1</v>
      </c>
      <c r="J678">
        <v>210</v>
      </c>
      <c r="K678" t="str">
        <f t="shared" si="10"/>
        <v>Filtered out</v>
      </c>
    </row>
    <row r="679" spans="1:11" x14ac:dyDescent="0.2">
      <c r="A679" t="s">
        <v>14019</v>
      </c>
      <c r="B679" t="s">
        <v>13543</v>
      </c>
      <c r="C679" t="s">
        <v>13246</v>
      </c>
      <c r="D679">
        <v>1207</v>
      </c>
      <c r="E679">
        <v>1450</v>
      </c>
      <c r="F679">
        <v>-16</v>
      </c>
      <c r="G679" s="13">
        <v>0.995</v>
      </c>
      <c r="H679" t="s">
        <v>25</v>
      </c>
      <c r="I679">
        <v>1</v>
      </c>
      <c r="J679">
        <v>105</v>
      </c>
      <c r="K679" t="str">
        <f t="shared" si="10"/>
        <v>Filtered out</v>
      </c>
    </row>
    <row r="680" spans="1:11" x14ac:dyDescent="0.2">
      <c r="A680" t="s">
        <v>59</v>
      </c>
      <c r="B680" t="s">
        <v>13314</v>
      </c>
      <c r="C680" t="s">
        <v>13246</v>
      </c>
      <c r="D680">
        <v>481</v>
      </c>
      <c r="E680">
        <v>502</v>
      </c>
      <c r="F680">
        <v>-4</v>
      </c>
      <c r="G680" s="13">
        <v>0.98799999999999999</v>
      </c>
      <c r="H680" t="s">
        <v>25</v>
      </c>
      <c r="I680">
        <v>1</v>
      </c>
      <c r="J680">
        <v>92</v>
      </c>
      <c r="K680" t="str">
        <f t="shared" si="10"/>
        <v>Filtered out</v>
      </c>
    </row>
    <row r="681" spans="1:11" x14ac:dyDescent="0.2">
      <c r="A681" t="s">
        <v>14019</v>
      </c>
      <c r="B681" t="s">
        <v>13543</v>
      </c>
      <c r="C681" t="s">
        <v>13246</v>
      </c>
      <c r="D681">
        <v>1207</v>
      </c>
      <c r="E681">
        <v>1450</v>
      </c>
      <c r="F681">
        <v>-16</v>
      </c>
      <c r="G681" s="13">
        <v>0.995</v>
      </c>
      <c r="H681" t="s">
        <v>25</v>
      </c>
      <c r="I681">
        <v>1</v>
      </c>
      <c r="J681">
        <v>105</v>
      </c>
      <c r="K681" t="str">
        <f t="shared" si="10"/>
        <v>Filtered out</v>
      </c>
    </row>
    <row r="682" spans="1:11" x14ac:dyDescent="0.2">
      <c r="A682" t="s">
        <v>14020</v>
      </c>
      <c r="B682" t="s">
        <v>13246</v>
      </c>
      <c r="C682" t="s">
        <v>13246</v>
      </c>
      <c r="D682">
        <v>1483</v>
      </c>
      <c r="E682">
        <v>1483</v>
      </c>
      <c r="F682">
        <v>0</v>
      </c>
      <c r="G682" s="13">
        <v>0.96799999999999997</v>
      </c>
      <c r="H682" t="s">
        <v>25</v>
      </c>
      <c r="I682">
        <v>2</v>
      </c>
      <c r="J682">
        <v>414</v>
      </c>
      <c r="K682" t="str">
        <f t="shared" si="10"/>
        <v>Retained</v>
      </c>
    </row>
    <row r="683" spans="1:11" x14ac:dyDescent="0.2">
      <c r="A683" t="s">
        <v>14021</v>
      </c>
      <c r="B683" t="s">
        <v>13304</v>
      </c>
      <c r="C683" t="s">
        <v>13246</v>
      </c>
      <c r="D683">
        <v>1117</v>
      </c>
      <c r="E683">
        <v>1966</v>
      </c>
      <c r="F683">
        <v>-43</v>
      </c>
      <c r="G683" s="13">
        <v>0.92700000000000005</v>
      </c>
      <c r="H683" t="s">
        <v>25</v>
      </c>
      <c r="I683">
        <v>1</v>
      </c>
      <c r="J683">
        <v>318</v>
      </c>
      <c r="K683" t="str">
        <f t="shared" si="10"/>
        <v>Filtered out</v>
      </c>
    </row>
    <row r="684" spans="1:11" x14ac:dyDescent="0.2">
      <c r="A684" t="s">
        <v>14022</v>
      </c>
      <c r="B684" t="s">
        <v>13295</v>
      </c>
      <c r="C684" t="s">
        <v>13293</v>
      </c>
      <c r="D684">
        <v>2752</v>
      </c>
      <c r="E684">
        <v>2929</v>
      </c>
      <c r="F684">
        <v>-6</v>
      </c>
      <c r="G684" s="13">
        <v>0.995</v>
      </c>
      <c r="H684" t="s">
        <v>25</v>
      </c>
      <c r="I684">
        <v>1</v>
      </c>
      <c r="J684">
        <v>3</v>
      </c>
      <c r="K684" t="str">
        <f t="shared" si="10"/>
        <v>Filtered out</v>
      </c>
    </row>
    <row r="685" spans="1:11" x14ac:dyDescent="0.2">
      <c r="A685" t="s">
        <v>14023</v>
      </c>
      <c r="B685" t="s">
        <v>13246</v>
      </c>
      <c r="C685" t="s">
        <v>13246</v>
      </c>
      <c r="D685">
        <v>2236</v>
      </c>
      <c r="E685">
        <v>2377</v>
      </c>
      <c r="F685">
        <v>-5</v>
      </c>
      <c r="G685" s="13">
        <v>0.996</v>
      </c>
      <c r="H685" t="s">
        <v>25</v>
      </c>
      <c r="I685">
        <v>1</v>
      </c>
      <c r="J685">
        <v>68</v>
      </c>
      <c r="K685" t="str">
        <f t="shared" si="10"/>
        <v>Retained</v>
      </c>
    </row>
    <row r="686" spans="1:11" x14ac:dyDescent="0.2">
      <c r="A686" t="s">
        <v>14024</v>
      </c>
      <c r="B686" t="s">
        <v>13265</v>
      </c>
      <c r="C686" t="s">
        <v>13246</v>
      </c>
      <c r="D686">
        <v>2098</v>
      </c>
      <c r="E686">
        <v>4035</v>
      </c>
      <c r="F686">
        <v>-48</v>
      </c>
      <c r="G686" s="13">
        <v>0.95599999999999996</v>
      </c>
      <c r="H686" t="s">
        <v>25</v>
      </c>
      <c r="I686">
        <v>1</v>
      </c>
      <c r="J686">
        <v>353</v>
      </c>
      <c r="K686" t="str">
        <f t="shared" si="10"/>
        <v>Filtered out</v>
      </c>
    </row>
    <row r="687" spans="1:11" x14ac:dyDescent="0.2">
      <c r="A687" t="s">
        <v>14025</v>
      </c>
      <c r="B687" t="s">
        <v>13246</v>
      </c>
      <c r="C687" t="s">
        <v>13246</v>
      </c>
      <c r="D687">
        <v>370</v>
      </c>
      <c r="E687">
        <v>511</v>
      </c>
      <c r="F687">
        <v>-27</v>
      </c>
      <c r="G687" s="13">
        <v>1</v>
      </c>
      <c r="H687" t="s">
        <v>70</v>
      </c>
      <c r="I687">
        <v>0</v>
      </c>
      <c r="J687" t="s">
        <v>190</v>
      </c>
      <c r="K687" t="str">
        <f t="shared" si="10"/>
        <v>Filtered out</v>
      </c>
    </row>
    <row r="688" spans="1:11" x14ac:dyDescent="0.2">
      <c r="A688" t="s">
        <v>14026</v>
      </c>
      <c r="B688" t="s">
        <v>13246</v>
      </c>
      <c r="C688" t="s">
        <v>13246</v>
      </c>
      <c r="D688">
        <v>352</v>
      </c>
      <c r="E688">
        <v>1438</v>
      </c>
      <c r="F688">
        <v>-75</v>
      </c>
      <c r="G688" s="13">
        <v>0.94</v>
      </c>
      <c r="H688" t="s">
        <v>70</v>
      </c>
      <c r="I688">
        <v>0</v>
      </c>
      <c r="J688" t="s">
        <v>190</v>
      </c>
      <c r="K688" t="str">
        <f t="shared" si="10"/>
        <v>Filtered out</v>
      </c>
    </row>
    <row r="689" spans="1:11" x14ac:dyDescent="0.2">
      <c r="A689" t="s">
        <v>14027</v>
      </c>
      <c r="B689" t="s">
        <v>13314</v>
      </c>
      <c r="C689" t="s">
        <v>13246</v>
      </c>
      <c r="D689">
        <v>253</v>
      </c>
      <c r="E689">
        <v>409</v>
      </c>
      <c r="F689">
        <v>-38</v>
      </c>
      <c r="G689" s="13">
        <v>0.98599999999999999</v>
      </c>
      <c r="H689" t="s">
        <v>25</v>
      </c>
      <c r="I689">
        <v>1</v>
      </c>
      <c r="J689">
        <v>8</v>
      </c>
      <c r="K689" t="str">
        <f t="shared" si="10"/>
        <v>Filtered out</v>
      </c>
    </row>
    <row r="690" spans="1:11" x14ac:dyDescent="0.2">
      <c r="A690" t="s">
        <v>14028</v>
      </c>
      <c r="B690" t="s">
        <v>13446</v>
      </c>
      <c r="C690" t="s">
        <v>13450</v>
      </c>
      <c r="D690">
        <v>223</v>
      </c>
      <c r="E690">
        <v>415</v>
      </c>
      <c r="F690">
        <v>-46</v>
      </c>
      <c r="G690" s="13">
        <v>0.22900000000000001</v>
      </c>
      <c r="H690" t="s">
        <v>70</v>
      </c>
      <c r="I690">
        <v>0</v>
      </c>
      <c r="J690" t="s">
        <v>190</v>
      </c>
      <c r="K690" t="str">
        <f t="shared" si="10"/>
        <v>Filtered out</v>
      </c>
    </row>
    <row r="691" spans="1:11" x14ac:dyDescent="0.2">
      <c r="A691" t="s">
        <v>14029</v>
      </c>
      <c r="B691" t="s">
        <v>13263</v>
      </c>
      <c r="C691" t="s">
        <v>13246</v>
      </c>
      <c r="D691">
        <v>154</v>
      </c>
      <c r="E691">
        <v>640</v>
      </c>
      <c r="F691">
        <v>-75</v>
      </c>
      <c r="G691" s="13">
        <v>0.96099999999999997</v>
      </c>
      <c r="H691" t="s">
        <v>70</v>
      </c>
      <c r="I691">
        <v>0</v>
      </c>
      <c r="J691" t="s">
        <v>190</v>
      </c>
      <c r="K691" t="str">
        <f t="shared" si="10"/>
        <v>Filtered out</v>
      </c>
    </row>
    <row r="692" spans="1:11" x14ac:dyDescent="0.2">
      <c r="A692" t="s">
        <v>14030</v>
      </c>
      <c r="B692" t="s">
        <v>13246</v>
      </c>
      <c r="C692" t="s">
        <v>13263</v>
      </c>
      <c r="D692">
        <v>127</v>
      </c>
      <c r="E692">
        <v>673</v>
      </c>
      <c r="F692">
        <v>-81</v>
      </c>
      <c r="G692" s="13">
        <v>0.375</v>
      </c>
      <c r="H692" t="s">
        <v>70</v>
      </c>
      <c r="I692">
        <v>0</v>
      </c>
      <c r="J692" t="s">
        <v>190</v>
      </c>
      <c r="K692" t="str">
        <f t="shared" si="10"/>
        <v>Filtered out</v>
      </c>
    </row>
    <row r="693" spans="1:11" x14ac:dyDescent="0.2">
      <c r="A693" t="s">
        <v>14031</v>
      </c>
      <c r="B693" t="s">
        <v>13268</v>
      </c>
      <c r="C693" t="s">
        <v>13265</v>
      </c>
      <c r="D693">
        <v>295</v>
      </c>
      <c r="E693">
        <v>742</v>
      </c>
      <c r="F693">
        <v>-60</v>
      </c>
      <c r="G693" s="13">
        <v>0.98</v>
      </c>
      <c r="H693" t="s">
        <v>70</v>
      </c>
      <c r="I693">
        <v>0</v>
      </c>
      <c r="J693" t="s">
        <v>190</v>
      </c>
      <c r="K693" t="str">
        <f t="shared" si="10"/>
        <v>Filtered out</v>
      </c>
    </row>
    <row r="694" spans="1:11" x14ac:dyDescent="0.2">
      <c r="A694" t="s">
        <v>14032</v>
      </c>
      <c r="B694" t="s">
        <v>13293</v>
      </c>
      <c r="C694" t="s">
        <v>13246</v>
      </c>
      <c r="D694">
        <v>271</v>
      </c>
      <c r="E694">
        <v>907</v>
      </c>
      <c r="F694">
        <v>-70</v>
      </c>
      <c r="G694" s="13">
        <v>0.74399999999999999</v>
      </c>
      <c r="H694" t="s">
        <v>70</v>
      </c>
      <c r="I694">
        <v>0</v>
      </c>
      <c r="J694" t="s">
        <v>190</v>
      </c>
      <c r="K694" t="str">
        <f t="shared" si="10"/>
        <v>Filtered out</v>
      </c>
    </row>
    <row r="695" spans="1:11" x14ac:dyDescent="0.2">
      <c r="A695" t="s">
        <v>14033</v>
      </c>
      <c r="B695" t="s">
        <v>13703</v>
      </c>
      <c r="C695" t="s">
        <v>13246</v>
      </c>
      <c r="D695">
        <v>3649</v>
      </c>
      <c r="E695">
        <v>3652</v>
      </c>
      <c r="F695">
        <v>0</v>
      </c>
      <c r="G695" s="13">
        <v>0.998</v>
      </c>
      <c r="H695" t="s">
        <v>25</v>
      </c>
      <c r="I695">
        <v>1</v>
      </c>
      <c r="J695">
        <v>4</v>
      </c>
      <c r="K695" t="str">
        <f t="shared" si="10"/>
        <v>Filtered out</v>
      </c>
    </row>
    <row r="696" spans="1:11" x14ac:dyDescent="0.2">
      <c r="A696" t="s">
        <v>14034</v>
      </c>
      <c r="B696" t="s">
        <v>13246</v>
      </c>
      <c r="C696" t="s">
        <v>13246</v>
      </c>
      <c r="D696">
        <v>2542</v>
      </c>
      <c r="E696">
        <v>2545</v>
      </c>
      <c r="F696">
        <v>0</v>
      </c>
      <c r="G696" s="13">
        <v>0.35599999999999998</v>
      </c>
      <c r="H696" t="s">
        <v>25</v>
      </c>
      <c r="I696">
        <v>35</v>
      </c>
      <c r="J696">
        <v>177</v>
      </c>
      <c r="K696" t="str">
        <f t="shared" si="10"/>
        <v>Filtered out</v>
      </c>
    </row>
    <row r="697" spans="1:11" x14ac:dyDescent="0.2">
      <c r="A697" t="s">
        <v>14035</v>
      </c>
      <c r="B697" t="s">
        <v>13289</v>
      </c>
      <c r="C697" t="s">
        <v>13254</v>
      </c>
      <c r="D697">
        <v>679</v>
      </c>
      <c r="E697">
        <v>826</v>
      </c>
      <c r="F697">
        <v>-17</v>
      </c>
      <c r="G697" s="13">
        <v>0.41199999999999998</v>
      </c>
      <c r="H697" t="s">
        <v>25</v>
      </c>
      <c r="I697">
        <v>6</v>
      </c>
      <c r="J697">
        <v>42</v>
      </c>
      <c r="K697" t="str">
        <f t="shared" si="10"/>
        <v>Filtered out</v>
      </c>
    </row>
    <row r="698" spans="1:11" x14ac:dyDescent="0.2">
      <c r="A698" t="s">
        <v>14036</v>
      </c>
      <c r="B698" t="s">
        <v>13418</v>
      </c>
      <c r="C698" t="s">
        <v>13248</v>
      </c>
      <c r="D698">
        <v>265</v>
      </c>
      <c r="E698">
        <v>1772</v>
      </c>
      <c r="F698">
        <v>-85</v>
      </c>
      <c r="G698" s="13">
        <v>0.98899999999999999</v>
      </c>
      <c r="H698" t="s">
        <v>70</v>
      </c>
      <c r="I698">
        <v>0</v>
      </c>
      <c r="J698" t="s">
        <v>190</v>
      </c>
      <c r="K698" t="str">
        <f t="shared" si="10"/>
        <v>Filtered out</v>
      </c>
    </row>
    <row r="699" spans="1:11" x14ac:dyDescent="0.2">
      <c r="A699" t="s">
        <v>14037</v>
      </c>
      <c r="B699" t="s">
        <v>13318</v>
      </c>
      <c r="C699" t="s">
        <v>13318</v>
      </c>
      <c r="D699">
        <v>1009</v>
      </c>
      <c r="E699">
        <v>2255</v>
      </c>
      <c r="F699">
        <v>-55</v>
      </c>
      <c r="G699" s="13">
        <v>0.81399999999999995</v>
      </c>
      <c r="H699" t="s">
        <v>25</v>
      </c>
      <c r="I699">
        <v>5</v>
      </c>
      <c r="J699">
        <v>45</v>
      </c>
      <c r="K699" t="str">
        <f t="shared" si="10"/>
        <v>Filtered out</v>
      </c>
    </row>
    <row r="700" spans="1:11" x14ac:dyDescent="0.2">
      <c r="A700" t="s">
        <v>14038</v>
      </c>
      <c r="B700" t="s">
        <v>13318</v>
      </c>
      <c r="C700" t="s">
        <v>13246</v>
      </c>
      <c r="D700">
        <v>328</v>
      </c>
      <c r="E700">
        <v>778</v>
      </c>
      <c r="F700">
        <v>-57</v>
      </c>
      <c r="G700" s="13">
        <v>0.99099999999999999</v>
      </c>
      <c r="H700" t="s">
        <v>25</v>
      </c>
      <c r="I700">
        <v>1</v>
      </c>
      <c r="J700">
        <v>86</v>
      </c>
      <c r="K700" t="str">
        <f t="shared" si="10"/>
        <v>Filtered out</v>
      </c>
    </row>
    <row r="701" spans="1:11" x14ac:dyDescent="0.2">
      <c r="A701" t="s">
        <v>14039</v>
      </c>
      <c r="B701" t="s">
        <v>13337</v>
      </c>
      <c r="C701" t="s">
        <v>13337</v>
      </c>
      <c r="D701">
        <v>469</v>
      </c>
      <c r="E701">
        <v>469</v>
      </c>
      <c r="F701">
        <v>0</v>
      </c>
      <c r="G701" s="13">
        <v>0.97399999999999998</v>
      </c>
      <c r="H701" t="s">
        <v>25</v>
      </c>
      <c r="I701">
        <v>1</v>
      </c>
      <c r="J701">
        <v>31</v>
      </c>
      <c r="K701" t="str">
        <f t="shared" si="10"/>
        <v>Retained</v>
      </c>
    </row>
    <row r="702" spans="1:11" x14ac:dyDescent="0.2">
      <c r="A702" t="s">
        <v>14040</v>
      </c>
      <c r="B702" t="s">
        <v>13263</v>
      </c>
      <c r="C702" t="s">
        <v>13246</v>
      </c>
      <c r="D702">
        <v>682</v>
      </c>
      <c r="E702">
        <v>898</v>
      </c>
      <c r="F702">
        <v>-24</v>
      </c>
      <c r="G702" s="13">
        <v>0.84599999999999997</v>
      </c>
      <c r="H702" t="s">
        <v>25</v>
      </c>
      <c r="I702">
        <v>1</v>
      </c>
      <c r="J702">
        <v>195</v>
      </c>
      <c r="K702" t="str">
        <f t="shared" si="10"/>
        <v>Filtered out</v>
      </c>
    </row>
    <row r="703" spans="1:11" x14ac:dyDescent="0.2">
      <c r="A703" t="s">
        <v>14041</v>
      </c>
      <c r="B703" t="s">
        <v>13373</v>
      </c>
      <c r="C703" t="s">
        <v>13373</v>
      </c>
      <c r="D703">
        <v>4051</v>
      </c>
      <c r="E703">
        <v>4051</v>
      </c>
      <c r="F703">
        <v>0</v>
      </c>
      <c r="G703" s="13">
        <v>0.98099999999999998</v>
      </c>
      <c r="H703" t="s">
        <v>25</v>
      </c>
      <c r="I703">
        <v>2</v>
      </c>
      <c r="J703">
        <v>419</v>
      </c>
      <c r="K703" t="str">
        <f t="shared" si="10"/>
        <v>Retained</v>
      </c>
    </row>
    <row r="704" spans="1:11" x14ac:dyDescent="0.2">
      <c r="A704" t="s">
        <v>14042</v>
      </c>
      <c r="B704" t="s">
        <v>13394</v>
      </c>
      <c r="C704" t="s">
        <v>13246</v>
      </c>
      <c r="D704">
        <v>244</v>
      </c>
      <c r="E704">
        <v>262</v>
      </c>
      <c r="F704">
        <v>-6</v>
      </c>
      <c r="G704" s="13">
        <v>0.92200000000000004</v>
      </c>
      <c r="H704" t="s">
        <v>70</v>
      </c>
      <c r="I704">
        <v>0</v>
      </c>
      <c r="J704" t="s">
        <v>190</v>
      </c>
      <c r="K704" t="str">
        <f t="shared" si="10"/>
        <v>Filtered out</v>
      </c>
    </row>
    <row r="705" spans="1:11" x14ac:dyDescent="0.2">
      <c r="A705" t="s">
        <v>14043</v>
      </c>
      <c r="B705" t="s">
        <v>13246</v>
      </c>
      <c r="C705" t="s">
        <v>13246</v>
      </c>
      <c r="D705">
        <v>1183</v>
      </c>
      <c r="E705">
        <v>1183</v>
      </c>
      <c r="F705">
        <v>0</v>
      </c>
      <c r="G705" s="13">
        <v>0.995</v>
      </c>
      <c r="H705" t="s">
        <v>25</v>
      </c>
      <c r="I705">
        <v>1</v>
      </c>
      <c r="J705">
        <v>63</v>
      </c>
      <c r="K705" t="str">
        <f t="shared" si="10"/>
        <v>Retained</v>
      </c>
    </row>
    <row r="706" spans="1:11" x14ac:dyDescent="0.2">
      <c r="A706" t="s">
        <v>14044</v>
      </c>
      <c r="B706" t="s">
        <v>13246</v>
      </c>
      <c r="C706" t="s">
        <v>13246</v>
      </c>
      <c r="D706">
        <v>1120</v>
      </c>
      <c r="E706">
        <v>1408</v>
      </c>
      <c r="F706">
        <v>-20</v>
      </c>
      <c r="G706" s="13">
        <v>0.97899999999999998</v>
      </c>
      <c r="H706" t="s">
        <v>25</v>
      </c>
      <c r="I706">
        <v>1</v>
      </c>
      <c r="J706">
        <v>339</v>
      </c>
      <c r="K706" t="str">
        <f t="shared" si="10"/>
        <v>Filtered out</v>
      </c>
    </row>
    <row r="707" spans="1:11" x14ac:dyDescent="0.2">
      <c r="A707" t="s">
        <v>14045</v>
      </c>
      <c r="B707" t="s">
        <v>13511</v>
      </c>
      <c r="C707" t="s">
        <v>13246</v>
      </c>
      <c r="D707">
        <v>430</v>
      </c>
      <c r="E707">
        <v>427</v>
      </c>
      <c r="F707">
        <v>0</v>
      </c>
      <c r="G707" s="13">
        <v>0.83899999999999997</v>
      </c>
      <c r="H707" t="s">
        <v>25</v>
      </c>
      <c r="I707">
        <v>1</v>
      </c>
      <c r="J707">
        <v>39</v>
      </c>
      <c r="K707" t="str">
        <f t="shared" si="10"/>
        <v>Filtered out</v>
      </c>
    </row>
    <row r="708" spans="1:11" x14ac:dyDescent="0.2">
      <c r="A708" t="s">
        <v>14046</v>
      </c>
      <c r="B708" t="s">
        <v>13350</v>
      </c>
      <c r="C708" t="s">
        <v>13618</v>
      </c>
      <c r="D708">
        <v>652</v>
      </c>
      <c r="E708">
        <v>2638</v>
      </c>
      <c r="F708">
        <v>-75</v>
      </c>
      <c r="G708" s="13">
        <v>0.90500000000000003</v>
      </c>
      <c r="H708" t="s">
        <v>70</v>
      </c>
      <c r="I708">
        <v>0</v>
      </c>
      <c r="J708" t="s">
        <v>190</v>
      </c>
      <c r="K708" t="str">
        <f t="shared" si="10"/>
        <v>Filtered out</v>
      </c>
    </row>
    <row r="709" spans="1:11" x14ac:dyDescent="0.2">
      <c r="A709" t="s">
        <v>14047</v>
      </c>
      <c r="B709" t="s">
        <v>13263</v>
      </c>
      <c r="C709" t="s">
        <v>13385</v>
      </c>
      <c r="D709">
        <v>1453</v>
      </c>
      <c r="E709">
        <v>2809</v>
      </c>
      <c r="F709">
        <v>-48</v>
      </c>
      <c r="G709" s="13">
        <v>0.94299999999999995</v>
      </c>
      <c r="H709" t="s">
        <v>25</v>
      </c>
      <c r="I709">
        <v>1</v>
      </c>
      <c r="J709">
        <v>195</v>
      </c>
      <c r="K709" t="str">
        <f t="shared" si="10"/>
        <v>Filtered out</v>
      </c>
    </row>
    <row r="710" spans="1:11" x14ac:dyDescent="0.2">
      <c r="A710" t="s">
        <v>14048</v>
      </c>
      <c r="B710" t="s">
        <v>13263</v>
      </c>
      <c r="C710" t="s">
        <v>13263</v>
      </c>
      <c r="D710">
        <v>1348</v>
      </c>
      <c r="E710">
        <v>1348</v>
      </c>
      <c r="F710">
        <v>0</v>
      </c>
      <c r="G710" s="13">
        <v>0.97799999999999998</v>
      </c>
      <c r="H710" t="s">
        <v>25</v>
      </c>
      <c r="I710">
        <v>1</v>
      </c>
      <c r="J710">
        <v>186</v>
      </c>
      <c r="K710" t="str">
        <f t="shared" si="10"/>
        <v>Retained</v>
      </c>
    </row>
    <row r="711" spans="1:11" x14ac:dyDescent="0.2">
      <c r="A711" t="s">
        <v>14049</v>
      </c>
      <c r="B711" t="s">
        <v>13246</v>
      </c>
      <c r="C711" t="s">
        <v>13246</v>
      </c>
      <c r="D711">
        <v>1282</v>
      </c>
      <c r="E711">
        <v>1285</v>
      </c>
      <c r="F711">
        <v>0</v>
      </c>
      <c r="G711" s="13">
        <v>0.93600000000000005</v>
      </c>
      <c r="H711" t="s">
        <v>25</v>
      </c>
      <c r="I711">
        <v>1</v>
      </c>
      <c r="J711">
        <v>309</v>
      </c>
      <c r="K711" t="str">
        <f t="shared" si="10"/>
        <v>Retained</v>
      </c>
    </row>
    <row r="712" spans="1:11" x14ac:dyDescent="0.2">
      <c r="A712" t="s">
        <v>14050</v>
      </c>
      <c r="B712" t="s">
        <v>13312</v>
      </c>
      <c r="C712" t="s">
        <v>13265</v>
      </c>
      <c r="D712">
        <v>214</v>
      </c>
      <c r="E712">
        <v>535</v>
      </c>
      <c r="F712">
        <v>-60</v>
      </c>
      <c r="G712" s="13">
        <v>0.873</v>
      </c>
      <c r="H712" t="s">
        <v>25</v>
      </c>
      <c r="I712">
        <v>1</v>
      </c>
      <c r="J712">
        <v>11</v>
      </c>
      <c r="K712" t="str">
        <f t="shared" ref="K712:K775" si="11">IF(AND(B712=C712,F712&lt;10,F712&gt;-10,I712&gt;0,G712&gt;90%,G712&lt;100%),"Retained","Filtered out")</f>
        <v>Filtered out</v>
      </c>
    </row>
    <row r="713" spans="1:11" x14ac:dyDescent="0.2">
      <c r="A713" t="s">
        <v>14051</v>
      </c>
      <c r="B713" t="s">
        <v>13337</v>
      </c>
      <c r="C713" t="s">
        <v>13337</v>
      </c>
      <c r="D713">
        <v>508</v>
      </c>
      <c r="E713">
        <v>556</v>
      </c>
      <c r="F713">
        <v>-8</v>
      </c>
      <c r="G713" s="13">
        <v>0.95299999999999996</v>
      </c>
      <c r="H713" t="s">
        <v>25</v>
      </c>
      <c r="I713">
        <v>1</v>
      </c>
      <c r="J713">
        <v>149</v>
      </c>
      <c r="K713" t="str">
        <f t="shared" si="11"/>
        <v>Retained</v>
      </c>
    </row>
    <row r="714" spans="1:11" x14ac:dyDescent="0.2">
      <c r="A714" t="s">
        <v>14052</v>
      </c>
      <c r="B714" t="s">
        <v>13265</v>
      </c>
      <c r="C714" t="s">
        <v>13246</v>
      </c>
      <c r="D714">
        <v>181</v>
      </c>
      <c r="E714">
        <v>355</v>
      </c>
      <c r="F714">
        <v>-49</v>
      </c>
      <c r="G714" s="13">
        <v>0.98299999999999998</v>
      </c>
      <c r="H714" t="s">
        <v>70</v>
      </c>
      <c r="I714">
        <v>0</v>
      </c>
      <c r="J714" t="s">
        <v>190</v>
      </c>
      <c r="K714" t="str">
        <f t="shared" si="11"/>
        <v>Filtered out</v>
      </c>
    </row>
    <row r="715" spans="1:11" x14ac:dyDescent="0.2">
      <c r="A715" t="s">
        <v>14053</v>
      </c>
      <c r="B715" t="s">
        <v>13246</v>
      </c>
      <c r="C715" t="s">
        <v>13246</v>
      </c>
      <c r="D715">
        <v>163</v>
      </c>
      <c r="E715">
        <v>316</v>
      </c>
      <c r="F715">
        <v>-48</v>
      </c>
      <c r="G715" s="13">
        <v>0.96299999999999997</v>
      </c>
      <c r="H715" t="s">
        <v>70</v>
      </c>
      <c r="I715">
        <v>0</v>
      </c>
      <c r="J715" t="s">
        <v>190</v>
      </c>
      <c r="K715" t="str">
        <f t="shared" si="11"/>
        <v>Filtered out</v>
      </c>
    </row>
    <row r="716" spans="1:11" x14ac:dyDescent="0.2">
      <c r="A716" t="s">
        <v>14054</v>
      </c>
      <c r="B716" t="s">
        <v>13248</v>
      </c>
      <c r="C716" t="s">
        <v>13418</v>
      </c>
      <c r="D716">
        <v>1021</v>
      </c>
      <c r="E716">
        <v>1066</v>
      </c>
      <c r="F716">
        <v>-4</v>
      </c>
      <c r="G716" s="13">
        <v>0.95</v>
      </c>
      <c r="H716" t="s">
        <v>25</v>
      </c>
      <c r="I716">
        <v>1</v>
      </c>
      <c r="J716">
        <v>2</v>
      </c>
      <c r="K716" t="str">
        <f t="shared" si="11"/>
        <v>Filtered out</v>
      </c>
    </row>
    <row r="717" spans="1:11" x14ac:dyDescent="0.2">
      <c r="A717" t="s">
        <v>14055</v>
      </c>
      <c r="B717" t="s">
        <v>13246</v>
      </c>
      <c r="C717" t="s">
        <v>13246</v>
      </c>
      <c r="D717">
        <v>4267</v>
      </c>
      <c r="E717">
        <v>4270</v>
      </c>
      <c r="F717">
        <v>0</v>
      </c>
      <c r="G717" s="13">
        <v>0.98199999999999998</v>
      </c>
      <c r="H717" t="s">
        <v>25</v>
      </c>
      <c r="I717">
        <v>1</v>
      </c>
      <c r="J717">
        <v>762</v>
      </c>
      <c r="K717" t="str">
        <f t="shared" si="11"/>
        <v>Retained</v>
      </c>
    </row>
    <row r="718" spans="1:11" x14ac:dyDescent="0.2">
      <c r="A718" t="s">
        <v>14056</v>
      </c>
      <c r="B718" t="s">
        <v>13385</v>
      </c>
      <c r="C718" t="s">
        <v>13246</v>
      </c>
      <c r="D718">
        <v>751</v>
      </c>
      <c r="E718">
        <v>1279</v>
      </c>
      <c r="F718">
        <v>-41</v>
      </c>
      <c r="G718" s="13">
        <v>0.90800000000000003</v>
      </c>
      <c r="H718" t="s">
        <v>25</v>
      </c>
      <c r="I718">
        <v>1</v>
      </c>
      <c r="J718">
        <v>137</v>
      </c>
      <c r="K718" t="str">
        <f t="shared" si="11"/>
        <v>Filtered out</v>
      </c>
    </row>
    <row r="719" spans="1:11" x14ac:dyDescent="0.2">
      <c r="A719" t="s">
        <v>14057</v>
      </c>
      <c r="B719" t="s">
        <v>13263</v>
      </c>
      <c r="C719" t="s">
        <v>13333</v>
      </c>
      <c r="D719">
        <v>832</v>
      </c>
      <c r="E719">
        <v>2227</v>
      </c>
      <c r="F719">
        <v>-62</v>
      </c>
      <c r="G719" s="13">
        <v>0.17599999999999999</v>
      </c>
      <c r="H719" t="s">
        <v>70</v>
      </c>
      <c r="I719">
        <v>0</v>
      </c>
      <c r="J719" t="s">
        <v>190</v>
      </c>
      <c r="K719" t="str">
        <f t="shared" si="11"/>
        <v>Filtered out</v>
      </c>
    </row>
    <row r="720" spans="1:11" x14ac:dyDescent="0.2">
      <c r="A720" t="s">
        <v>14058</v>
      </c>
      <c r="B720" t="s">
        <v>13368</v>
      </c>
      <c r="C720" t="s">
        <v>13412</v>
      </c>
      <c r="D720">
        <v>934</v>
      </c>
      <c r="E720">
        <v>1015</v>
      </c>
      <c r="F720">
        <v>-7</v>
      </c>
      <c r="G720" s="13">
        <v>0.997</v>
      </c>
      <c r="H720" t="s">
        <v>25</v>
      </c>
      <c r="I720">
        <v>1</v>
      </c>
      <c r="J720">
        <v>11</v>
      </c>
      <c r="K720" t="str">
        <f t="shared" si="11"/>
        <v>Filtered out</v>
      </c>
    </row>
    <row r="721" spans="1:11" x14ac:dyDescent="0.2">
      <c r="A721" t="s">
        <v>57</v>
      </c>
      <c r="B721" t="s">
        <v>13377</v>
      </c>
      <c r="C721" t="s">
        <v>13377</v>
      </c>
      <c r="D721">
        <v>973</v>
      </c>
      <c r="E721">
        <v>1000</v>
      </c>
      <c r="F721">
        <v>-2</v>
      </c>
      <c r="G721" s="13">
        <v>0.96099999999999997</v>
      </c>
      <c r="H721" t="s">
        <v>25</v>
      </c>
      <c r="I721">
        <v>1</v>
      </c>
      <c r="J721">
        <v>186</v>
      </c>
      <c r="K721" t="str">
        <f t="shared" si="11"/>
        <v>Retained</v>
      </c>
    </row>
    <row r="722" spans="1:11" x14ac:dyDescent="0.2">
      <c r="A722" t="s">
        <v>14059</v>
      </c>
      <c r="B722" t="s">
        <v>13263</v>
      </c>
      <c r="C722" t="s">
        <v>13726</v>
      </c>
      <c r="D722">
        <v>244</v>
      </c>
      <c r="E722">
        <v>475</v>
      </c>
      <c r="F722">
        <v>-48</v>
      </c>
      <c r="G722" s="13">
        <v>0.57999999999999996</v>
      </c>
      <c r="H722" t="s">
        <v>25</v>
      </c>
      <c r="I722">
        <v>2</v>
      </c>
      <c r="J722">
        <v>33</v>
      </c>
      <c r="K722" t="str">
        <f t="shared" si="11"/>
        <v>Filtered out</v>
      </c>
    </row>
    <row r="723" spans="1:11" x14ac:dyDescent="0.2">
      <c r="A723" t="s">
        <v>14060</v>
      </c>
      <c r="B723" t="s">
        <v>13726</v>
      </c>
      <c r="C723" t="s">
        <v>13726</v>
      </c>
      <c r="D723">
        <v>862</v>
      </c>
      <c r="E723">
        <v>1786</v>
      </c>
      <c r="F723">
        <v>-51</v>
      </c>
      <c r="G723" s="13">
        <v>0.97899999999999998</v>
      </c>
      <c r="H723" t="s">
        <v>25</v>
      </c>
      <c r="I723">
        <v>1</v>
      </c>
      <c r="J723">
        <v>179</v>
      </c>
      <c r="K723" t="str">
        <f t="shared" si="11"/>
        <v>Filtered out</v>
      </c>
    </row>
    <row r="724" spans="1:11" x14ac:dyDescent="0.2">
      <c r="A724" t="s">
        <v>14061</v>
      </c>
      <c r="B724" t="s">
        <v>13618</v>
      </c>
      <c r="C724" t="s">
        <v>13246</v>
      </c>
      <c r="D724">
        <v>6463</v>
      </c>
      <c r="E724">
        <v>6520</v>
      </c>
      <c r="F724">
        <v>0</v>
      </c>
      <c r="G724" s="13">
        <v>0.999</v>
      </c>
      <c r="H724" t="s">
        <v>25</v>
      </c>
      <c r="I724">
        <v>1</v>
      </c>
      <c r="J724">
        <v>3</v>
      </c>
      <c r="K724" t="str">
        <f t="shared" si="11"/>
        <v>Filtered out</v>
      </c>
    </row>
    <row r="725" spans="1:11" x14ac:dyDescent="0.2">
      <c r="A725" t="s">
        <v>14062</v>
      </c>
      <c r="B725" t="s">
        <v>13418</v>
      </c>
      <c r="C725" t="s">
        <v>14063</v>
      </c>
      <c r="D725">
        <v>478</v>
      </c>
      <c r="E725">
        <v>1147</v>
      </c>
      <c r="F725">
        <v>-58</v>
      </c>
      <c r="G725" s="13">
        <v>0.97499999999999998</v>
      </c>
      <c r="H725" t="s">
        <v>70</v>
      </c>
      <c r="I725">
        <v>0</v>
      </c>
      <c r="J725" t="s">
        <v>190</v>
      </c>
      <c r="K725" t="str">
        <f t="shared" si="11"/>
        <v>Filtered out</v>
      </c>
    </row>
    <row r="726" spans="1:11" x14ac:dyDescent="0.2">
      <c r="A726" t="s">
        <v>14064</v>
      </c>
      <c r="B726" t="s">
        <v>13265</v>
      </c>
      <c r="C726" t="s">
        <v>13265</v>
      </c>
      <c r="D726">
        <v>3670</v>
      </c>
      <c r="E726">
        <v>3673</v>
      </c>
      <c r="F726">
        <v>0</v>
      </c>
      <c r="G726" s="13">
        <v>0.93100000000000005</v>
      </c>
      <c r="H726" t="s">
        <v>25</v>
      </c>
      <c r="I726">
        <v>1</v>
      </c>
      <c r="J726">
        <v>830</v>
      </c>
      <c r="K726" t="str">
        <f t="shared" si="11"/>
        <v>Retained</v>
      </c>
    </row>
    <row r="727" spans="1:11" x14ac:dyDescent="0.2">
      <c r="A727" t="s">
        <v>14065</v>
      </c>
      <c r="B727" t="s">
        <v>13246</v>
      </c>
      <c r="C727" t="s">
        <v>13246</v>
      </c>
      <c r="D727">
        <v>2218</v>
      </c>
      <c r="E727">
        <v>2218</v>
      </c>
      <c r="F727">
        <v>0</v>
      </c>
      <c r="G727" s="13">
        <v>0.97299999999999998</v>
      </c>
      <c r="H727" t="s">
        <v>25</v>
      </c>
      <c r="I727">
        <v>1</v>
      </c>
      <c r="J727">
        <v>504</v>
      </c>
      <c r="K727" t="str">
        <f t="shared" si="11"/>
        <v>Retained</v>
      </c>
    </row>
    <row r="728" spans="1:11" x14ac:dyDescent="0.2">
      <c r="A728" t="s">
        <v>14066</v>
      </c>
      <c r="B728" t="s">
        <v>13618</v>
      </c>
      <c r="C728" t="s">
        <v>13618</v>
      </c>
      <c r="D728">
        <v>2941</v>
      </c>
      <c r="E728">
        <v>2941</v>
      </c>
      <c r="F728">
        <v>0</v>
      </c>
      <c r="G728" s="13">
        <v>0.97099999999999997</v>
      </c>
      <c r="H728" t="s">
        <v>25</v>
      </c>
      <c r="I728">
        <v>1</v>
      </c>
      <c r="J728">
        <v>234</v>
      </c>
      <c r="K728" t="str">
        <f t="shared" si="11"/>
        <v>Retained</v>
      </c>
    </row>
    <row r="729" spans="1:11" x14ac:dyDescent="0.2">
      <c r="A729" t="s">
        <v>14067</v>
      </c>
      <c r="B729" t="s">
        <v>13462</v>
      </c>
      <c r="C729" t="s">
        <v>13293</v>
      </c>
      <c r="D729">
        <v>5626</v>
      </c>
      <c r="E729">
        <v>12794</v>
      </c>
      <c r="F729">
        <v>-56</v>
      </c>
      <c r="G729" s="13">
        <v>0.19700000000000001</v>
      </c>
      <c r="H729" t="s">
        <v>25</v>
      </c>
      <c r="I729">
        <v>1</v>
      </c>
      <c r="J729">
        <v>1644</v>
      </c>
      <c r="K729" t="str">
        <f t="shared" si="11"/>
        <v>Filtered out</v>
      </c>
    </row>
    <row r="730" spans="1:11" x14ac:dyDescent="0.2">
      <c r="A730" t="s">
        <v>14068</v>
      </c>
      <c r="B730" t="s">
        <v>13831</v>
      </c>
      <c r="C730" t="s">
        <v>13246</v>
      </c>
      <c r="D730">
        <v>3874</v>
      </c>
      <c r="E730">
        <v>4048</v>
      </c>
      <c r="F730">
        <v>-4</v>
      </c>
      <c r="G730" s="13">
        <v>0.98099999999999998</v>
      </c>
      <c r="H730" t="s">
        <v>25</v>
      </c>
      <c r="I730">
        <v>1</v>
      </c>
      <c r="J730">
        <v>1092</v>
      </c>
      <c r="K730" t="str">
        <f t="shared" si="11"/>
        <v>Filtered out</v>
      </c>
    </row>
    <row r="731" spans="1:11" x14ac:dyDescent="0.2">
      <c r="A731" t="s">
        <v>14069</v>
      </c>
      <c r="B731" t="s">
        <v>13245</v>
      </c>
      <c r="C731" t="s">
        <v>13245</v>
      </c>
      <c r="D731">
        <v>3475</v>
      </c>
      <c r="E731">
        <v>3451</v>
      </c>
      <c r="F731">
        <v>0</v>
      </c>
      <c r="G731" s="13">
        <v>0.91100000000000003</v>
      </c>
      <c r="H731" t="s">
        <v>25</v>
      </c>
      <c r="I731">
        <v>3</v>
      </c>
      <c r="J731">
        <v>960</v>
      </c>
      <c r="K731" t="str">
        <f t="shared" si="11"/>
        <v>Retained</v>
      </c>
    </row>
    <row r="732" spans="1:11" x14ac:dyDescent="0.2">
      <c r="A732" t="s">
        <v>14070</v>
      </c>
      <c r="B732" t="s">
        <v>13360</v>
      </c>
      <c r="C732" t="s">
        <v>13246</v>
      </c>
      <c r="D732">
        <v>205</v>
      </c>
      <c r="E732">
        <v>535</v>
      </c>
      <c r="F732">
        <v>-61</v>
      </c>
      <c r="G732" s="13">
        <v>0.95599999999999996</v>
      </c>
      <c r="H732" t="s">
        <v>70</v>
      </c>
      <c r="I732">
        <v>0</v>
      </c>
      <c r="J732" t="s">
        <v>190</v>
      </c>
      <c r="K732" t="str">
        <f t="shared" si="11"/>
        <v>Filtered out</v>
      </c>
    </row>
    <row r="733" spans="1:11" x14ac:dyDescent="0.2">
      <c r="A733" t="s">
        <v>14071</v>
      </c>
      <c r="B733" t="s">
        <v>13333</v>
      </c>
      <c r="C733" t="s">
        <v>13333</v>
      </c>
      <c r="D733">
        <v>223</v>
      </c>
      <c r="E733">
        <v>223</v>
      </c>
      <c r="F733">
        <v>0</v>
      </c>
      <c r="G733" s="13">
        <v>0.91900000000000004</v>
      </c>
      <c r="H733" t="s">
        <v>70</v>
      </c>
      <c r="I733">
        <v>0</v>
      </c>
      <c r="J733" t="s">
        <v>190</v>
      </c>
      <c r="K733" t="str">
        <f t="shared" si="11"/>
        <v>Filtered out</v>
      </c>
    </row>
    <row r="734" spans="1:11" x14ac:dyDescent="0.2">
      <c r="A734" t="s">
        <v>14072</v>
      </c>
      <c r="B734" t="s">
        <v>13337</v>
      </c>
      <c r="C734" t="s">
        <v>13401</v>
      </c>
      <c r="D734">
        <v>1849</v>
      </c>
      <c r="E734">
        <v>1918</v>
      </c>
      <c r="F734">
        <v>-3</v>
      </c>
      <c r="G734" s="13">
        <v>0.96299999999999997</v>
      </c>
      <c r="H734" t="s">
        <v>25</v>
      </c>
      <c r="I734">
        <v>2</v>
      </c>
      <c r="J734">
        <v>295</v>
      </c>
      <c r="K734" t="str">
        <f t="shared" si="11"/>
        <v>Filtered out</v>
      </c>
    </row>
    <row r="735" spans="1:11" x14ac:dyDescent="0.2">
      <c r="A735" t="s">
        <v>14073</v>
      </c>
      <c r="B735" t="s">
        <v>13265</v>
      </c>
      <c r="C735" t="s">
        <v>13484</v>
      </c>
      <c r="D735">
        <v>328</v>
      </c>
      <c r="E735">
        <v>466</v>
      </c>
      <c r="F735">
        <v>-29</v>
      </c>
      <c r="G735" s="13">
        <v>0.88100000000000001</v>
      </c>
      <c r="H735" t="s">
        <v>70</v>
      </c>
      <c r="I735">
        <v>0</v>
      </c>
      <c r="J735" t="s">
        <v>190</v>
      </c>
      <c r="K735" t="str">
        <f t="shared" si="11"/>
        <v>Filtered out</v>
      </c>
    </row>
    <row r="736" spans="1:11" x14ac:dyDescent="0.2">
      <c r="A736" t="s">
        <v>14074</v>
      </c>
      <c r="B736" t="s">
        <v>13263</v>
      </c>
      <c r="C736" t="s">
        <v>13726</v>
      </c>
      <c r="D736">
        <v>1006</v>
      </c>
      <c r="E736">
        <v>1030</v>
      </c>
      <c r="F736">
        <v>-2</v>
      </c>
      <c r="G736" s="13">
        <v>0.80900000000000005</v>
      </c>
      <c r="H736" t="s">
        <v>25</v>
      </c>
      <c r="I736">
        <v>1</v>
      </c>
      <c r="J736">
        <v>314</v>
      </c>
      <c r="K736" t="str">
        <f t="shared" si="11"/>
        <v>Filtered out</v>
      </c>
    </row>
    <row r="737" spans="1:11" x14ac:dyDescent="0.2">
      <c r="A737" t="s">
        <v>14075</v>
      </c>
      <c r="B737" t="s">
        <v>13246</v>
      </c>
      <c r="C737" t="s">
        <v>13246</v>
      </c>
      <c r="D737">
        <v>2413</v>
      </c>
      <c r="E737">
        <v>2431</v>
      </c>
      <c r="F737">
        <v>0</v>
      </c>
      <c r="G737" s="13">
        <v>0.95099999999999996</v>
      </c>
      <c r="H737" t="s">
        <v>25</v>
      </c>
      <c r="I737">
        <v>1</v>
      </c>
      <c r="J737">
        <v>97</v>
      </c>
      <c r="K737" t="str">
        <f t="shared" si="11"/>
        <v>Retained</v>
      </c>
    </row>
    <row r="738" spans="1:11" x14ac:dyDescent="0.2">
      <c r="A738" t="s">
        <v>14076</v>
      </c>
      <c r="B738" t="s">
        <v>13246</v>
      </c>
      <c r="C738" t="s">
        <v>13246</v>
      </c>
      <c r="D738">
        <v>772</v>
      </c>
      <c r="E738">
        <v>784</v>
      </c>
      <c r="F738">
        <v>-1</v>
      </c>
      <c r="G738" s="13">
        <v>0.97699999999999998</v>
      </c>
      <c r="H738" t="s">
        <v>25</v>
      </c>
      <c r="I738">
        <v>1</v>
      </c>
      <c r="J738">
        <v>107</v>
      </c>
      <c r="K738" t="str">
        <f t="shared" si="11"/>
        <v>Retained</v>
      </c>
    </row>
    <row r="739" spans="1:11" x14ac:dyDescent="0.2">
      <c r="A739" t="s">
        <v>14077</v>
      </c>
      <c r="B739" t="s">
        <v>13831</v>
      </c>
      <c r="C739" t="s">
        <v>13263</v>
      </c>
      <c r="D739">
        <v>595</v>
      </c>
      <c r="E739">
        <v>940</v>
      </c>
      <c r="F739">
        <v>-36</v>
      </c>
      <c r="G739" s="13">
        <v>0.879</v>
      </c>
      <c r="H739" t="s">
        <v>25</v>
      </c>
      <c r="I739">
        <v>2</v>
      </c>
      <c r="J739">
        <v>83</v>
      </c>
      <c r="K739" t="str">
        <f t="shared" si="11"/>
        <v>Filtered out</v>
      </c>
    </row>
    <row r="740" spans="1:11" x14ac:dyDescent="0.2">
      <c r="A740" t="s">
        <v>14078</v>
      </c>
      <c r="B740" t="s">
        <v>13368</v>
      </c>
      <c r="C740" t="s">
        <v>13390</v>
      </c>
      <c r="D740">
        <v>259</v>
      </c>
      <c r="E740">
        <v>310</v>
      </c>
      <c r="F740">
        <v>-16</v>
      </c>
      <c r="G740" s="13">
        <v>1</v>
      </c>
      <c r="H740" t="s">
        <v>70</v>
      </c>
      <c r="I740">
        <v>0</v>
      </c>
      <c r="J740" t="s">
        <v>190</v>
      </c>
      <c r="K740" t="str">
        <f t="shared" si="11"/>
        <v>Filtered out</v>
      </c>
    </row>
    <row r="741" spans="1:11" x14ac:dyDescent="0.2">
      <c r="A741" t="s">
        <v>14079</v>
      </c>
      <c r="B741" t="s">
        <v>13318</v>
      </c>
      <c r="C741" t="s">
        <v>13246</v>
      </c>
      <c r="D741">
        <v>253</v>
      </c>
      <c r="E741">
        <v>498</v>
      </c>
      <c r="F741">
        <v>-49</v>
      </c>
      <c r="G741" s="13">
        <v>0.24399999999999999</v>
      </c>
      <c r="H741" t="s">
        <v>70</v>
      </c>
      <c r="I741">
        <v>0</v>
      </c>
      <c r="J741" t="s">
        <v>190</v>
      </c>
      <c r="K741" t="str">
        <f t="shared" si="11"/>
        <v>Filtered out</v>
      </c>
    </row>
    <row r="742" spans="1:11" x14ac:dyDescent="0.2">
      <c r="A742" t="s">
        <v>14080</v>
      </c>
      <c r="B742" t="s">
        <v>13452</v>
      </c>
      <c r="C742" t="s">
        <v>13452</v>
      </c>
      <c r="D742">
        <v>2830</v>
      </c>
      <c r="E742">
        <v>5831</v>
      </c>
      <c r="F742">
        <v>-51</v>
      </c>
      <c r="G742" s="13">
        <v>0.34899999999999998</v>
      </c>
      <c r="H742" t="s">
        <v>25</v>
      </c>
      <c r="I742">
        <v>12</v>
      </c>
      <c r="J742">
        <v>95</v>
      </c>
      <c r="K742" t="str">
        <f t="shared" si="11"/>
        <v>Filtered out</v>
      </c>
    </row>
    <row r="743" spans="1:11" x14ac:dyDescent="0.2">
      <c r="A743" t="s">
        <v>14081</v>
      </c>
      <c r="B743" t="s">
        <v>13312</v>
      </c>
      <c r="C743" t="s">
        <v>13312</v>
      </c>
      <c r="D743">
        <v>1471</v>
      </c>
      <c r="E743">
        <v>1528</v>
      </c>
      <c r="F743">
        <v>-3</v>
      </c>
      <c r="G743" s="13">
        <v>0.90700000000000003</v>
      </c>
      <c r="H743" t="s">
        <v>25</v>
      </c>
      <c r="I743">
        <v>1</v>
      </c>
      <c r="J743">
        <v>397</v>
      </c>
      <c r="K743" t="str">
        <f t="shared" si="11"/>
        <v>Retained</v>
      </c>
    </row>
    <row r="744" spans="1:11" x14ac:dyDescent="0.2">
      <c r="A744" t="s">
        <v>14082</v>
      </c>
      <c r="B744" t="s">
        <v>13263</v>
      </c>
      <c r="C744" t="s">
        <v>13263</v>
      </c>
      <c r="D744">
        <v>6850</v>
      </c>
      <c r="E744">
        <v>13045</v>
      </c>
      <c r="F744">
        <v>-47</v>
      </c>
      <c r="G744" s="13">
        <v>0.96499999999999997</v>
      </c>
      <c r="H744" t="s">
        <v>25</v>
      </c>
      <c r="I744">
        <v>1</v>
      </c>
      <c r="J744">
        <v>563</v>
      </c>
      <c r="K744" t="str">
        <f t="shared" si="11"/>
        <v>Filtered out</v>
      </c>
    </row>
    <row r="745" spans="1:11" x14ac:dyDescent="0.2">
      <c r="A745" t="s">
        <v>14083</v>
      </c>
      <c r="B745" t="s">
        <v>13312</v>
      </c>
      <c r="C745" t="s">
        <v>13246</v>
      </c>
      <c r="D745">
        <v>3187</v>
      </c>
      <c r="E745">
        <v>13387</v>
      </c>
      <c r="F745">
        <v>-76</v>
      </c>
      <c r="G745" s="13">
        <v>0.98299999999999998</v>
      </c>
      <c r="H745" t="s">
        <v>70</v>
      </c>
      <c r="I745">
        <v>0</v>
      </c>
      <c r="J745" t="s">
        <v>190</v>
      </c>
      <c r="K745" t="str">
        <f t="shared" si="11"/>
        <v>Filtered out</v>
      </c>
    </row>
    <row r="746" spans="1:11" x14ac:dyDescent="0.2">
      <c r="A746" t="s">
        <v>14084</v>
      </c>
      <c r="B746" t="s">
        <v>13618</v>
      </c>
      <c r="C746" t="s">
        <v>13246</v>
      </c>
      <c r="D746">
        <v>2023</v>
      </c>
      <c r="E746">
        <v>2206</v>
      </c>
      <c r="F746">
        <v>-8</v>
      </c>
      <c r="G746" s="13">
        <v>0.999</v>
      </c>
      <c r="H746" t="s">
        <v>25</v>
      </c>
      <c r="I746">
        <v>1</v>
      </c>
      <c r="J746">
        <v>4</v>
      </c>
      <c r="K746" t="str">
        <f t="shared" si="11"/>
        <v>Filtered out</v>
      </c>
    </row>
    <row r="747" spans="1:11" x14ac:dyDescent="0.2">
      <c r="A747" t="s">
        <v>14085</v>
      </c>
      <c r="B747" t="s">
        <v>14086</v>
      </c>
      <c r="C747" t="s">
        <v>13501</v>
      </c>
      <c r="D747">
        <v>1669</v>
      </c>
      <c r="E747">
        <v>2752</v>
      </c>
      <c r="F747">
        <v>-39</v>
      </c>
      <c r="G747" s="13">
        <v>0.96199999999999997</v>
      </c>
      <c r="H747" t="s">
        <v>25</v>
      </c>
      <c r="I747">
        <v>1</v>
      </c>
      <c r="J747">
        <v>424</v>
      </c>
      <c r="K747" t="str">
        <f t="shared" si="11"/>
        <v>Filtered out</v>
      </c>
    </row>
    <row r="748" spans="1:11" x14ac:dyDescent="0.2">
      <c r="A748" t="s">
        <v>14087</v>
      </c>
      <c r="B748" t="s">
        <v>13245</v>
      </c>
      <c r="C748" t="s">
        <v>13246</v>
      </c>
      <c r="D748">
        <v>520</v>
      </c>
      <c r="E748">
        <v>2121</v>
      </c>
      <c r="F748">
        <v>-75</v>
      </c>
      <c r="G748" s="13">
        <v>0.98299999999999998</v>
      </c>
      <c r="H748" t="s">
        <v>70</v>
      </c>
      <c r="I748">
        <v>0</v>
      </c>
      <c r="J748" t="s">
        <v>190</v>
      </c>
      <c r="K748" t="str">
        <f t="shared" si="11"/>
        <v>Filtered out</v>
      </c>
    </row>
    <row r="749" spans="1:11" x14ac:dyDescent="0.2">
      <c r="A749" t="s">
        <v>14088</v>
      </c>
      <c r="B749" t="s">
        <v>13295</v>
      </c>
      <c r="C749" t="s">
        <v>13297</v>
      </c>
      <c r="D749">
        <v>1603</v>
      </c>
      <c r="E749">
        <v>2125</v>
      </c>
      <c r="F749">
        <v>-24</v>
      </c>
      <c r="G749" s="13">
        <v>0.92800000000000005</v>
      </c>
      <c r="H749" t="s">
        <v>25</v>
      </c>
      <c r="I749">
        <v>1</v>
      </c>
      <c r="J749">
        <v>367</v>
      </c>
      <c r="K749" t="str">
        <f t="shared" si="11"/>
        <v>Filtered out</v>
      </c>
    </row>
    <row r="750" spans="1:11" x14ac:dyDescent="0.2">
      <c r="A750" t="s">
        <v>14089</v>
      </c>
      <c r="B750" t="s">
        <v>13377</v>
      </c>
      <c r="C750" t="s">
        <v>13246</v>
      </c>
      <c r="D750">
        <v>406</v>
      </c>
      <c r="E750">
        <v>1579</v>
      </c>
      <c r="F750">
        <v>-74</v>
      </c>
      <c r="G750" s="13">
        <v>0.97799999999999998</v>
      </c>
      <c r="H750" t="s">
        <v>70</v>
      </c>
      <c r="I750">
        <v>0</v>
      </c>
      <c r="J750" t="s">
        <v>190</v>
      </c>
      <c r="K750" t="str">
        <f t="shared" si="11"/>
        <v>Filtered out</v>
      </c>
    </row>
    <row r="751" spans="1:11" x14ac:dyDescent="0.2">
      <c r="A751" t="s">
        <v>14090</v>
      </c>
      <c r="B751" t="s">
        <v>13295</v>
      </c>
      <c r="C751" t="s">
        <v>13246</v>
      </c>
      <c r="D751">
        <v>298</v>
      </c>
      <c r="E751">
        <v>1547</v>
      </c>
      <c r="F751">
        <v>-80</v>
      </c>
      <c r="G751" s="13">
        <v>0.51800000000000002</v>
      </c>
      <c r="H751" t="s">
        <v>70</v>
      </c>
      <c r="I751">
        <v>0</v>
      </c>
      <c r="J751" t="s">
        <v>190</v>
      </c>
      <c r="K751" t="str">
        <f t="shared" si="11"/>
        <v>Filtered out</v>
      </c>
    </row>
    <row r="752" spans="1:11" x14ac:dyDescent="0.2">
      <c r="A752" t="s">
        <v>14091</v>
      </c>
      <c r="B752" t="s">
        <v>13462</v>
      </c>
      <c r="C752" t="s">
        <v>13265</v>
      </c>
      <c r="D752">
        <v>715</v>
      </c>
      <c r="E752">
        <v>1714</v>
      </c>
      <c r="F752">
        <v>-58</v>
      </c>
      <c r="G752" s="13">
        <v>0.24099999999999999</v>
      </c>
      <c r="H752" t="s">
        <v>25</v>
      </c>
      <c r="I752">
        <v>1</v>
      </c>
      <c r="J752">
        <v>43</v>
      </c>
      <c r="K752" t="str">
        <f t="shared" si="11"/>
        <v>Filtered out</v>
      </c>
    </row>
    <row r="753" spans="1:11" x14ac:dyDescent="0.2">
      <c r="A753" t="s">
        <v>14092</v>
      </c>
      <c r="B753" t="s">
        <v>13711</v>
      </c>
      <c r="C753" t="s">
        <v>13711</v>
      </c>
      <c r="D753">
        <v>1000</v>
      </c>
      <c r="E753">
        <v>1003</v>
      </c>
      <c r="F753">
        <v>0</v>
      </c>
      <c r="G753" s="13">
        <v>0.92800000000000005</v>
      </c>
      <c r="H753" t="s">
        <v>25</v>
      </c>
      <c r="I753">
        <v>2</v>
      </c>
      <c r="J753">
        <v>195</v>
      </c>
      <c r="K753" t="str">
        <f t="shared" si="11"/>
        <v>Retained</v>
      </c>
    </row>
    <row r="754" spans="1:11" x14ac:dyDescent="0.2">
      <c r="A754" t="s">
        <v>14093</v>
      </c>
      <c r="B754" t="s">
        <v>13397</v>
      </c>
      <c r="C754" t="s">
        <v>13369</v>
      </c>
      <c r="D754">
        <v>454</v>
      </c>
      <c r="E754">
        <v>697</v>
      </c>
      <c r="F754">
        <v>-34</v>
      </c>
      <c r="G754" s="13">
        <v>0.61699999999999999</v>
      </c>
      <c r="H754" t="s">
        <v>25</v>
      </c>
      <c r="I754">
        <v>1</v>
      </c>
      <c r="J754">
        <v>49</v>
      </c>
      <c r="K754" t="str">
        <f t="shared" si="11"/>
        <v>Filtered out</v>
      </c>
    </row>
    <row r="755" spans="1:11" x14ac:dyDescent="0.2">
      <c r="A755" t="s">
        <v>14094</v>
      </c>
      <c r="B755" t="s">
        <v>13495</v>
      </c>
      <c r="C755" t="s">
        <v>13831</v>
      </c>
      <c r="D755">
        <v>4717</v>
      </c>
      <c r="E755">
        <v>6358</v>
      </c>
      <c r="F755">
        <v>-25</v>
      </c>
      <c r="G755" s="13">
        <v>0.997</v>
      </c>
      <c r="H755" t="s">
        <v>25</v>
      </c>
      <c r="I755">
        <v>1</v>
      </c>
      <c r="J755">
        <v>820</v>
      </c>
      <c r="K755" t="str">
        <f t="shared" si="11"/>
        <v>Filtered out</v>
      </c>
    </row>
    <row r="756" spans="1:11" x14ac:dyDescent="0.2">
      <c r="A756" t="s">
        <v>14095</v>
      </c>
      <c r="B756" t="s">
        <v>13312</v>
      </c>
      <c r="C756" t="s">
        <v>13484</v>
      </c>
      <c r="D756">
        <v>2377</v>
      </c>
      <c r="E756">
        <v>6103</v>
      </c>
      <c r="F756">
        <v>-61</v>
      </c>
      <c r="G756" s="13">
        <v>0.95899999999999996</v>
      </c>
      <c r="H756" t="s">
        <v>25</v>
      </c>
      <c r="I756">
        <v>2</v>
      </c>
      <c r="J756">
        <v>196</v>
      </c>
      <c r="K756" t="str">
        <f t="shared" si="11"/>
        <v>Filtered out</v>
      </c>
    </row>
    <row r="757" spans="1:11" x14ac:dyDescent="0.2">
      <c r="A757" t="s">
        <v>14096</v>
      </c>
      <c r="B757" t="s">
        <v>13252</v>
      </c>
      <c r="C757" t="s">
        <v>13252</v>
      </c>
      <c r="D757">
        <v>6121</v>
      </c>
      <c r="E757">
        <v>6120</v>
      </c>
      <c r="F757">
        <v>0</v>
      </c>
      <c r="G757" s="13">
        <v>0.97299999999999998</v>
      </c>
      <c r="H757" t="s">
        <v>25</v>
      </c>
      <c r="I757">
        <v>1</v>
      </c>
      <c r="J757">
        <v>544</v>
      </c>
      <c r="K757" t="str">
        <f t="shared" si="11"/>
        <v>Retained</v>
      </c>
    </row>
    <row r="758" spans="1:11" x14ac:dyDescent="0.2">
      <c r="A758" t="s">
        <v>14097</v>
      </c>
      <c r="B758" t="s">
        <v>13466</v>
      </c>
      <c r="C758" t="s">
        <v>13246</v>
      </c>
      <c r="D758">
        <v>1243</v>
      </c>
      <c r="E758">
        <v>1273</v>
      </c>
      <c r="F758">
        <v>-2</v>
      </c>
      <c r="G758" s="13">
        <v>0.85499999999999998</v>
      </c>
      <c r="H758" t="s">
        <v>25</v>
      </c>
      <c r="I758">
        <v>1</v>
      </c>
      <c r="J758">
        <v>370</v>
      </c>
      <c r="K758" t="str">
        <f t="shared" si="11"/>
        <v>Filtered out</v>
      </c>
    </row>
    <row r="759" spans="1:11" x14ac:dyDescent="0.2">
      <c r="A759" t="s">
        <v>14098</v>
      </c>
      <c r="B759" t="s">
        <v>13418</v>
      </c>
      <c r="C759" t="s">
        <v>13246</v>
      </c>
      <c r="D759">
        <v>163</v>
      </c>
      <c r="E759">
        <v>313</v>
      </c>
      <c r="F759">
        <v>-47</v>
      </c>
      <c r="G759" s="13">
        <v>1</v>
      </c>
      <c r="H759" t="s">
        <v>70</v>
      </c>
      <c r="I759">
        <v>0</v>
      </c>
      <c r="J759" t="s">
        <v>190</v>
      </c>
      <c r="K759" t="str">
        <f t="shared" si="11"/>
        <v>Filtered out</v>
      </c>
    </row>
    <row r="760" spans="1:11" x14ac:dyDescent="0.2">
      <c r="A760" t="s">
        <v>14099</v>
      </c>
      <c r="B760" t="s">
        <v>13385</v>
      </c>
      <c r="C760" t="s">
        <v>13246</v>
      </c>
      <c r="D760">
        <v>184</v>
      </c>
      <c r="E760">
        <v>529</v>
      </c>
      <c r="F760">
        <v>-65</v>
      </c>
      <c r="G760" s="13">
        <v>0.83599999999999997</v>
      </c>
      <c r="H760" t="s">
        <v>25</v>
      </c>
      <c r="I760">
        <v>1</v>
      </c>
      <c r="J760">
        <v>38</v>
      </c>
      <c r="K760" t="str">
        <f t="shared" si="11"/>
        <v>Filtered out</v>
      </c>
    </row>
    <row r="761" spans="1:11" x14ac:dyDescent="0.2">
      <c r="A761" t="s">
        <v>14100</v>
      </c>
      <c r="B761" t="s">
        <v>13246</v>
      </c>
      <c r="C761" t="s">
        <v>13246</v>
      </c>
      <c r="D761">
        <v>1042</v>
      </c>
      <c r="E761">
        <v>1045</v>
      </c>
      <c r="F761">
        <v>0</v>
      </c>
      <c r="G761" s="13">
        <v>0.9</v>
      </c>
      <c r="H761" t="s">
        <v>25</v>
      </c>
      <c r="I761">
        <v>1</v>
      </c>
      <c r="J761">
        <v>165</v>
      </c>
      <c r="K761" t="str">
        <f t="shared" si="11"/>
        <v>Filtered out</v>
      </c>
    </row>
    <row r="762" spans="1:11" x14ac:dyDescent="0.2">
      <c r="A762" t="s">
        <v>14101</v>
      </c>
      <c r="B762" t="s">
        <v>13304</v>
      </c>
      <c r="C762" t="s">
        <v>13450</v>
      </c>
      <c r="D762">
        <v>2137</v>
      </c>
      <c r="E762">
        <v>2176</v>
      </c>
      <c r="F762">
        <v>-1</v>
      </c>
      <c r="G762" s="13">
        <v>0.997</v>
      </c>
      <c r="H762" t="s">
        <v>25</v>
      </c>
      <c r="I762">
        <v>1</v>
      </c>
      <c r="J762">
        <v>5</v>
      </c>
      <c r="K762" t="str">
        <f t="shared" si="11"/>
        <v>Filtered out</v>
      </c>
    </row>
    <row r="763" spans="1:11" x14ac:dyDescent="0.2">
      <c r="A763" t="s">
        <v>14102</v>
      </c>
      <c r="B763" t="s">
        <v>13418</v>
      </c>
      <c r="C763" t="s">
        <v>13543</v>
      </c>
      <c r="D763">
        <v>3007</v>
      </c>
      <c r="E763">
        <v>4225</v>
      </c>
      <c r="F763">
        <v>-28</v>
      </c>
      <c r="G763" s="13">
        <v>0.96399999999999997</v>
      </c>
      <c r="H763" t="s">
        <v>25</v>
      </c>
      <c r="I763">
        <v>1</v>
      </c>
      <c r="J763">
        <v>791</v>
      </c>
      <c r="K763" t="str">
        <f t="shared" si="11"/>
        <v>Filtered out</v>
      </c>
    </row>
    <row r="764" spans="1:11" x14ac:dyDescent="0.2">
      <c r="A764" t="s">
        <v>14103</v>
      </c>
      <c r="B764" t="s">
        <v>13418</v>
      </c>
      <c r="C764" t="s">
        <v>13418</v>
      </c>
      <c r="D764">
        <v>1042</v>
      </c>
      <c r="E764">
        <v>1039</v>
      </c>
      <c r="F764">
        <v>0</v>
      </c>
      <c r="G764" s="13">
        <v>0.94799999999999995</v>
      </c>
      <c r="H764" t="s">
        <v>25</v>
      </c>
      <c r="I764">
        <v>1</v>
      </c>
      <c r="J764">
        <v>71</v>
      </c>
      <c r="K764" t="str">
        <f t="shared" si="11"/>
        <v>Retained</v>
      </c>
    </row>
    <row r="765" spans="1:11" x14ac:dyDescent="0.2">
      <c r="A765" t="s">
        <v>14104</v>
      </c>
      <c r="B765" t="s">
        <v>13265</v>
      </c>
      <c r="C765" t="s">
        <v>13268</v>
      </c>
      <c r="D765">
        <v>907</v>
      </c>
      <c r="E765">
        <v>1486</v>
      </c>
      <c r="F765">
        <v>-38</v>
      </c>
      <c r="G765" s="13">
        <v>0.93700000000000006</v>
      </c>
      <c r="H765" t="s">
        <v>25</v>
      </c>
      <c r="I765">
        <v>1</v>
      </c>
      <c r="J765">
        <v>119</v>
      </c>
      <c r="K765" t="str">
        <f t="shared" si="11"/>
        <v>Filtered out</v>
      </c>
    </row>
    <row r="766" spans="1:11" x14ac:dyDescent="0.2">
      <c r="A766" t="s">
        <v>14105</v>
      </c>
      <c r="B766" t="s">
        <v>14106</v>
      </c>
      <c r="C766" t="s">
        <v>13726</v>
      </c>
      <c r="D766">
        <v>67</v>
      </c>
      <c r="E766">
        <v>109</v>
      </c>
      <c r="F766">
        <v>-38</v>
      </c>
      <c r="G766" s="13">
        <v>1</v>
      </c>
      <c r="H766" t="s">
        <v>70</v>
      </c>
      <c r="I766">
        <v>0</v>
      </c>
      <c r="J766" t="s">
        <v>190</v>
      </c>
      <c r="K766" t="str">
        <f t="shared" si="11"/>
        <v>Filtered out</v>
      </c>
    </row>
    <row r="767" spans="1:11" x14ac:dyDescent="0.2">
      <c r="A767" t="s">
        <v>3</v>
      </c>
      <c r="B767" t="s">
        <v>13246</v>
      </c>
      <c r="C767" t="s">
        <v>13246</v>
      </c>
      <c r="D767">
        <v>1819</v>
      </c>
      <c r="E767">
        <v>1834</v>
      </c>
      <c r="F767">
        <v>0</v>
      </c>
      <c r="G767" s="13">
        <v>0.98499999999999999</v>
      </c>
      <c r="H767" t="s">
        <v>25</v>
      </c>
      <c r="I767">
        <v>1</v>
      </c>
      <c r="J767">
        <v>351</v>
      </c>
      <c r="K767" t="str">
        <f t="shared" si="11"/>
        <v>Retained</v>
      </c>
    </row>
    <row r="768" spans="1:11" x14ac:dyDescent="0.2">
      <c r="A768" t="s">
        <v>14108</v>
      </c>
      <c r="B768" t="s">
        <v>13246</v>
      </c>
      <c r="C768" t="s">
        <v>13246</v>
      </c>
      <c r="D768">
        <v>418</v>
      </c>
      <c r="E768">
        <v>418</v>
      </c>
      <c r="F768">
        <v>0</v>
      </c>
      <c r="G768" s="13">
        <v>0.90600000000000003</v>
      </c>
      <c r="H768" t="s">
        <v>25</v>
      </c>
      <c r="I768">
        <v>1</v>
      </c>
      <c r="J768">
        <v>60</v>
      </c>
      <c r="K768" t="str">
        <f t="shared" si="11"/>
        <v>Retained</v>
      </c>
    </row>
    <row r="769" spans="1:11" x14ac:dyDescent="0.2">
      <c r="A769" t="s">
        <v>14109</v>
      </c>
      <c r="B769" t="s">
        <v>13255</v>
      </c>
      <c r="C769" t="s">
        <v>13246</v>
      </c>
      <c r="D769">
        <v>985</v>
      </c>
      <c r="E769">
        <v>1075</v>
      </c>
      <c r="F769">
        <v>-8</v>
      </c>
      <c r="G769" s="13">
        <v>0.95099999999999996</v>
      </c>
      <c r="H769" t="s">
        <v>25</v>
      </c>
      <c r="I769">
        <v>1</v>
      </c>
      <c r="J769">
        <v>272</v>
      </c>
      <c r="K769" t="str">
        <f t="shared" si="11"/>
        <v>Filtered out</v>
      </c>
    </row>
    <row r="770" spans="1:11" x14ac:dyDescent="0.2">
      <c r="A770" t="s">
        <v>14110</v>
      </c>
      <c r="B770" t="s">
        <v>13318</v>
      </c>
      <c r="C770" t="s">
        <v>13246</v>
      </c>
      <c r="D770">
        <v>1030</v>
      </c>
      <c r="E770">
        <v>1117</v>
      </c>
      <c r="F770">
        <v>-7</v>
      </c>
      <c r="G770" s="13">
        <v>0.92200000000000004</v>
      </c>
      <c r="H770" t="s">
        <v>25</v>
      </c>
      <c r="I770">
        <v>2</v>
      </c>
      <c r="J770">
        <v>307</v>
      </c>
      <c r="K770" t="str">
        <f t="shared" si="11"/>
        <v>Filtered out</v>
      </c>
    </row>
    <row r="771" spans="1:11" x14ac:dyDescent="0.2">
      <c r="A771" t="s">
        <v>14111</v>
      </c>
      <c r="B771" t="s">
        <v>13385</v>
      </c>
      <c r="C771" t="s">
        <v>13385</v>
      </c>
      <c r="D771">
        <v>1723</v>
      </c>
      <c r="E771">
        <v>1723</v>
      </c>
      <c r="F771">
        <v>0</v>
      </c>
      <c r="G771" s="13">
        <v>0.94299999999999995</v>
      </c>
      <c r="H771" t="s">
        <v>25</v>
      </c>
      <c r="I771">
        <v>1</v>
      </c>
      <c r="J771">
        <v>447</v>
      </c>
      <c r="K771" t="str">
        <f t="shared" si="11"/>
        <v>Retained</v>
      </c>
    </row>
    <row r="772" spans="1:11" x14ac:dyDescent="0.2">
      <c r="A772" t="s">
        <v>14112</v>
      </c>
      <c r="B772" t="s">
        <v>13314</v>
      </c>
      <c r="C772" t="s">
        <v>13314</v>
      </c>
      <c r="D772">
        <v>1129</v>
      </c>
      <c r="E772">
        <v>2138</v>
      </c>
      <c r="F772">
        <v>-47</v>
      </c>
      <c r="G772" s="13">
        <v>0.91800000000000004</v>
      </c>
      <c r="H772" t="s">
        <v>25</v>
      </c>
      <c r="I772">
        <v>1</v>
      </c>
      <c r="J772">
        <v>370</v>
      </c>
      <c r="K772" t="str">
        <f t="shared" si="11"/>
        <v>Filtered out</v>
      </c>
    </row>
    <row r="773" spans="1:11" x14ac:dyDescent="0.2">
      <c r="A773" t="s">
        <v>14113</v>
      </c>
      <c r="B773" t="s">
        <v>14114</v>
      </c>
      <c r="C773" t="s">
        <v>13287</v>
      </c>
      <c r="D773">
        <v>1969</v>
      </c>
      <c r="E773">
        <v>2635</v>
      </c>
      <c r="F773">
        <v>-25</v>
      </c>
      <c r="G773" s="13">
        <v>0.98499999999999999</v>
      </c>
      <c r="H773" t="s">
        <v>25</v>
      </c>
      <c r="I773">
        <v>1</v>
      </c>
      <c r="J773">
        <v>482</v>
      </c>
      <c r="K773" t="str">
        <f t="shared" si="11"/>
        <v>Filtered out</v>
      </c>
    </row>
    <row r="774" spans="1:11" x14ac:dyDescent="0.2">
      <c r="A774" t="s">
        <v>14115</v>
      </c>
      <c r="B774" t="s">
        <v>13369</v>
      </c>
      <c r="C774" t="s">
        <v>13246</v>
      </c>
      <c r="D774">
        <v>217</v>
      </c>
      <c r="E774">
        <v>703</v>
      </c>
      <c r="F774">
        <v>-69</v>
      </c>
      <c r="G774" s="13">
        <v>0.94399999999999995</v>
      </c>
      <c r="H774" t="s">
        <v>70</v>
      </c>
      <c r="I774">
        <v>0</v>
      </c>
      <c r="J774" t="s">
        <v>190</v>
      </c>
      <c r="K774" t="str">
        <f t="shared" si="11"/>
        <v>Filtered out</v>
      </c>
    </row>
    <row r="775" spans="1:11" x14ac:dyDescent="0.2">
      <c r="A775" t="s">
        <v>14116</v>
      </c>
      <c r="B775" t="s">
        <v>13265</v>
      </c>
      <c r="C775" t="s">
        <v>13246</v>
      </c>
      <c r="D775">
        <v>199</v>
      </c>
      <c r="E775">
        <v>394</v>
      </c>
      <c r="F775">
        <v>-49</v>
      </c>
      <c r="G775" s="13">
        <v>0.97</v>
      </c>
      <c r="H775" t="s">
        <v>70</v>
      </c>
      <c r="I775">
        <v>0</v>
      </c>
      <c r="J775" t="s">
        <v>190</v>
      </c>
      <c r="K775" t="str">
        <f t="shared" si="11"/>
        <v>Filtered out</v>
      </c>
    </row>
    <row r="776" spans="1:11" x14ac:dyDescent="0.2">
      <c r="A776" t="s">
        <v>14117</v>
      </c>
      <c r="B776" t="s">
        <v>13458</v>
      </c>
      <c r="C776" t="s">
        <v>13410</v>
      </c>
      <c r="D776">
        <v>1165</v>
      </c>
      <c r="E776">
        <v>1369</v>
      </c>
      <c r="F776">
        <v>-14</v>
      </c>
      <c r="G776" s="13">
        <v>0.91500000000000004</v>
      </c>
      <c r="H776" t="s">
        <v>25</v>
      </c>
      <c r="I776">
        <v>1</v>
      </c>
      <c r="J776">
        <v>263</v>
      </c>
      <c r="K776" t="str">
        <f t="shared" ref="K776:K839" si="12">IF(AND(B776=C776,F776&lt;10,F776&gt;-10,I776&gt;0,G776&gt;90%,G776&lt;100%),"Retained","Filtered out")</f>
        <v>Filtered out</v>
      </c>
    </row>
    <row r="777" spans="1:11" x14ac:dyDescent="0.2">
      <c r="A777" t="s">
        <v>14118</v>
      </c>
      <c r="B777" t="s">
        <v>13308</v>
      </c>
      <c r="C777" t="s">
        <v>13246</v>
      </c>
      <c r="D777">
        <v>118</v>
      </c>
      <c r="E777">
        <v>238</v>
      </c>
      <c r="F777">
        <v>-50</v>
      </c>
      <c r="G777" s="13">
        <v>0.94899999999999995</v>
      </c>
      <c r="H777" t="s">
        <v>70</v>
      </c>
      <c r="I777">
        <v>0</v>
      </c>
      <c r="J777" t="s">
        <v>190</v>
      </c>
      <c r="K777" t="str">
        <f t="shared" si="12"/>
        <v>Filtered out</v>
      </c>
    </row>
    <row r="778" spans="1:11" x14ac:dyDescent="0.2">
      <c r="A778" t="s">
        <v>14119</v>
      </c>
      <c r="B778" t="s">
        <v>13246</v>
      </c>
      <c r="C778" t="s">
        <v>13246</v>
      </c>
      <c r="D778">
        <v>160</v>
      </c>
      <c r="E778">
        <v>1051</v>
      </c>
      <c r="F778">
        <v>-84</v>
      </c>
      <c r="G778" s="13">
        <v>1</v>
      </c>
      <c r="H778" t="s">
        <v>70</v>
      </c>
      <c r="I778">
        <v>0</v>
      </c>
      <c r="J778" t="s">
        <v>190</v>
      </c>
      <c r="K778" t="str">
        <f t="shared" si="12"/>
        <v>Filtered out</v>
      </c>
    </row>
    <row r="779" spans="1:11" x14ac:dyDescent="0.2">
      <c r="A779" t="s">
        <v>14120</v>
      </c>
      <c r="B779" t="s">
        <v>13458</v>
      </c>
      <c r="C779" t="s">
        <v>13295</v>
      </c>
      <c r="D779">
        <v>481</v>
      </c>
      <c r="E779">
        <v>1141</v>
      </c>
      <c r="F779">
        <v>-57</v>
      </c>
      <c r="G779" s="13">
        <v>0.89600000000000002</v>
      </c>
      <c r="H779" t="s">
        <v>70</v>
      </c>
      <c r="I779">
        <v>0</v>
      </c>
      <c r="J779" t="s">
        <v>190</v>
      </c>
      <c r="K779" t="str">
        <f t="shared" si="12"/>
        <v>Filtered out</v>
      </c>
    </row>
    <row r="780" spans="1:11" x14ac:dyDescent="0.2">
      <c r="A780" t="s">
        <v>14121</v>
      </c>
      <c r="B780" t="s">
        <v>13270</v>
      </c>
      <c r="C780" t="s">
        <v>13270</v>
      </c>
      <c r="D780">
        <v>1057</v>
      </c>
      <c r="E780">
        <v>1057</v>
      </c>
      <c r="F780">
        <v>0</v>
      </c>
      <c r="G780" s="13">
        <v>0.93200000000000005</v>
      </c>
      <c r="H780" t="s">
        <v>25</v>
      </c>
      <c r="I780">
        <v>2</v>
      </c>
      <c r="J780">
        <v>210</v>
      </c>
      <c r="K780" t="str">
        <f t="shared" si="12"/>
        <v>Retained</v>
      </c>
    </row>
    <row r="781" spans="1:11" x14ac:dyDescent="0.2">
      <c r="A781" t="s">
        <v>14122</v>
      </c>
      <c r="B781" t="s">
        <v>14123</v>
      </c>
      <c r="C781" t="s">
        <v>13246</v>
      </c>
      <c r="D781">
        <v>3250</v>
      </c>
      <c r="E781">
        <v>3280</v>
      </c>
      <c r="F781">
        <v>0</v>
      </c>
      <c r="G781" s="13">
        <v>0.98699999999999999</v>
      </c>
      <c r="H781" t="s">
        <v>25</v>
      </c>
      <c r="I781">
        <v>3</v>
      </c>
      <c r="J781">
        <v>187</v>
      </c>
      <c r="K781" t="str">
        <f t="shared" si="12"/>
        <v>Filtered out</v>
      </c>
    </row>
    <row r="782" spans="1:11" x14ac:dyDescent="0.2">
      <c r="A782" t="s">
        <v>14124</v>
      </c>
      <c r="B782" t="s">
        <v>13263</v>
      </c>
      <c r="C782" t="s">
        <v>13346</v>
      </c>
      <c r="D782">
        <v>1357</v>
      </c>
      <c r="E782">
        <v>1357</v>
      </c>
      <c r="F782">
        <v>0</v>
      </c>
      <c r="G782" s="13">
        <v>0.84099999999999997</v>
      </c>
      <c r="H782" t="s">
        <v>25</v>
      </c>
      <c r="I782">
        <v>1</v>
      </c>
      <c r="J782">
        <v>84</v>
      </c>
      <c r="K782" t="str">
        <f t="shared" si="12"/>
        <v>Filtered out</v>
      </c>
    </row>
    <row r="783" spans="1:11" x14ac:dyDescent="0.2">
      <c r="A783" t="s">
        <v>14125</v>
      </c>
      <c r="B783" t="s">
        <v>13346</v>
      </c>
      <c r="C783" t="s">
        <v>13864</v>
      </c>
      <c r="D783">
        <v>133</v>
      </c>
      <c r="E783">
        <v>253</v>
      </c>
      <c r="F783">
        <v>-47</v>
      </c>
      <c r="G783" s="13">
        <v>0.97699999999999998</v>
      </c>
      <c r="H783" t="s">
        <v>70</v>
      </c>
      <c r="I783">
        <v>0</v>
      </c>
      <c r="J783" t="s">
        <v>190</v>
      </c>
      <c r="K783" t="str">
        <f t="shared" si="12"/>
        <v>Filtered out</v>
      </c>
    </row>
    <row r="784" spans="1:11" x14ac:dyDescent="0.2">
      <c r="A784" t="s">
        <v>14126</v>
      </c>
      <c r="B784" t="s">
        <v>13484</v>
      </c>
      <c r="C784" t="s">
        <v>13484</v>
      </c>
      <c r="D784">
        <v>1240</v>
      </c>
      <c r="E784">
        <v>1399</v>
      </c>
      <c r="F784">
        <v>-11</v>
      </c>
      <c r="G784" s="13">
        <v>0.86</v>
      </c>
      <c r="H784" t="s">
        <v>25</v>
      </c>
      <c r="I784">
        <v>1</v>
      </c>
      <c r="J784">
        <v>38</v>
      </c>
      <c r="K784" t="str">
        <f t="shared" si="12"/>
        <v>Filtered out</v>
      </c>
    </row>
    <row r="785" spans="1:11" x14ac:dyDescent="0.2">
      <c r="A785" t="s">
        <v>14127</v>
      </c>
      <c r="B785" t="s">
        <v>13418</v>
      </c>
      <c r="C785" t="s">
        <v>13248</v>
      </c>
      <c r="D785">
        <v>88</v>
      </c>
      <c r="E785">
        <v>577</v>
      </c>
      <c r="F785">
        <v>-84</v>
      </c>
      <c r="G785" s="13">
        <v>0.93100000000000005</v>
      </c>
      <c r="H785" t="s">
        <v>70</v>
      </c>
      <c r="I785">
        <v>0</v>
      </c>
      <c r="J785" t="s">
        <v>190</v>
      </c>
      <c r="K785" t="str">
        <f t="shared" si="12"/>
        <v>Filtered out</v>
      </c>
    </row>
    <row r="786" spans="1:11" x14ac:dyDescent="0.2">
      <c r="A786" t="s">
        <v>16</v>
      </c>
      <c r="B786" t="s">
        <v>13246</v>
      </c>
      <c r="C786" t="s">
        <v>13246</v>
      </c>
      <c r="D786">
        <v>853</v>
      </c>
      <c r="E786">
        <v>853</v>
      </c>
      <c r="F786">
        <v>0</v>
      </c>
      <c r="G786" s="13">
        <v>0.996</v>
      </c>
      <c r="H786" t="s">
        <v>25</v>
      </c>
      <c r="I786">
        <v>1</v>
      </c>
      <c r="J786">
        <v>134</v>
      </c>
      <c r="K786" t="str">
        <f t="shared" si="12"/>
        <v>Retained</v>
      </c>
    </row>
    <row r="787" spans="1:11" x14ac:dyDescent="0.2">
      <c r="A787" t="s">
        <v>14129</v>
      </c>
      <c r="B787" t="s">
        <v>13246</v>
      </c>
      <c r="C787" t="s">
        <v>13246</v>
      </c>
      <c r="D787">
        <v>283</v>
      </c>
      <c r="E787">
        <v>613</v>
      </c>
      <c r="F787">
        <v>-53</v>
      </c>
      <c r="G787" s="13">
        <v>0.95699999999999996</v>
      </c>
      <c r="H787" t="s">
        <v>70</v>
      </c>
      <c r="I787">
        <v>0</v>
      </c>
      <c r="J787" t="s">
        <v>190</v>
      </c>
      <c r="K787" t="str">
        <f t="shared" si="12"/>
        <v>Filtered out</v>
      </c>
    </row>
    <row r="788" spans="1:11" x14ac:dyDescent="0.2">
      <c r="A788" t="s">
        <v>14130</v>
      </c>
      <c r="B788" t="s">
        <v>13246</v>
      </c>
      <c r="C788" t="s">
        <v>13246</v>
      </c>
      <c r="D788">
        <v>175</v>
      </c>
      <c r="E788">
        <v>970</v>
      </c>
      <c r="F788">
        <v>-81</v>
      </c>
      <c r="G788" s="13">
        <v>1</v>
      </c>
      <c r="H788" t="s">
        <v>70</v>
      </c>
      <c r="I788">
        <v>0</v>
      </c>
      <c r="J788" t="s">
        <v>190</v>
      </c>
      <c r="K788" t="str">
        <f t="shared" si="12"/>
        <v>Filtered out</v>
      </c>
    </row>
    <row r="789" spans="1:11" x14ac:dyDescent="0.2">
      <c r="A789" t="s">
        <v>14131</v>
      </c>
      <c r="B789" t="s">
        <v>13295</v>
      </c>
      <c r="C789" t="s">
        <v>13246</v>
      </c>
      <c r="D789">
        <v>154</v>
      </c>
      <c r="E789">
        <v>928</v>
      </c>
      <c r="F789">
        <v>-83</v>
      </c>
      <c r="G789" s="13">
        <v>1</v>
      </c>
      <c r="H789" t="s">
        <v>70</v>
      </c>
      <c r="I789">
        <v>0</v>
      </c>
      <c r="J789" t="s">
        <v>190</v>
      </c>
      <c r="K789" t="str">
        <f t="shared" si="12"/>
        <v>Filtered out</v>
      </c>
    </row>
    <row r="790" spans="1:11" x14ac:dyDescent="0.2">
      <c r="A790" t="s">
        <v>14132</v>
      </c>
      <c r="B790" t="s">
        <v>13246</v>
      </c>
      <c r="C790" t="s">
        <v>13246</v>
      </c>
      <c r="D790">
        <v>157</v>
      </c>
      <c r="E790">
        <v>721</v>
      </c>
      <c r="F790">
        <v>-78</v>
      </c>
      <c r="G790" s="13">
        <v>1</v>
      </c>
      <c r="H790" t="s">
        <v>70</v>
      </c>
      <c r="I790">
        <v>0</v>
      </c>
      <c r="J790" t="s">
        <v>190</v>
      </c>
      <c r="K790" t="str">
        <f t="shared" si="12"/>
        <v>Filtered out</v>
      </c>
    </row>
    <row r="791" spans="1:11" x14ac:dyDescent="0.2">
      <c r="A791" t="s">
        <v>14133</v>
      </c>
      <c r="B791" t="s">
        <v>13254</v>
      </c>
      <c r="C791" t="s">
        <v>13246</v>
      </c>
      <c r="D791">
        <v>196</v>
      </c>
      <c r="E791">
        <v>955</v>
      </c>
      <c r="F791">
        <v>-79</v>
      </c>
      <c r="G791" s="13">
        <v>0.33800000000000002</v>
      </c>
      <c r="H791" t="s">
        <v>70</v>
      </c>
      <c r="I791">
        <v>0</v>
      </c>
      <c r="J791" t="s">
        <v>190</v>
      </c>
      <c r="K791" t="str">
        <f t="shared" si="12"/>
        <v>Filtered out</v>
      </c>
    </row>
    <row r="792" spans="1:11" x14ac:dyDescent="0.2">
      <c r="A792" t="s">
        <v>14134</v>
      </c>
      <c r="B792" t="s">
        <v>13246</v>
      </c>
      <c r="C792" t="s">
        <v>13246</v>
      </c>
      <c r="D792">
        <v>1831</v>
      </c>
      <c r="E792">
        <v>2050</v>
      </c>
      <c r="F792">
        <v>-10</v>
      </c>
      <c r="G792" s="13">
        <v>0.95599999999999996</v>
      </c>
      <c r="H792" t="s">
        <v>25</v>
      </c>
      <c r="I792">
        <v>1</v>
      </c>
      <c r="J792">
        <v>424</v>
      </c>
      <c r="K792" t="str">
        <f t="shared" si="12"/>
        <v>Filtered out</v>
      </c>
    </row>
    <row r="793" spans="1:11" x14ac:dyDescent="0.2">
      <c r="A793" t="s">
        <v>45</v>
      </c>
      <c r="B793" t="s">
        <v>13246</v>
      </c>
      <c r="C793" t="s">
        <v>13246</v>
      </c>
      <c r="D793">
        <v>3613</v>
      </c>
      <c r="E793">
        <v>3592</v>
      </c>
      <c r="F793">
        <v>0</v>
      </c>
      <c r="G793" s="13">
        <v>0.98699999999999999</v>
      </c>
      <c r="H793" t="s">
        <v>25</v>
      </c>
      <c r="I793">
        <v>2</v>
      </c>
      <c r="J793">
        <v>675</v>
      </c>
      <c r="K793" t="str">
        <f t="shared" si="12"/>
        <v>Retained</v>
      </c>
    </row>
    <row r="794" spans="1:11" x14ac:dyDescent="0.2">
      <c r="A794" t="s">
        <v>14136</v>
      </c>
      <c r="B794" t="s">
        <v>13369</v>
      </c>
      <c r="C794" t="s">
        <v>13246</v>
      </c>
      <c r="D794">
        <v>5632</v>
      </c>
      <c r="E794">
        <v>5911</v>
      </c>
      <c r="F794">
        <v>-4</v>
      </c>
      <c r="G794" s="13">
        <v>0.98299999999999998</v>
      </c>
      <c r="H794" t="s">
        <v>25</v>
      </c>
      <c r="I794">
        <v>1</v>
      </c>
      <c r="J794">
        <v>393</v>
      </c>
      <c r="K794" t="str">
        <f t="shared" si="12"/>
        <v>Filtered out</v>
      </c>
    </row>
    <row r="795" spans="1:11" x14ac:dyDescent="0.2">
      <c r="A795" t="s">
        <v>14137</v>
      </c>
      <c r="B795" t="s">
        <v>13254</v>
      </c>
      <c r="C795" t="s">
        <v>13254</v>
      </c>
      <c r="D795">
        <v>1648</v>
      </c>
      <c r="E795">
        <v>1648</v>
      </c>
      <c r="F795">
        <v>0</v>
      </c>
      <c r="G795" s="13">
        <v>0.97099999999999997</v>
      </c>
      <c r="H795" t="s">
        <v>25</v>
      </c>
      <c r="I795">
        <v>1</v>
      </c>
      <c r="J795">
        <v>87</v>
      </c>
      <c r="K795" t="str">
        <f t="shared" si="12"/>
        <v>Retained</v>
      </c>
    </row>
    <row r="796" spans="1:11" x14ac:dyDescent="0.2">
      <c r="A796" t="s">
        <v>14138</v>
      </c>
      <c r="B796" t="s">
        <v>13397</v>
      </c>
      <c r="C796" t="s">
        <v>14139</v>
      </c>
      <c r="D796">
        <v>1753</v>
      </c>
      <c r="E796">
        <v>1672</v>
      </c>
      <c r="F796">
        <v>4</v>
      </c>
      <c r="G796" s="13">
        <v>0.99299999999999999</v>
      </c>
      <c r="H796" t="s">
        <v>25</v>
      </c>
      <c r="I796">
        <v>1</v>
      </c>
      <c r="J796">
        <v>367</v>
      </c>
      <c r="K796" t="str">
        <f t="shared" si="12"/>
        <v>Filtered out</v>
      </c>
    </row>
    <row r="797" spans="1:11" x14ac:dyDescent="0.2">
      <c r="A797" t="s">
        <v>14140</v>
      </c>
      <c r="B797" t="s">
        <v>13246</v>
      </c>
      <c r="C797" t="s">
        <v>13246</v>
      </c>
      <c r="D797">
        <v>3283</v>
      </c>
      <c r="E797">
        <v>3397</v>
      </c>
      <c r="F797">
        <v>-3</v>
      </c>
      <c r="G797" s="13">
        <v>0.94299999999999995</v>
      </c>
      <c r="H797" t="s">
        <v>25</v>
      </c>
      <c r="I797">
        <v>2</v>
      </c>
      <c r="J797">
        <v>533</v>
      </c>
      <c r="K797" t="str">
        <f t="shared" si="12"/>
        <v>Retained</v>
      </c>
    </row>
    <row r="798" spans="1:11" x14ac:dyDescent="0.2">
      <c r="A798" t="s">
        <v>14141</v>
      </c>
      <c r="B798" t="s">
        <v>13263</v>
      </c>
      <c r="C798" t="s">
        <v>13246</v>
      </c>
      <c r="D798">
        <v>2899</v>
      </c>
      <c r="E798">
        <v>5212</v>
      </c>
      <c r="F798">
        <v>-44</v>
      </c>
      <c r="G798" s="13">
        <v>0.78500000000000003</v>
      </c>
      <c r="H798" t="s">
        <v>25</v>
      </c>
      <c r="I798">
        <v>3</v>
      </c>
      <c r="J798">
        <v>117</v>
      </c>
      <c r="K798" t="str">
        <f t="shared" si="12"/>
        <v>Filtered out</v>
      </c>
    </row>
    <row r="799" spans="1:11" x14ac:dyDescent="0.2">
      <c r="A799" t="s">
        <v>14142</v>
      </c>
      <c r="B799" t="s">
        <v>13263</v>
      </c>
      <c r="C799" t="s">
        <v>14143</v>
      </c>
      <c r="D799">
        <v>2044</v>
      </c>
      <c r="E799">
        <v>2974</v>
      </c>
      <c r="F799">
        <v>-31</v>
      </c>
      <c r="G799" s="13">
        <v>0.97099999999999997</v>
      </c>
      <c r="H799" t="s">
        <v>25</v>
      </c>
      <c r="I799">
        <v>1</v>
      </c>
      <c r="J799">
        <v>418</v>
      </c>
      <c r="K799" t="str">
        <f t="shared" si="12"/>
        <v>Filtered out</v>
      </c>
    </row>
    <row r="800" spans="1:11" x14ac:dyDescent="0.2">
      <c r="A800" t="s">
        <v>14144</v>
      </c>
      <c r="B800" t="s">
        <v>13325</v>
      </c>
      <c r="C800" t="s">
        <v>13246</v>
      </c>
      <c r="D800">
        <v>883</v>
      </c>
      <c r="E800">
        <v>994</v>
      </c>
      <c r="F800">
        <v>-11</v>
      </c>
      <c r="G800" s="13">
        <v>1</v>
      </c>
      <c r="H800" t="s">
        <v>25</v>
      </c>
      <c r="I800">
        <v>1</v>
      </c>
      <c r="J800">
        <v>101</v>
      </c>
      <c r="K800" t="str">
        <f t="shared" si="12"/>
        <v>Filtered out</v>
      </c>
    </row>
    <row r="801" spans="1:11" x14ac:dyDescent="0.2">
      <c r="A801" t="s">
        <v>14145</v>
      </c>
      <c r="B801" t="s">
        <v>13246</v>
      </c>
      <c r="C801" t="s">
        <v>13246</v>
      </c>
      <c r="D801">
        <v>2335</v>
      </c>
      <c r="E801">
        <v>2323</v>
      </c>
      <c r="F801">
        <v>0</v>
      </c>
      <c r="G801" s="13">
        <v>0.97699999999999998</v>
      </c>
      <c r="H801" t="s">
        <v>25</v>
      </c>
      <c r="I801">
        <v>1</v>
      </c>
      <c r="J801">
        <v>345</v>
      </c>
      <c r="K801" t="str">
        <f t="shared" si="12"/>
        <v>Retained</v>
      </c>
    </row>
    <row r="802" spans="1:11" x14ac:dyDescent="0.2">
      <c r="A802" t="s">
        <v>14146</v>
      </c>
      <c r="B802" t="s">
        <v>13533</v>
      </c>
      <c r="C802" t="s">
        <v>13246</v>
      </c>
      <c r="D802">
        <v>667</v>
      </c>
      <c r="E802">
        <v>799</v>
      </c>
      <c r="F802">
        <v>-16</v>
      </c>
      <c r="G802" s="13">
        <v>0.995</v>
      </c>
      <c r="H802" t="s">
        <v>25</v>
      </c>
      <c r="I802">
        <v>1</v>
      </c>
      <c r="J802">
        <v>195</v>
      </c>
      <c r="K802" t="str">
        <f t="shared" si="12"/>
        <v>Filtered out</v>
      </c>
    </row>
    <row r="803" spans="1:11" x14ac:dyDescent="0.2">
      <c r="A803" t="s">
        <v>12</v>
      </c>
      <c r="B803" t="s">
        <v>13533</v>
      </c>
      <c r="C803" t="s">
        <v>13533</v>
      </c>
      <c r="D803">
        <v>667</v>
      </c>
      <c r="E803">
        <v>667</v>
      </c>
      <c r="F803">
        <v>0</v>
      </c>
      <c r="G803" s="13">
        <v>0.995</v>
      </c>
      <c r="H803" t="s">
        <v>25</v>
      </c>
      <c r="I803">
        <v>1</v>
      </c>
      <c r="J803">
        <v>195</v>
      </c>
      <c r="K803" t="str">
        <f t="shared" si="12"/>
        <v>Retained</v>
      </c>
    </row>
    <row r="804" spans="1:11" x14ac:dyDescent="0.2">
      <c r="A804" t="s">
        <v>14147</v>
      </c>
      <c r="B804" t="s">
        <v>13246</v>
      </c>
      <c r="C804" t="s">
        <v>13246</v>
      </c>
      <c r="D804">
        <v>226</v>
      </c>
      <c r="E804">
        <v>385</v>
      </c>
      <c r="F804">
        <v>-41</v>
      </c>
      <c r="G804" s="13">
        <v>1</v>
      </c>
      <c r="H804" t="s">
        <v>70</v>
      </c>
      <c r="I804">
        <v>0</v>
      </c>
      <c r="J804" t="s">
        <v>190</v>
      </c>
      <c r="K804" t="str">
        <f t="shared" si="12"/>
        <v>Filtered out</v>
      </c>
    </row>
    <row r="805" spans="1:11" x14ac:dyDescent="0.2">
      <c r="A805" t="s">
        <v>14148</v>
      </c>
      <c r="B805" t="s">
        <v>13462</v>
      </c>
      <c r="C805" t="s">
        <v>13385</v>
      </c>
      <c r="D805">
        <v>949</v>
      </c>
      <c r="E805">
        <v>997</v>
      </c>
      <c r="F805">
        <v>-4</v>
      </c>
      <c r="G805" s="13">
        <v>0.98099999999999998</v>
      </c>
      <c r="H805" t="s">
        <v>25</v>
      </c>
      <c r="I805">
        <v>1</v>
      </c>
      <c r="J805">
        <v>193</v>
      </c>
      <c r="K805" t="str">
        <f t="shared" si="12"/>
        <v>Filtered out</v>
      </c>
    </row>
    <row r="806" spans="1:11" x14ac:dyDescent="0.2">
      <c r="A806" t="s">
        <v>14149</v>
      </c>
      <c r="B806" t="s">
        <v>13246</v>
      </c>
      <c r="C806" t="s">
        <v>13246</v>
      </c>
      <c r="D806">
        <v>1372</v>
      </c>
      <c r="E806">
        <v>1372</v>
      </c>
      <c r="F806">
        <v>0</v>
      </c>
      <c r="G806" s="13">
        <v>0.96299999999999997</v>
      </c>
      <c r="H806" t="s">
        <v>25</v>
      </c>
      <c r="I806">
        <v>1</v>
      </c>
      <c r="J806">
        <v>447</v>
      </c>
      <c r="K806" t="str">
        <f t="shared" si="12"/>
        <v>Retained</v>
      </c>
    </row>
    <row r="807" spans="1:11" x14ac:dyDescent="0.2">
      <c r="A807" t="s">
        <v>14150</v>
      </c>
      <c r="B807" t="s">
        <v>13446</v>
      </c>
      <c r="C807" t="s">
        <v>13446</v>
      </c>
      <c r="D807">
        <v>292</v>
      </c>
      <c r="E807">
        <v>964</v>
      </c>
      <c r="F807">
        <v>-69</v>
      </c>
      <c r="G807" s="13">
        <v>0.84499999999999997</v>
      </c>
      <c r="H807" t="s">
        <v>25</v>
      </c>
      <c r="I807">
        <v>1</v>
      </c>
      <c r="J807">
        <v>49</v>
      </c>
      <c r="K807" t="str">
        <f t="shared" si="12"/>
        <v>Filtered out</v>
      </c>
    </row>
    <row r="808" spans="1:11" x14ac:dyDescent="0.2">
      <c r="A808" t="s">
        <v>14151</v>
      </c>
      <c r="B808" t="s">
        <v>13265</v>
      </c>
      <c r="C808" t="s">
        <v>13511</v>
      </c>
      <c r="D808">
        <v>238</v>
      </c>
      <c r="E808">
        <v>604</v>
      </c>
      <c r="F808">
        <v>-60</v>
      </c>
      <c r="G808" s="13">
        <v>0.98699999999999999</v>
      </c>
      <c r="H808" t="s">
        <v>25</v>
      </c>
      <c r="I808">
        <v>1</v>
      </c>
      <c r="J808">
        <v>78</v>
      </c>
      <c r="K808" t="str">
        <f t="shared" si="12"/>
        <v>Filtered out</v>
      </c>
    </row>
    <row r="809" spans="1:11" x14ac:dyDescent="0.2">
      <c r="A809" t="s">
        <v>14152</v>
      </c>
      <c r="B809" t="s">
        <v>13293</v>
      </c>
      <c r="C809" t="s">
        <v>14153</v>
      </c>
      <c r="D809">
        <v>883</v>
      </c>
      <c r="E809">
        <v>922</v>
      </c>
      <c r="F809">
        <v>-4</v>
      </c>
      <c r="G809" s="13">
        <v>0.97599999999999998</v>
      </c>
      <c r="H809" t="s">
        <v>25</v>
      </c>
      <c r="I809">
        <v>1</v>
      </c>
      <c r="J809">
        <v>6</v>
      </c>
      <c r="K809" t="str">
        <f t="shared" si="12"/>
        <v>Filtered out</v>
      </c>
    </row>
    <row r="810" spans="1:11" x14ac:dyDescent="0.2">
      <c r="A810" t="s">
        <v>14154</v>
      </c>
      <c r="B810" t="s">
        <v>13536</v>
      </c>
      <c r="C810" t="s">
        <v>13864</v>
      </c>
      <c r="D810">
        <v>283</v>
      </c>
      <c r="E810">
        <v>292</v>
      </c>
      <c r="F810">
        <v>-3</v>
      </c>
      <c r="G810" s="13">
        <v>0.745</v>
      </c>
      <c r="H810" t="s">
        <v>25</v>
      </c>
      <c r="I810">
        <v>1</v>
      </c>
      <c r="J810">
        <v>41</v>
      </c>
      <c r="K810" t="str">
        <f t="shared" si="12"/>
        <v>Filtered out</v>
      </c>
    </row>
    <row r="811" spans="1:11" x14ac:dyDescent="0.2">
      <c r="A811" t="s">
        <v>14155</v>
      </c>
      <c r="B811" t="s">
        <v>13246</v>
      </c>
      <c r="C811" t="s">
        <v>13246</v>
      </c>
      <c r="D811">
        <v>436</v>
      </c>
      <c r="E811">
        <v>436</v>
      </c>
      <c r="F811">
        <v>0</v>
      </c>
      <c r="G811" s="13">
        <v>0.91</v>
      </c>
      <c r="H811" t="s">
        <v>25</v>
      </c>
      <c r="I811">
        <v>1</v>
      </c>
      <c r="J811">
        <v>59</v>
      </c>
      <c r="K811" t="str">
        <f t="shared" si="12"/>
        <v>Retained</v>
      </c>
    </row>
    <row r="812" spans="1:11" x14ac:dyDescent="0.2">
      <c r="A812" t="s">
        <v>14156</v>
      </c>
      <c r="B812" t="s">
        <v>13246</v>
      </c>
      <c r="C812" t="s">
        <v>13246</v>
      </c>
      <c r="D812">
        <v>484</v>
      </c>
      <c r="E812">
        <v>481</v>
      </c>
      <c r="F812">
        <v>0</v>
      </c>
      <c r="G812" s="13">
        <v>0.85699999999999998</v>
      </c>
      <c r="H812" t="s">
        <v>25</v>
      </c>
      <c r="I812">
        <v>1</v>
      </c>
      <c r="J812">
        <v>108</v>
      </c>
      <c r="K812" t="str">
        <f t="shared" si="12"/>
        <v>Filtered out</v>
      </c>
    </row>
    <row r="813" spans="1:11" x14ac:dyDescent="0.2">
      <c r="A813" t="s">
        <v>14157</v>
      </c>
      <c r="B813" t="s">
        <v>13714</v>
      </c>
      <c r="C813" t="s">
        <v>13246</v>
      </c>
      <c r="D813">
        <v>2215</v>
      </c>
      <c r="E813">
        <v>2296</v>
      </c>
      <c r="F813">
        <v>-3</v>
      </c>
      <c r="G813" s="13">
        <v>0.98</v>
      </c>
      <c r="H813" t="s">
        <v>25</v>
      </c>
      <c r="I813">
        <v>3</v>
      </c>
      <c r="J813">
        <v>488</v>
      </c>
      <c r="K813" t="str">
        <f t="shared" si="12"/>
        <v>Filtered out</v>
      </c>
    </row>
    <row r="814" spans="1:11" x14ac:dyDescent="0.2">
      <c r="A814" t="s">
        <v>14158</v>
      </c>
      <c r="B814" t="s">
        <v>13314</v>
      </c>
      <c r="C814" t="s">
        <v>13484</v>
      </c>
      <c r="D814">
        <v>739</v>
      </c>
      <c r="E814">
        <v>766</v>
      </c>
      <c r="F814">
        <v>-3</v>
      </c>
      <c r="G814" s="13">
        <v>0.97799999999999998</v>
      </c>
      <c r="H814" t="s">
        <v>25</v>
      </c>
      <c r="I814">
        <v>1</v>
      </c>
      <c r="J814">
        <v>9</v>
      </c>
      <c r="K814" t="str">
        <f t="shared" si="12"/>
        <v>Filtered out</v>
      </c>
    </row>
    <row r="815" spans="1:11" x14ac:dyDescent="0.2">
      <c r="A815" t="s">
        <v>14159</v>
      </c>
      <c r="B815" t="s">
        <v>13283</v>
      </c>
      <c r="C815" t="s">
        <v>13246</v>
      </c>
      <c r="D815">
        <v>850</v>
      </c>
      <c r="E815">
        <v>1021</v>
      </c>
      <c r="F815">
        <v>-16</v>
      </c>
      <c r="G815" s="13">
        <v>1</v>
      </c>
      <c r="H815" t="s">
        <v>25</v>
      </c>
      <c r="I815">
        <v>1</v>
      </c>
      <c r="J815">
        <v>9</v>
      </c>
      <c r="K815" t="str">
        <f t="shared" si="12"/>
        <v>Filtered out</v>
      </c>
    </row>
    <row r="816" spans="1:11" x14ac:dyDescent="0.2">
      <c r="A816" t="s">
        <v>14160</v>
      </c>
      <c r="B816" t="s">
        <v>13246</v>
      </c>
      <c r="C816" t="s">
        <v>13246</v>
      </c>
      <c r="D816">
        <v>73</v>
      </c>
      <c r="E816">
        <v>1501</v>
      </c>
      <c r="F816">
        <v>-95</v>
      </c>
      <c r="G816" s="13">
        <v>1</v>
      </c>
      <c r="H816" t="s">
        <v>70</v>
      </c>
      <c r="I816">
        <v>0</v>
      </c>
      <c r="J816" t="s">
        <v>190</v>
      </c>
      <c r="K816" t="str">
        <f t="shared" si="12"/>
        <v>Filtered out</v>
      </c>
    </row>
    <row r="817" spans="1:11" x14ac:dyDescent="0.2">
      <c r="A817" t="s">
        <v>14161</v>
      </c>
      <c r="B817" t="s">
        <v>13466</v>
      </c>
      <c r="C817" t="s">
        <v>13466</v>
      </c>
      <c r="D817">
        <v>4564</v>
      </c>
      <c r="E817">
        <v>4561</v>
      </c>
      <c r="F817">
        <v>0</v>
      </c>
      <c r="G817" s="13">
        <v>0.61099999999999999</v>
      </c>
      <c r="H817" t="s">
        <v>25</v>
      </c>
      <c r="I817">
        <v>31</v>
      </c>
      <c r="J817">
        <v>458</v>
      </c>
      <c r="K817" t="str">
        <f t="shared" si="12"/>
        <v>Filtered out</v>
      </c>
    </row>
    <row r="818" spans="1:11" x14ac:dyDescent="0.2">
      <c r="A818" t="s">
        <v>14162</v>
      </c>
      <c r="B818" t="s">
        <v>13265</v>
      </c>
      <c r="C818" t="s">
        <v>13246</v>
      </c>
      <c r="D818">
        <v>1831</v>
      </c>
      <c r="E818">
        <v>2044</v>
      </c>
      <c r="F818">
        <v>-10</v>
      </c>
      <c r="G818" s="13">
        <v>0.95499999999999996</v>
      </c>
      <c r="H818" t="s">
        <v>25</v>
      </c>
      <c r="I818">
        <v>1</v>
      </c>
      <c r="J818">
        <v>120</v>
      </c>
      <c r="K818" t="str">
        <f t="shared" si="12"/>
        <v>Filtered out</v>
      </c>
    </row>
    <row r="819" spans="1:11" x14ac:dyDescent="0.2">
      <c r="A819" t="s">
        <v>14163</v>
      </c>
      <c r="B819" t="s">
        <v>13536</v>
      </c>
      <c r="C819" t="s">
        <v>13246</v>
      </c>
      <c r="D819">
        <v>3079</v>
      </c>
      <c r="E819">
        <v>3307</v>
      </c>
      <c r="F819">
        <v>-6</v>
      </c>
      <c r="G819" s="13">
        <v>0.99</v>
      </c>
      <c r="H819" t="s">
        <v>25</v>
      </c>
      <c r="I819">
        <v>1</v>
      </c>
      <c r="J819">
        <v>3</v>
      </c>
      <c r="K819" t="str">
        <f t="shared" si="12"/>
        <v>Filtered out</v>
      </c>
    </row>
    <row r="820" spans="1:11" x14ac:dyDescent="0.2">
      <c r="A820" t="s">
        <v>63</v>
      </c>
      <c r="B820" t="s">
        <v>13246</v>
      </c>
      <c r="C820" t="s">
        <v>13246</v>
      </c>
      <c r="D820">
        <v>1837</v>
      </c>
      <c r="E820">
        <v>1843</v>
      </c>
      <c r="F820">
        <v>0</v>
      </c>
      <c r="G820" s="13">
        <v>0.99</v>
      </c>
      <c r="H820" t="s">
        <v>25</v>
      </c>
      <c r="I820">
        <v>1</v>
      </c>
      <c r="J820">
        <v>41</v>
      </c>
      <c r="K820" t="str">
        <f t="shared" si="12"/>
        <v>Retained</v>
      </c>
    </row>
    <row r="821" spans="1:11" x14ac:dyDescent="0.2">
      <c r="A821" t="s">
        <v>14165</v>
      </c>
      <c r="B821" t="s">
        <v>14166</v>
      </c>
      <c r="C821" t="s">
        <v>13511</v>
      </c>
      <c r="D821">
        <v>2194</v>
      </c>
      <c r="E821">
        <v>2689</v>
      </c>
      <c r="F821">
        <v>-18</v>
      </c>
      <c r="G821" s="13">
        <v>0.878</v>
      </c>
      <c r="H821" t="s">
        <v>25</v>
      </c>
      <c r="I821">
        <v>1</v>
      </c>
      <c r="J821">
        <v>91</v>
      </c>
      <c r="K821" t="str">
        <f t="shared" si="12"/>
        <v>Filtered out</v>
      </c>
    </row>
    <row r="822" spans="1:11" x14ac:dyDescent="0.2">
      <c r="A822" t="s">
        <v>14167</v>
      </c>
      <c r="B822" t="s">
        <v>13246</v>
      </c>
      <c r="C822" t="s">
        <v>13246</v>
      </c>
      <c r="D822">
        <v>1423</v>
      </c>
      <c r="E822">
        <v>1423</v>
      </c>
      <c r="F822">
        <v>0</v>
      </c>
      <c r="G822" s="13">
        <v>0.98699999999999999</v>
      </c>
      <c r="H822" t="s">
        <v>25</v>
      </c>
      <c r="I822">
        <v>1</v>
      </c>
      <c r="J822">
        <v>408</v>
      </c>
      <c r="K822" t="str">
        <f t="shared" si="12"/>
        <v>Retained</v>
      </c>
    </row>
    <row r="823" spans="1:11" x14ac:dyDescent="0.2">
      <c r="A823" t="s">
        <v>14168</v>
      </c>
      <c r="B823" t="s">
        <v>13369</v>
      </c>
      <c r="C823" t="s">
        <v>13308</v>
      </c>
      <c r="D823">
        <v>898</v>
      </c>
      <c r="E823">
        <v>1252</v>
      </c>
      <c r="F823">
        <v>-28</v>
      </c>
      <c r="G823" s="13">
        <v>0.755</v>
      </c>
      <c r="H823" t="s">
        <v>25</v>
      </c>
      <c r="I823">
        <v>2</v>
      </c>
      <c r="J823">
        <v>108</v>
      </c>
      <c r="K823" t="str">
        <f t="shared" si="12"/>
        <v>Filtered out</v>
      </c>
    </row>
    <row r="824" spans="1:11" x14ac:dyDescent="0.2">
      <c r="A824" t="s">
        <v>14169</v>
      </c>
      <c r="B824" t="s">
        <v>13246</v>
      </c>
      <c r="C824" t="s">
        <v>13246</v>
      </c>
      <c r="D824">
        <v>1690</v>
      </c>
      <c r="E824">
        <v>1693</v>
      </c>
      <c r="F824">
        <v>0</v>
      </c>
      <c r="G824" s="13">
        <v>0.93700000000000006</v>
      </c>
      <c r="H824" t="s">
        <v>25</v>
      </c>
      <c r="I824">
        <v>1</v>
      </c>
      <c r="J824">
        <v>495</v>
      </c>
      <c r="K824" t="str">
        <f t="shared" si="12"/>
        <v>Retained</v>
      </c>
    </row>
    <row r="825" spans="1:11" x14ac:dyDescent="0.2">
      <c r="A825" t="s">
        <v>14170</v>
      </c>
      <c r="B825" t="s">
        <v>13270</v>
      </c>
      <c r="C825" t="s">
        <v>13246</v>
      </c>
      <c r="D825">
        <v>127</v>
      </c>
      <c r="E825">
        <v>1579</v>
      </c>
      <c r="F825">
        <v>-91</v>
      </c>
      <c r="G825" s="13">
        <v>1</v>
      </c>
      <c r="H825" t="s">
        <v>70</v>
      </c>
      <c r="I825">
        <v>0</v>
      </c>
      <c r="J825" t="s">
        <v>190</v>
      </c>
      <c r="K825" t="str">
        <f t="shared" si="12"/>
        <v>Filtered out</v>
      </c>
    </row>
    <row r="826" spans="1:11" x14ac:dyDescent="0.2">
      <c r="A826" t="s">
        <v>14171</v>
      </c>
      <c r="B826" t="s">
        <v>14172</v>
      </c>
      <c r="C826" t="s">
        <v>14172</v>
      </c>
      <c r="D826">
        <v>151</v>
      </c>
      <c r="E826">
        <v>469</v>
      </c>
      <c r="F826">
        <v>-67</v>
      </c>
      <c r="G826" s="13">
        <v>1</v>
      </c>
      <c r="H826" t="s">
        <v>70</v>
      </c>
      <c r="I826">
        <v>0</v>
      </c>
      <c r="J826" t="s">
        <v>190</v>
      </c>
      <c r="K826" t="str">
        <f t="shared" si="12"/>
        <v>Filtered out</v>
      </c>
    </row>
    <row r="827" spans="1:11" x14ac:dyDescent="0.2">
      <c r="A827" t="s">
        <v>14173</v>
      </c>
      <c r="B827" t="s">
        <v>13369</v>
      </c>
      <c r="C827" t="s">
        <v>13246</v>
      </c>
      <c r="D827">
        <v>2011</v>
      </c>
      <c r="E827">
        <v>3256</v>
      </c>
      <c r="F827">
        <v>-38</v>
      </c>
      <c r="G827" s="13">
        <v>0.99099999999999999</v>
      </c>
      <c r="H827" t="s">
        <v>25</v>
      </c>
      <c r="I827">
        <v>1</v>
      </c>
      <c r="J827">
        <v>604</v>
      </c>
      <c r="K827" t="str">
        <f t="shared" si="12"/>
        <v>Filtered out</v>
      </c>
    </row>
    <row r="828" spans="1:11" x14ac:dyDescent="0.2">
      <c r="A828" t="s">
        <v>14174</v>
      </c>
      <c r="B828" t="s">
        <v>13337</v>
      </c>
      <c r="C828" t="s">
        <v>13266</v>
      </c>
      <c r="D828">
        <v>3796</v>
      </c>
      <c r="E828">
        <v>4855</v>
      </c>
      <c r="F828">
        <v>-21</v>
      </c>
      <c r="G828" s="13">
        <v>0.99299999999999999</v>
      </c>
      <c r="H828" t="s">
        <v>25</v>
      </c>
      <c r="I828">
        <v>1</v>
      </c>
      <c r="J828">
        <v>8</v>
      </c>
      <c r="K828" t="str">
        <f t="shared" si="12"/>
        <v>Filtered out</v>
      </c>
    </row>
    <row r="829" spans="1:11" x14ac:dyDescent="0.2">
      <c r="A829" t="s">
        <v>14175</v>
      </c>
      <c r="B829" t="s">
        <v>13450</v>
      </c>
      <c r="C829" t="s">
        <v>13246</v>
      </c>
      <c r="D829">
        <v>3343</v>
      </c>
      <c r="E829">
        <v>6523</v>
      </c>
      <c r="F829">
        <v>-48</v>
      </c>
      <c r="G829" s="13">
        <v>0.93400000000000005</v>
      </c>
      <c r="H829" t="s">
        <v>25</v>
      </c>
      <c r="I829">
        <v>1</v>
      </c>
      <c r="J829">
        <v>204</v>
      </c>
      <c r="K829" t="str">
        <f t="shared" si="12"/>
        <v>Filtered out</v>
      </c>
    </row>
    <row r="830" spans="1:11" x14ac:dyDescent="0.2">
      <c r="A830" t="s">
        <v>14176</v>
      </c>
      <c r="B830" t="s">
        <v>13246</v>
      </c>
      <c r="C830" t="s">
        <v>13246</v>
      </c>
      <c r="D830">
        <v>2776</v>
      </c>
      <c r="E830">
        <v>2776</v>
      </c>
      <c r="F830">
        <v>0</v>
      </c>
      <c r="G830" s="13">
        <v>0.99</v>
      </c>
      <c r="H830" t="s">
        <v>25</v>
      </c>
      <c r="I830">
        <v>1</v>
      </c>
      <c r="J830">
        <v>90</v>
      </c>
      <c r="K830" t="str">
        <f t="shared" si="12"/>
        <v>Retained</v>
      </c>
    </row>
    <row r="831" spans="1:11" x14ac:dyDescent="0.2">
      <c r="A831" t="s">
        <v>14177</v>
      </c>
      <c r="B831" t="s">
        <v>13246</v>
      </c>
      <c r="C831" t="s">
        <v>13246</v>
      </c>
      <c r="D831">
        <v>1900</v>
      </c>
      <c r="E831">
        <v>3610</v>
      </c>
      <c r="F831">
        <v>-47</v>
      </c>
      <c r="G831" s="13">
        <v>0.92900000000000005</v>
      </c>
      <c r="H831" t="s">
        <v>25</v>
      </c>
      <c r="I831">
        <v>2</v>
      </c>
      <c r="J831">
        <v>502</v>
      </c>
      <c r="K831" t="str">
        <f t="shared" si="12"/>
        <v>Filtered out</v>
      </c>
    </row>
    <row r="832" spans="1:11" x14ac:dyDescent="0.2">
      <c r="A832" t="s">
        <v>14178</v>
      </c>
      <c r="B832" t="s">
        <v>13321</v>
      </c>
      <c r="C832" t="s">
        <v>13321</v>
      </c>
      <c r="D832">
        <v>1708</v>
      </c>
      <c r="E832">
        <v>2041</v>
      </c>
      <c r="F832">
        <v>-16</v>
      </c>
      <c r="G832" s="13">
        <v>0.98399999999999999</v>
      </c>
      <c r="H832" t="s">
        <v>25</v>
      </c>
      <c r="I832">
        <v>1</v>
      </c>
      <c r="J832">
        <v>566</v>
      </c>
      <c r="K832" t="str">
        <f t="shared" si="12"/>
        <v>Filtered out</v>
      </c>
    </row>
    <row r="833" spans="1:11" x14ac:dyDescent="0.2">
      <c r="A833" t="s">
        <v>14179</v>
      </c>
      <c r="B833" t="s">
        <v>13385</v>
      </c>
      <c r="C833" t="s">
        <v>13333</v>
      </c>
      <c r="D833">
        <v>199</v>
      </c>
      <c r="E833">
        <v>571</v>
      </c>
      <c r="F833">
        <v>-65</v>
      </c>
      <c r="G833" s="13">
        <v>0.97</v>
      </c>
      <c r="H833" t="s">
        <v>70</v>
      </c>
      <c r="I833">
        <v>0</v>
      </c>
      <c r="J833" t="s">
        <v>190</v>
      </c>
      <c r="K833" t="str">
        <f t="shared" si="12"/>
        <v>Filtered out</v>
      </c>
    </row>
    <row r="834" spans="1:11" x14ac:dyDescent="0.2">
      <c r="A834" t="s">
        <v>14180</v>
      </c>
      <c r="B834" t="s">
        <v>13246</v>
      </c>
      <c r="C834" t="s">
        <v>13246</v>
      </c>
      <c r="D834">
        <v>922</v>
      </c>
      <c r="E834">
        <v>922</v>
      </c>
      <c r="F834">
        <v>0</v>
      </c>
      <c r="G834" s="13">
        <v>0.89900000000000002</v>
      </c>
      <c r="H834" t="s">
        <v>25</v>
      </c>
      <c r="I834">
        <v>1</v>
      </c>
      <c r="J834">
        <v>303</v>
      </c>
      <c r="K834" t="str">
        <f t="shared" si="12"/>
        <v>Filtered out</v>
      </c>
    </row>
    <row r="835" spans="1:11" x14ac:dyDescent="0.2">
      <c r="A835" t="s">
        <v>14181</v>
      </c>
      <c r="B835" t="s">
        <v>13246</v>
      </c>
      <c r="C835" t="s">
        <v>13246</v>
      </c>
      <c r="D835">
        <v>925</v>
      </c>
      <c r="E835">
        <v>925</v>
      </c>
      <c r="F835">
        <v>0</v>
      </c>
      <c r="G835" s="13">
        <v>0.89900000000000002</v>
      </c>
      <c r="H835" t="s">
        <v>25</v>
      </c>
      <c r="I835">
        <v>1</v>
      </c>
      <c r="J835">
        <v>303</v>
      </c>
      <c r="K835" t="str">
        <f t="shared" si="12"/>
        <v>Filtered out</v>
      </c>
    </row>
    <row r="836" spans="1:11" x14ac:dyDescent="0.2">
      <c r="A836" t="s">
        <v>14182</v>
      </c>
      <c r="B836" t="s">
        <v>13246</v>
      </c>
      <c r="C836" t="s">
        <v>13323</v>
      </c>
      <c r="D836">
        <v>925</v>
      </c>
      <c r="E836">
        <v>748</v>
      </c>
      <c r="F836">
        <v>23</v>
      </c>
      <c r="G836" s="13">
        <v>0.82699999999999996</v>
      </c>
      <c r="H836" t="s">
        <v>25</v>
      </c>
      <c r="I836">
        <v>1</v>
      </c>
      <c r="J836">
        <v>303</v>
      </c>
      <c r="K836" t="str">
        <f t="shared" si="12"/>
        <v>Filtered out</v>
      </c>
    </row>
    <row r="837" spans="1:11" x14ac:dyDescent="0.2">
      <c r="A837" t="s">
        <v>14183</v>
      </c>
      <c r="B837" t="s">
        <v>13246</v>
      </c>
      <c r="C837" t="s">
        <v>13246</v>
      </c>
      <c r="D837">
        <v>925</v>
      </c>
      <c r="E837">
        <v>925</v>
      </c>
      <c r="F837">
        <v>0</v>
      </c>
      <c r="G837" s="13">
        <v>0.89900000000000002</v>
      </c>
      <c r="H837" t="s">
        <v>25</v>
      </c>
      <c r="I837">
        <v>1</v>
      </c>
      <c r="J837">
        <v>303</v>
      </c>
      <c r="K837" t="str">
        <f t="shared" si="12"/>
        <v>Filtered out</v>
      </c>
    </row>
    <row r="838" spans="1:11" x14ac:dyDescent="0.2">
      <c r="A838" t="s">
        <v>14184</v>
      </c>
      <c r="B838" t="s">
        <v>13371</v>
      </c>
      <c r="C838" t="s">
        <v>13268</v>
      </c>
      <c r="D838">
        <v>562</v>
      </c>
      <c r="E838">
        <v>1396</v>
      </c>
      <c r="F838">
        <v>-59</v>
      </c>
      <c r="G838" s="13">
        <v>0.94199999999999995</v>
      </c>
      <c r="H838" t="s">
        <v>25</v>
      </c>
      <c r="I838">
        <v>1</v>
      </c>
      <c r="J838">
        <v>133</v>
      </c>
      <c r="K838" t="str">
        <f t="shared" si="12"/>
        <v>Filtered out</v>
      </c>
    </row>
    <row r="839" spans="1:11" x14ac:dyDescent="0.2">
      <c r="A839" t="s">
        <v>14185</v>
      </c>
      <c r="B839" t="s">
        <v>13246</v>
      </c>
      <c r="C839" t="s">
        <v>13246</v>
      </c>
      <c r="D839">
        <v>4216</v>
      </c>
      <c r="E839">
        <v>4204</v>
      </c>
      <c r="F839">
        <v>0</v>
      </c>
      <c r="G839" s="13">
        <v>0.96699999999999997</v>
      </c>
      <c r="H839" t="s">
        <v>25</v>
      </c>
      <c r="I839">
        <v>3</v>
      </c>
      <c r="J839">
        <v>665</v>
      </c>
      <c r="K839" t="str">
        <f t="shared" si="12"/>
        <v>Retained</v>
      </c>
    </row>
    <row r="840" spans="1:11" x14ac:dyDescent="0.2">
      <c r="A840" t="s">
        <v>14186</v>
      </c>
      <c r="B840" t="s">
        <v>13405</v>
      </c>
      <c r="C840" t="s">
        <v>13246</v>
      </c>
      <c r="D840">
        <v>1432</v>
      </c>
      <c r="E840">
        <v>1486</v>
      </c>
      <c r="F840">
        <v>-3</v>
      </c>
      <c r="G840" s="13">
        <v>0.98699999999999999</v>
      </c>
      <c r="H840" t="s">
        <v>25</v>
      </c>
      <c r="I840">
        <v>1</v>
      </c>
      <c r="J840">
        <v>156</v>
      </c>
      <c r="K840" t="str">
        <f t="shared" ref="K840:K903" si="13">IF(AND(B840=C840,F840&lt;10,F840&gt;-10,I840&gt;0,G840&gt;90%,G840&lt;100%),"Retained","Filtered out")</f>
        <v>Filtered out</v>
      </c>
    </row>
    <row r="841" spans="1:11" x14ac:dyDescent="0.2">
      <c r="A841" t="s">
        <v>14187</v>
      </c>
      <c r="B841" t="s">
        <v>13703</v>
      </c>
      <c r="C841" t="s">
        <v>13283</v>
      </c>
      <c r="D841">
        <v>499</v>
      </c>
      <c r="E841">
        <v>595</v>
      </c>
      <c r="F841">
        <v>-16</v>
      </c>
      <c r="G841" s="13">
        <v>0.98199999999999998</v>
      </c>
      <c r="H841" t="s">
        <v>25</v>
      </c>
      <c r="I841">
        <v>1</v>
      </c>
      <c r="J841">
        <v>4</v>
      </c>
      <c r="K841" t="str">
        <f t="shared" si="13"/>
        <v>Filtered out</v>
      </c>
    </row>
    <row r="842" spans="1:11" x14ac:dyDescent="0.2">
      <c r="A842" t="s">
        <v>14188</v>
      </c>
      <c r="B842" t="s">
        <v>13248</v>
      </c>
      <c r="C842" t="s">
        <v>13462</v>
      </c>
      <c r="D842">
        <v>1546</v>
      </c>
      <c r="E842">
        <v>1526</v>
      </c>
      <c r="F842">
        <v>1</v>
      </c>
      <c r="G842" s="13">
        <v>0.96</v>
      </c>
      <c r="H842" t="s">
        <v>25</v>
      </c>
      <c r="I842">
        <v>10</v>
      </c>
      <c r="J842">
        <v>229</v>
      </c>
      <c r="K842" t="str">
        <f t="shared" si="13"/>
        <v>Filtered out</v>
      </c>
    </row>
    <row r="843" spans="1:11" x14ac:dyDescent="0.2">
      <c r="A843" t="s">
        <v>14189</v>
      </c>
      <c r="B843" t="s">
        <v>13318</v>
      </c>
      <c r="C843" t="s">
        <v>13265</v>
      </c>
      <c r="D843">
        <v>1855</v>
      </c>
      <c r="E843">
        <v>4900</v>
      </c>
      <c r="F843">
        <v>-62</v>
      </c>
      <c r="G843" s="13">
        <v>0.874</v>
      </c>
      <c r="H843" t="s">
        <v>25</v>
      </c>
      <c r="I843">
        <v>1</v>
      </c>
      <c r="J843">
        <v>360</v>
      </c>
      <c r="K843" t="str">
        <f t="shared" si="13"/>
        <v>Filtered out</v>
      </c>
    </row>
    <row r="844" spans="1:11" x14ac:dyDescent="0.2">
      <c r="A844" t="s">
        <v>14190</v>
      </c>
      <c r="B844" t="s">
        <v>13864</v>
      </c>
      <c r="C844" t="s">
        <v>13864</v>
      </c>
      <c r="D844">
        <v>4735</v>
      </c>
      <c r="E844">
        <v>4735</v>
      </c>
      <c r="F844">
        <v>0</v>
      </c>
      <c r="G844" s="13">
        <v>0.98199999999999998</v>
      </c>
      <c r="H844" t="s">
        <v>25</v>
      </c>
      <c r="I844">
        <v>1</v>
      </c>
      <c r="J844">
        <v>1495</v>
      </c>
      <c r="K844" t="str">
        <f t="shared" si="13"/>
        <v>Retained</v>
      </c>
    </row>
    <row r="845" spans="1:11" x14ac:dyDescent="0.2">
      <c r="A845" t="s">
        <v>14191</v>
      </c>
      <c r="B845" t="s">
        <v>13246</v>
      </c>
      <c r="C845" t="s">
        <v>13246</v>
      </c>
      <c r="D845">
        <v>100</v>
      </c>
      <c r="E845">
        <v>538</v>
      </c>
      <c r="F845">
        <v>-81</v>
      </c>
      <c r="G845" s="13">
        <v>0.97</v>
      </c>
      <c r="H845" t="s">
        <v>70</v>
      </c>
      <c r="I845">
        <v>0</v>
      </c>
      <c r="J845" t="s">
        <v>190</v>
      </c>
      <c r="K845" t="str">
        <f t="shared" si="13"/>
        <v>Filtered out</v>
      </c>
    </row>
    <row r="846" spans="1:11" x14ac:dyDescent="0.2">
      <c r="A846" t="s">
        <v>14192</v>
      </c>
      <c r="B846" t="s">
        <v>13246</v>
      </c>
      <c r="C846" t="s">
        <v>13246</v>
      </c>
      <c r="D846">
        <v>2563</v>
      </c>
      <c r="E846">
        <v>2563</v>
      </c>
      <c r="F846">
        <v>0</v>
      </c>
      <c r="G846" s="13">
        <v>0.99399999999999999</v>
      </c>
      <c r="H846" t="s">
        <v>25</v>
      </c>
      <c r="I846">
        <v>1</v>
      </c>
      <c r="J846">
        <v>204</v>
      </c>
      <c r="K846" t="str">
        <f t="shared" si="13"/>
        <v>Retained</v>
      </c>
    </row>
    <row r="847" spans="1:11" x14ac:dyDescent="0.2">
      <c r="A847" t="s">
        <v>32</v>
      </c>
      <c r="B847" t="s">
        <v>13246</v>
      </c>
      <c r="C847" t="s">
        <v>13246</v>
      </c>
      <c r="D847">
        <v>1588</v>
      </c>
      <c r="E847">
        <v>1588</v>
      </c>
      <c r="F847">
        <v>0</v>
      </c>
      <c r="G847" s="13">
        <v>0.996</v>
      </c>
      <c r="H847" t="s">
        <v>25</v>
      </c>
      <c r="I847">
        <v>1</v>
      </c>
      <c r="J847">
        <v>478</v>
      </c>
      <c r="K847" t="str">
        <f t="shared" si="13"/>
        <v>Retained</v>
      </c>
    </row>
    <row r="848" spans="1:11" x14ac:dyDescent="0.2">
      <c r="A848" t="s">
        <v>14194</v>
      </c>
      <c r="B848" t="s">
        <v>13346</v>
      </c>
      <c r="C848" t="s">
        <v>13346</v>
      </c>
      <c r="D848">
        <v>889</v>
      </c>
      <c r="E848">
        <v>889</v>
      </c>
      <c r="F848">
        <v>0</v>
      </c>
      <c r="G848" s="13">
        <v>0.91600000000000004</v>
      </c>
      <c r="H848" t="s">
        <v>25</v>
      </c>
      <c r="I848">
        <v>1</v>
      </c>
      <c r="J848">
        <v>222</v>
      </c>
      <c r="K848" t="str">
        <f t="shared" si="13"/>
        <v>Retained</v>
      </c>
    </row>
    <row r="849" spans="1:11" x14ac:dyDescent="0.2">
      <c r="A849" t="s">
        <v>14195</v>
      </c>
      <c r="B849" t="s">
        <v>13246</v>
      </c>
      <c r="C849" t="s">
        <v>13246</v>
      </c>
      <c r="D849">
        <v>223</v>
      </c>
      <c r="E849">
        <v>223</v>
      </c>
      <c r="F849">
        <v>0</v>
      </c>
      <c r="G849" s="13">
        <v>0.98599999999999999</v>
      </c>
      <c r="H849" t="s">
        <v>25</v>
      </c>
      <c r="I849">
        <v>1</v>
      </c>
      <c r="J849">
        <v>70</v>
      </c>
      <c r="K849" t="str">
        <f t="shared" si="13"/>
        <v>Retained</v>
      </c>
    </row>
    <row r="850" spans="1:11" x14ac:dyDescent="0.2">
      <c r="A850" t="s">
        <v>14196</v>
      </c>
      <c r="B850" t="s">
        <v>13560</v>
      </c>
      <c r="C850" t="s">
        <v>13263</v>
      </c>
      <c r="D850">
        <v>2275</v>
      </c>
      <c r="E850">
        <v>2302</v>
      </c>
      <c r="F850">
        <v>-1</v>
      </c>
      <c r="G850" s="13">
        <v>0.57299999999999995</v>
      </c>
      <c r="H850" t="s">
        <v>25</v>
      </c>
      <c r="I850">
        <v>1</v>
      </c>
      <c r="J850">
        <v>736</v>
      </c>
      <c r="K850" t="str">
        <f t="shared" si="13"/>
        <v>Filtered out</v>
      </c>
    </row>
    <row r="851" spans="1:11" x14ac:dyDescent="0.2">
      <c r="A851" t="s">
        <v>14197</v>
      </c>
      <c r="B851" t="s">
        <v>13373</v>
      </c>
      <c r="C851" t="s">
        <v>13373</v>
      </c>
      <c r="D851">
        <v>301</v>
      </c>
      <c r="E851">
        <v>301</v>
      </c>
      <c r="F851">
        <v>0</v>
      </c>
      <c r="G851" s="13">
        <v>1</v>
      </c>
      <c r="H851" t="s">
        <v>25</v>
      </c>
      <c r="I851">
        <v>1</v>
      </c>
      <c r="J851">
        <v>91</v>
      </c>
      <c r="K851" t="str">
        <f t="shared" si="13"/>
        <v>Filtered out</v>
      </c>
    </row>
    <row r="852" spans="1:11" x14ac:dyDescent="0.2">
      <c r="A852" t="s">
        <v>14198</v>
      </c>
      <c r="B852" t="s">
        <v>13495</v>
      </c>
      <c r="C852" t="s">
        <v>13246</v>
      </c>
      <c r="D852">
        <v>172</v>
      </c>
      <c r="E852">
        <v>1060</v>
      </c>
      <c r="F852">
        <v>-83</v>
      </c>
      <c r="G852" s="13">
        <v>0.26100000000000001</v>
      </c>
      <c r="H852" t="s">
        <v>70</v>
      </c>
      <c r="I852">
        <v>0</v>
      </c>
      <c r="J852" t="s">
        <v>190</v>
      </c>
      <c r="K852" t="str">
        <f t="shared" si="13"/>
        <v>Filtered out</v>
      </c>
    </row>
    <row r="853" spans="1:11" x14ac:dyDescent="0.2">
      <c r="A853" t="s">
        <v>14199</v>
      </c>
      <c r="B853" t="s">
        <v>13373</v>
      </c>
      <c r="C853" t="s">
        <v>13373</v>
      </c>
      <c r="D853">
        <v>2668</v>
      </c>
      <c r="E853">
        <v>3190</v>
      </c>
      <c r="F853">
        <v>-16</v>
      </c>
      <c r="G853" s="13">
        <v>0.93300000000000005</v>
      </c>
      <c r="H853" t="s">
        <v>25</v>
      </c>
      <c r="I853">
        <v>3</v>
      </c>
      <c r="J853">
        <v>466</v>
      </c>
      <c r="K853" t="str">
        <f t="shared" si="13"/>
        <v>Filtered out</v>
      </c>
    </row>
    <row r="854" spans="1:11" x14ac:dyDescent="0.2">
      <c r="A854" t="s">
        <v>14200</v>
      </c>
      <c r="B854" t="s">
        <v>13295</v>
      </c>
      <c r="C854" t="s">
        <v>13246</v>
      </c>
      <c r="D854">
        <v>523</v>
      </c>
      <c r="E854">
        <v>1588</v>
      </c>
      <c r="F854">
        <v>-67</v>
      </c>
      <c r="G854" s="13">
        <v>0.92</v>
      </c>
      <c r="H854" t="s">
        <v>25</v>
      </c>
      <c r="I854">
        <v>1</v>
      </c>
      <c r="J854">
        <v>8</v>
      </c>
      <c r="K854" t="str">
        <f t="shared" si="13"/>
        <v>Filtered out</v>
      </c>
    </row>
    <row r="855" spans="1:11" x14ac:dyDescent="0.2">
      <c r="A855" t="s">
        <v>14201</v>
      </c>
      <c r="B855" t="s">
        <v>13418</v>
      </c>
      <c r="C855" t="s">
        <v>14202</v>
      </c>
      <c r="D855">
        <v>187</v>
      </c>
      <c r="E855">
        <v>238</v>
      </c>
      <c r="F855">
        <v>-21</v>
      </c>
      <c r="G855" s="13">
        <v>0.98399999999999999</v>
      </c>
      <c r="H855" t="s">
        <v>70</v>
      </c>
      <c r="I855">
        <v>0</v>
      </c>
      <c r="J855" t="s">
        <v>190</v>
      </c>
      <c r="K855" t="str">
        <f t="shared" si="13"/>
        <v>Filtered out</v>
      </c>
    </row>
    <row r="856" spans="1:11" x14ac:dyDescent="0.2">
      <c r="A856" t="s">
        <v>14203</v>
      </c>
      <c r="B856" t="s">
        <v>13246</v>
      </c>
      <c r="C856" t="s">
        <v>13246</v>
      </c>
      <c r="D856">
        <v>1651</v>
      </c>
      <c r="E856">
        <v>1678</v>
      </c>
      <c r="F856">
        <v>-1</v>
      </c>
      <c r="G856" s="13">
        <v>0.85499999999999998</v>
      </c>
      <c r="H856" t="s">
        <v>25</v>
      </c>
      <c r="I856">
        <v>1</v>
      </c>
      <c r="J856">
        <v>390</v>
      </c>
      <c r="K856" t="str">
        <f t="shared" si="13"/>
        <v>Filtered out</v>
      </c>
    </row>
    <row r="857" spans="1:11" x14ac:dyDescent="0.2">
      <c r="A857" t="s">
        <v>14204</v>
      </c>
      <c r="B857" t="s">
        <v>13369</v>
      </c>
      <c r="C857" t="s">
        <v>13369</v>
      </c>
      <c r="D857">
        <v>163</v>
      </c>
      <c r="E857">
        <v>250</v>
      </c>
      <c r="F857">
        <v>-34</v>
      </c>
      <c r="G857" s="13">
        <v>0.96299999999999997</v>
      </c>
      <c r="H857" t="s">
        <v>70</v>
      </c>
      <c r="I857">
        <v>0</v>
      </c>
      <c r="J857" t="s">
        <v>190</v>
      </c>
      <c r="K857" t="str">
        <f t="shared" si="13"/>
        <v>Filtered out</v>
      </c>
    </row>
    <row r="858" spans="1:11" x14ac:dyDescent="0.2">
      <c r="A858" t="s">
        <v>14205</v>
      </c>
      <c r="B858" t="s">
        <v>13283</v>
      </c>
      <c r="C858" t="s">
        <v>13283</v>
      </c>
      <c r="D858">
        <v>430</v>
      </c>
      <c r="E858">
        <v>430</v>
      </c>
      <c r="F858">
        <v>0</v>
      </c>
      <c r="G858" s="13">
        <v>1</v>
      </c>
      <c r="H858" t="s">
        <v>25</v>
      </c>
      <c r="I858">
        <v>2</v>
      </c>
      <c r="J858">
        <v>13</v>
      </c>
      <c r="K858" t="str">
        <f t="shared" si="13"/>
        <v>Filtered out</v>
      </c>
    </row>
    <row r="859" spans="1:11" x14ac:dyDescent="0.2">
      <c r="A859" t="s">
        <v>14196</v>
      </c>
      <c r="B859" t="s">
        <v>13560</v>
      </c>
      <c r="C859" t="s">
        <v>13263</v>
      </c>
      <c r="D859">
        <v>2275</v>
      </c>
      <c r="E859">
        <v>2302</v>
      </c>
      <c r="F859">
        <v>-1</v>
      </c>
      <c r="G859" s="13">
        <v>0.57299999999999995</v>
      </c>
      <c r="H859" t="s">
        <v>25</v>
      </c>
      <c r="I859">
        <v>1</v>
      </c>
      <c r="J859">
        <v>736</v>
      </c>
      <c r="K859" t="str">
        <f t="shared" si="13"/>
        <v>Filtered out</v>
      </c>
    </row>
    <row r="860" spans="1:11" x14ac:dyDescent="0.2">
      <c r="A860" t="s">
        <v>14206</v>
      </c>
      <c r="B860" t="s">
        <v>13248</v>
      </c>
      <c r="C860" t="s">
        <v>13248</v>
      </c>
      <c r="D860">
        <v>1492</v>
      </c>
      <c r="E860">
        <v>2593</v>
      </c>
      <c r="F860">
        <v>-42</v>
      </c>
      <c r="G860" s="13">
        <v>0.97199999999999998</v>
      </c>
      <c r="H860" t="s">
        <v>25</v>
      </c>
      <c r="I860">
        <v>1</v>
      </c>
      <c r="J860">
        <v>485</v>
      </c>
      <c r="K860" t="str">
        <f t="shared" si="13"/>
        <v>Filtered out</v>
      </c>
    </row>
    <row r="861" spans="1:11" x14ac:dyDescent="0.2">
      <c r="A861" t="s">
        <v>14</v>
      </c>
      <c r="B861" t="s">
        <v>13246</v>
      </c>
      <c r="C861" t="s">
        <v>13246</v>
      </c>
      <c r="D861">
        <v>2506</v>
      </c>
      <c r="E861">
        <v>2506</v>
      </c>
      <c r="F861">
        <v>0</v>
      </c>
      <c r="G861" s="13">
        <v>0.98699999999999999</v>
      </c>
      <c r="H861" t="s">
        <v>25</v>
      </c>
      <c r="I861">
        <v>1</v>
      </c>
      <c r="J861">
        <v>66</v>
      </c>
      <c r="K861" t="str">
        <f t="shared" si="13"/>
        <v>Retained</v>
      </c>
    </row>
    <row r="862" spans="1:11" x14ac:dyDescent="0.2">
      <c r="A862" t="s">
        <v>14208</v>
      </c>
      <c r="B862" t="s">
        <v>13246</v>
      </c>
      <c r="C862" t="s">
        <v>13246</v>
      </c>
      <c r="D862">
        <v>130</v>
      </c>
      <c r="E862">
        <v>295</v>
      </c>
      <c r="F862">
        <v>-55</v>
      </c>
      <c r="G862" s="13">
        <v>0.95299999999999996</v>
      </c>
      <c r="H862" t="s">
        <v>70</v>
      </c>
      <c r="I862">
        <v>0</v>
      </c>
      <c r="J862" t="s">
        <v>190</v>
      </c>
      <c r="K862" t="str">
        <f t="shared" si="13"/>
        <v>Filtered out</v>
      </c>
    </row>
    <row r="863" spans="1:11" x14ac:dyDescent="0.2">
      <c r="A863" t="s">
        <v>14209</v>
      </c>
      <c r="B863" t="s">
        <v>13246</v>
      </c>
      <c r="C863" t="s">
        <v>13246</v>
      </c>
      <c r="D863">
        <v>3292</v>
      </c>
      <c r="E863">
        <v>3703</v>
      </c>
      <c r="F863">
        <v>-11</v>
      </c>
      <c r="G863" s="13">
        <v>0.98399999999999999</v>
      </c>
      <c r="H863" t="s">
        <v>25</v>
      </c>
      <c r="I863">
        <v>1</v>
      </c>
      <c r="J863">
        <v>174</v>
      </c>
      <c r="K863" t="str">
        <f t="shared" si="13"/>
        <v>Filtered out</v>
      </c>
    </row>
    <row r="864" spans="1:11" x14ac:dyDescent="0.2">
      <c r="A864" t="s">
        <v>14210</v>
      </c>
      <c r="B864" t="s">
        <v>13295</v>
      </c>
      <c r="C864" t="s">
        <v>13295</v>
      </c>
      <c r="D864">
        <v>3334</v>
      </c>
      <c r="E864">
        <v>11273</v>
      </c>
      <c r="F864">
        <v>-70</v>
      </c>
      <c r="G864" s="13">
        <v>0.97599999999999998</v>
      </c>
      <c r="H864" t="s">
        <v>25</v>
      </c>
      <c r="I864">
        <v>1</v>
      </c>
      <c r="J864">
        <v>363</v>
      </c>
      <c r="K864" t="str">
        <f t="shared" si="13"/>
        <v>Filtered out</v>
      </c>
    </row>
    <row r="865" spans="1:11" x14ac:dyDescent="0.2">
      <c r="A865" t="s">
        <v>14211</v>
      </c>
      <c r="B865" t="s">
        <v>13547</v>
      </c>
      <c r="C865" t="s">
        <v>13246</v>
      </c>
      <c r="D865">
        <v>1204</v>
      </c>
      <c r="E865">
        <v>1228</v>
      </c>
      <c r="F865">
        <v>-1</v>
      </c>
      <c r="G865" s="13">
        <v>0.98299999999999998</v>
      </c>
      <c r="H865" t="s">
        <v>25</v>
      </c>
      <c r="I865">
        <v>1</v>
      </c>
      <c r="J865">
        <v>60</v>
      </c>
      <c r="K865" t="str">
        <f t="shared" si="13"/>
        <v>Filtered out</v>
      </c>
    </row>
    <row r="866" spans="1:11" x14ac:dyDescent="0.2">
      <c r="A866" t="s">
        <v>14212</v>
      </c>
      <c r="B866" t="s">
        <v>14213</v>
      </c>
      <c r="C866" t="s">
        <v>13246</v>
      </c>
      <c r="D866">
        <v>3091</v>
      </c>
      <c r="E866">
        <v>4117</v>
      </c>
      <c r="F866">
        <v>-24</v>
      </c>
      <c r="G866" s="13">
        <v>0.97699999999999998</v>
      </c>
      <c r="H866" t="s">
        <v>25</v>
      </c>
      <c r="I866">
        <v>1</v>
      </c>
      <c r="J866">
        <v>771</v>
      </c>
      <c r="K866" t="str">
        <f t="shared" si="13"/>
        <v>Filtered out</v>
      </c>
    </row>
    <row r="867" spans="1:11" x14ac:dyDescent="0.2">
      <c r="A867" t="s">
        <v>14214</v>
      </c>
      <c r="B867" t="s">
        <v>13270</v>
      </c>
      <c r="C867" t="s">
        <v>13283</v>
      </c>
      <c r="D867">
        <v>796</v>
      </c>
      <c r="E867">
        <v>682</v>
      </c>
      <c r="F867">
        <v>16</v>
      </c>
      <c r="G867" s="13">
        <v>0.98199999999999998</v>
      </c>
      <c r="H867" t="s">
        <v>25</v>
      </c>
      <c r="I867">
        <v>2</v>
      </c>
      <c r="J867">
        <v>29</v>
      </c>
      <c r="K867" t="str">
        <f t="shared" si="13"/>
        <v>Filtered out</v>
      </c>
    </row>
    <row r="868" spans="1:11" x14ac:dyDescent="0.2">
      <c r="A868" t="s">
        <v>14215</v>
      </c>
      <c r="B868" t="s">
        <v>13417</v>
      </c>
      <c r="C868" t="s">
        <v>13385</v>
      </c>
      <c r="D868">
        <v>3799</v>
      </c>
      <c r="E868">
        <v>4348</v>
      </c>
      <c r="F868">
        <v>-12</v>
      </c>
      <c r="G868" s="13">
        <v>0.65900000000000003</v>
      </c>
      <c r="H868" t="s">
        <v>25</v>
      </c>
      <c r="I868">
        <v>1</v>
      </c>
      <c r="J868">
        <v>673</v>
      </c>
      <c r="K868" t="str">
        <f t="shared" si="13"/>
        <v>Filtered out</v>
      </c>
    </row>
    <row r="869" spans="1:11" x14ac:dyDescent="0.2">
      <c r="A869" t="s">
        <v>27</v>
      </c>
      <c r="B869" t="s">
        <v>13511</v>
      </c>
      <c r="C869" t="s">
        <v>13511</v>
      </c>
      <c r="D869">
        <v>844</v>
      </c>
      <c r="E869">
        <v>844</v>
      </c>
      <c r="F869">
        <v>0</v>
      </c>
      <c r="G869" s="13">
        <v>0.996</v>
      </c>
      <c r="H869" t="s">
        <v>25</v>
      </c>
      <c r="I869">
        <v>1</v>
      </c>
      <c r="J869">
        <v>270</v>
      </c>
      <c r="K869" t="str">
        <f t="shared" si="13"/>
        <v>Retained</v>
      </c>
    </row>
    <row r="870" spans="1:11" x14ac:dyDescent="0.2">
      <c r="A870" t="s">
        <v>14217</v>
      </c>
      <c r="B870" t="s">
        <v>13355</v>
      </c>
      <c r="C870" t="s">
        <v>13355</v>
      </c>
      <c r="D870">
        <v>3397</v>
      </c>
      <c r="E870">
        <v>2824</v>
      </c>
      <c r="F870">
        <v>20</v>
      </c>
      <c r="G870" s="13">
        <v>0.97699999999999998</v>
      </c>
      <c r="H870" t="s">
        <v>25</v>
      </c>
      <c r="I870">
        <v>1</v>
      </c>
      <c r="J870">
        <v>810</v>
      </c>
      <c r="K870" t="str">
        <f t="shared" si="13"/>
        <v>Filtered out</v>
      </c>
    </row>
    <row r="871" spans="1:11" x14ac:dyDescent="0.2">
      <c r="A871" t="s">
        <v>14218</v>
      </c>
      <c r="B871" t="s">
        <v>13368</v>
      </c>
      <c r="C871" t="s">
        <v>13265</v>
      </c>
      <c r="D871">
        <v>193</v>
      </c>
      <c r="E871">
        <v>460</v>
      </c>
      <c r="F871">
        <v>-58</v>
      </c>
      <c r="G871" s="13">
        <v>1</v>
      </c>
      <c r="H871" t="s">
        <v>70</v>
      </c>
      <c r="I871">
        <v>0</v>
      </c>
      <c r="J871" t="s">
        <v>190</v>
      </c>
      <c r="K871" t="str">
        <f t="shared" si="13"/>
        <v>Filtered out</v>
      </c>
    </row>
    <row r="872" spans="1:11" x14ac:dyDescent="0.2">
      <c r="A872" t="s">
        <v>14219</v>
      </c>
      <c r="B872" t="s">
        <v>13308</v>
      </c>
      <c r="C872" t="s">
        <v>13246</v>
      </c>
      <c r="D872">
        <v>526</v>
      </c>
      <c r="E872">
        <v>784</v>
      </c>
      <c r="F872">
        <v>-32</v>
      </c>
      <c r="G872" s="13">
        <v>0.90900000000000003</v>
      </c>
      <c r="H872" t="s">
        <v>25</v>
      </c>
      <c r="I872">
        <v>1</v>
      </c>
      <c r="J872">
        <v>107</v>
      </c>
      <c r="K872" t="str">
        <f t="shared" si="13"/>
        <v>Filtered out</v>
      </c>
    </row>
    <row r="873" spans="1:11" x14ac:dyDescent="0.2">
      <c r="A873" t="s">
        <v>14220</v>
      </c>
      <c r="B873" t="s">
        <v>13263</v>
      </c>
      <c r="C873" t="s">
        <v>13263</v>
      </c>
      <c r="D873">
        <v>349</v>
      </c>
      <c r="E873">
        <v>241</v>
      </c>
      <c r="F873">
        <v>44</v>
      </c>
      <c r="G873" s="13">
        <v>1</v>
      </c>
      <c r="H873" t="s">
        <v>25</v>
      </c>
      <c r="I873">
        <v>1</v>
      </c>
      <c r="J873">
        <v>94</v>
      </c>
      <c r="K873" t="str">
        <f t="shared" si="13"/>
        <v>Filtered out</v>
      </c>
    </row>
    <row r="874" spans="1:11" x14ac:dyDescent="0.2">
      <c r="A874" t="s">
        <v>14221</v>
      </c>
      <c r="B874" t="s">
        <v>13337</v>
      </c>
      <c r="C874" t="s">
        <v>13246</v>
      </c>
      <c r="D874">
        <v>94</v>
      </c>
      <c r="E874">
        <v>1309</v>
      </c>
      <c r="F874">
        <v>-92</v>
      </c>
      <c r="G874" s="13">
        <v>0.80600000000000005</v>
      </c>
      <c r="H874" t="s">
        <v>70</v>
      </c>
      <c r="I874">
        <v>0</v>
      </c>
      <c r="J874" t="s">
        <v>190</v>
      </c>
      <c r="K874" t="str">
        <f t="shared" si="13"/>
        <v>Filtered out</v>
      </c>
    </row>
    <row r="875" spans="1:11" x14ac:dyDescent="0.2">
      <c r="A875" t="s">
        <v>14222</v>
      </c>
      <c r="B875" t="s">
        <v>13458</v>
      </c>
      <c r="C875" t="s">
        <v>13246</v>
      </c>
      <c r="D875">
        <v>7198</v>
      </c>
      <c r="E875">
        <v>11062</v>
      </c>
      <c r="F875">
        <v>-34</v>
      </c>
      <c r="G875" s="13">
        <v>0.98899999999999999</v>
      </c>
      <c r="H875" t="s">
        <v>25</v>
      </c>
      <c r="I875">
        <v>1</v>
      </c>
      <c r="J875">
        <v>1162</v>
      </c>
      <c r="K875" t="str">
        <f t="shared" si="13"/>
        <v>Filtered out</v>
      </c>
    </row>
    <row r="876" spans="1:11" x14ac:dyDescent="0.2">
      <c r="A876" t="s">
        <v>14223</v>
      </c>
      <c r="B876" t="s">
        <v>13289</v>
      </c>
      <c r="C876" t="s">
        <v>13289</v>
      </c>
      <c r="D876">
        <v>1564</v>
      </c>
      <c r="E876">
        <v>1564</v>
      </c>
      <c r="F876">
        <v>0</v>
      </c>
      <c r="G876" s="13">
        <v>0.89600000000000002</v>
      </c>
      <c r="H876" t="s">
        <v>25</v>
      </c>
      <c r="I876">
        <v>2</v>
      </c>
      <c r="J876">
        <v>55</v>
      </c>
      <c r="K876" t="str">
        <f t="shared" si="13"/>
        <v>Filtered out</v>
      </c>
    </row>
    <row r="877" spans="1:11" x14ac:dyDescent="0.2">
      <c r="A877" t="s">
        <v>14124</v>
      </c>
      <c r="B877" t="s">
        <v>13263</v>
      </c>
      <c r="C877" t="s">
        <v>13346</v>
      </c>
      <c r="D877">
        <v>1357</v>
      </c>
      <c r="E877">
        <v>1357</v>
      </c>
      <c r="F877">
        <v>0</v>
      </c>
      <c r="G877" s="13">
        <v>0.84099999999999997</v>
      </c>
      <c r="H877" t="s">
        <v>25</v>
      </c>
      <c r="I877">
        <v>1</v>
      </c>
      <c r="J877">
        <v>84</v>
      </c>
      <c r="K877" t="str">
        <f t="shared" si="13"/>
        <v>Filtered out</v>
      </c>
    </row>
    <row r="878" spans="1:11" x14ac:dyDescent="0.2">
      <c r="A878" t="s">
        <v>14196</v>
      </c>
      <c r="B878" t="s">
        <v>13560</v>
      </c>
      <c r="C878" t="s">
        <v>13263</v>
      </c>
      <c r="D878">
        <v>2275</v>
      </c>
      <c r="E878">
        <v>2302</v>
      </c>
      <c r="F878">
        <v>-1</v>
      </c>
      <c r="G878" s="13">
        <v>0.57299999999999995</v>
      </c>
      <c r="H878" t="s">
        <v>25</v>
      </c>
      <c r="I878">
        <v>1</v>
      </c>
      <c r="J878">
        <v>736</v>
      </c>
      <c r="K878" t="str">
        <f t="shared" si="13"/>
        <v>Filtered out</v>
      </c>
    </row>
    <row r="879" spans="1:11" x14ac:dyDescent="0.2">
      <c r="A879" t="s">
        <v>14224</v>
      </c>
      <c r="B879" t="s">
        <v>13450</v>
      </c>
      <c r="C879" t="s">
        <v>13450</v>
      </c>
      <c r="D879">
        <v>340</v>
      </c>
      <c r="E879">
        <v>340</v>
      </c>
      <c r="F879">
        <v>0</v>
      </c>
      <c r="G879" s="13">
        <v>0.94699999999999995</v>
      </c>
      <c r="H879" t="s">
        <v>25</v>
      </c>
      <c r="I879">
        <v>10</v>
      </c>
      <c r="J879">
        <v>28</v>
      </c>
      <c r="K879" t="str">
        <f t="shared" si="13"/>
        <v>Retained</v>
      </c>
    </row>
    <row r="880" spans="1:11" x14ac:dyDescent="0.2">
      <c r="A880" t="s">
        <v>14225</v>
      </c>
      <c r="B880" t="s">
        <v>13263</v>
      </c>
      <c r="C880" t="s">
        <v>13263</v>
      </c>
      <c r="D880">
        <v>169</v>
      </c>
      <c r="E880">
        <v>169</v>
      </c>
      <c r="F880">
        <v>0</v>
      </c>
      <c r="G880" s="13">
        <v>0.96399999999999997</v>
      </c>
      <c r="H880" t="s">
        <v>70</v>
      </c>
      <c r="I880">
        <v>0</v>
      </c>
      <c r="J880" t="s">
        <v>190</v>
      </c>
      <c r="K880" t="str">
        <f t="shared" si="13"/>
        <v>Filtered out</v>
      </c>
    </row>
    <row r="881" spans="1:11" x14ac:dyDescent="0.2">
      <c r="A881" t="s">
        <v>14226</v>
      </c>
      <c r="B881" t="s">
        <v>13484</v>
      </c>
      <c r="C881" t="s">
        <v>13379</v>
      </c>
      <c r="D881">
        <v>1843</v>
      </c>
      <c r="E881">
        <v>1885</v>
      </c>
      <c r="F881">
        <v>-2</v>
      </c>
      <c r="G881" s="13">
        <v>0.58699999999999997</v>
      </c>
      <c r="H881" t="s">
        <v>25</v>
      </c>
      <c r="I881">
        <v>2</v>
      </c>
      <c r="J881">
        <v>579</v>
      </c>
      <c r="K881" t="str">
        <f t="shared" si="13"/>
        <v>Filtered out</v>
      </c>
    </row>
    <row r="882" spans="1:11" x14ac:dyDescent="0.2">
      <c r="A882" t="s">
        <v>14227</v>
      </c>
      <c r="B882" t="s">
        <v>13312</v>
      </c>
      <c r="C882" t="s">
        <v>13246</v>
      </c>
      <c r="D882">
        <v>1786</v>
      </c>
      <c r="E882">
        <v>2020</v>
      </c>
      <c r="F882">
        <v>-11</v>
      </c>
      <c r="G882" s="13">
        <v>0.99199999999999999</v>
      </c>
      <c r="H882" t="s">
        <v>25</v>
      </c>
      <c r="I882">
        <v>1</v>
      </c>
      <c r="J882">
        <v>580</v>
      </c>
      <c r="K882" t="str">
        <f t="shared" si="13"/>
        <v>Filtered out</v>
      </c>
    </row>
    <row r="883" spans="1:11" x14ac:dyDescent="0.2">
      <c r="A883" t="s">
        <v>14228</v>
      </c>
      <c r="B883" t="s">
        <v>13263</v>
      </c>
      <c r="C883" t="s">
        <v>13263</v>
      </c>
      <c r="D883">
        <v>1357</v>
      </c>
      <c r="E883">
        <v>1357</v>
      </c>
      <c r="F883">
        <v>0</v>
      </c>
      <c r="G883" s="13">
        <v>0.99299999999999999</v>
      </c>
      <c r="H883" t="s">
        <v>25</v>
      </c>
      <c r="I883">
        <v>1</v>
      </c>
      <c r="J883">
        <v>446</v>
      </c>
      <c r="K883" t="str">
        <f t="shared" si="13"/>
        <v>Retained</v>
      </c>
    </row>
    <row r="884" spans="1:11" x14ac:dyDescent="0.2">
      <c r="A884" t="s">
        <v>14229</v>
      </c>
      <c r="B884" t="s">
        <v>13266</v>
      </c>
      <c r="C884" t="s">
        <v>13266</v>
      </c>
      <c r="D884">
        <v>1594</v>
      </c>
      <c r="E884">
        <v>1594</v>
      </c>
      <c r="F884">
        <v>0</v>
      </c>
      <c r="G884" s="13">
        <v>0.88400000000000001</v>
      </c>
      <c r="H884" t="s">
        <v>25</v>
      </c>
      <c r="I884">
        <v>2</v>
      </c>
      <c r="J884">
        <v>55</v>
      </c>
      <c r="K884" t="str">
        <f t="shared" si="13"/>
        <v>Filtered out</v>
      </c>
    </row>
    <row r="885" spans="1:11" x14ac:dyDescent="0.2">
      <c r="A885" t="s">
        <v>14230</v>
      </c>
      <c r="B885" t="s">
        <v>13248</v>
      </c>
      <c r="C885" t="s">
        <v>13246</v>
      </c>
      <c r="D885">
        <v>145</v>
      </c>
      <c r="E885">
        <v>394</v>
      </c>
      <c r="F885">
        <v>-63</v>
      </c>
      <c r="G885" s="13">
        <v>0.435</v>
      </c>
      <c r="H885" t="s">
        <v>70</v>
      </c>
      <c r="I885">
        <v>0</v>
      </c>
      <c r="J885" t="s">
        <v>190</v>
      </c>
      <c r="K885" t="str">
        <f t="shared" si="13"/>
        <v>Filtered out</v>
      </c>
    </row>
    <row r="886" spans="1:11" x14ac:dyDescent="0.2">
      <c r="A886" t="s">
        <v>14231</v>
      </c>
      <c r="B886" t="s">
        <v>13484</v>
      </c>
      <c r="C886" t="s">
        <v>13266</v>
      </c>
      <c r="D886">
        <v>1729</v>
      </c>
      <c r="E886">
        <v>1924</v>
      </c>
      <c r="F886">
        <v>-10</v>
      </c>
      <c r="G886" s="13">
        <v>0.75</v>
      </c>
      <c r="H886" t="s">
        <v>25</v>
      </c>
      <c r="I886">
        <v>2</v>
      </c>
      <c r="J886">
        <v>550</v>
      </c>
      <c r="K886" t="str">
        <f t="shared" si="13"/>
        <v>Filtered out</v>
      </c>
    </row>
    <row r="887" spans="1:11" x14ac:dyDescent="0.2">
      <c r="A887" t="s">
        <v>14227</v>
      </c>
      <c r="B887" t="s">
        <v>13312</v>
      </c>
      <c r="C887" t="s">
        <v>13246</v>
      </c>
      <c r="D887">
        <v>1786</v>
      </c>
      <c r="E887">
        <v>2020</v>
      </c>
      <c r="F887">
        <v>-11</v>
      </c>
      <c r="G887" s="13">
        <v>0.99199999999999999</v>
      </c>
      <c r="H887" t="s">
        <v>25</v>
      </c>
      <c r="I887">
        <v>1</v>
      </c>
      <c r="J887">
        <v>580</v>
      </c>
      <c r="K887" t="str">
        <f t="shared" si="13"/>
        <v>Filtered out</v>
      </c>
    </row>
    <row r="888" spans="1:11" x14ac:dyDescent="0.2">
      <c r="A888" t="s">
        <v>14232</v>
      </c>
      <c r="B888" t="s">
        <v>13450</v>
      </c>
      <c r="C888" t="s">
        <v>13266</v>
      </c>
      <c r="D888">
        <v>1426</v>
      </c>
      <c r="E888">
        <v>1795</v>
      </c>
      <c r="F888">
        <v>-20</v>
      </c>
      <c r="G888" s="13">
        <v>0.72299999999999998</v>
      </c>
      <c r="H888" t="s">
        <v>25</v>
      </c>
      <c r="I888">
        <v>1</v>
      </c>
      <c r="J888">
        <v>465</v>
      </c>
      <c r="K888" t="str">
        <f t="shared" si="13"/>
        <v>Filtered out</v>
      </c>
    </row>
    <row r="889" spans="1:11" x14ac:dyDescent="0.2">
      <c r="A889" t="s">
        <v>14229</v>
      </c>
      <c r="B889" t="s">
        <v>13266</v>
      </c>
      <c r="C889" t="s">
        <v>13266</v>
      </c>
      <c r="D889">
        <v>1594</v>
      </c>
      <c r="E889">
        <v>1594</v>
      </c>
      <c r="F889">
        <v>0</v>
      </c>
      <c r="G889" s="13">
        <v>0.88400000000000001</v>
      </c>
      <c r="H889" t="s">
        <v>25</v>
      </c>
      <c r="I889">
        <v>2</v>
      </c>
      <c r="J889">
        <v>55</v>
      </c>
      <c r="K889" t="str">
        <f t="shared" si="13"/>
        <v>Filtered out</v>
      </c>
    </row>
    <row r="890" spans="1:11" x14ac:dyDescent="0.2">
      <c r="A890" t="s">
        <v>14233</v>
      </c>
      <c r="B890" t="s">
        <v>13257</v>
      </c>
      <c r="C890" t="s">
        <v>13458</v>
      </c>
      <c r="D890">
        <v>616</v>
      </c>
      <c r="E890">
        <v>331</v>
      </c>
      <c r="F890">
        <v>86</v>
      </c>
      <c r="G890" s="13">
        <v>0.97299999999999998</v>
      </c>
      <c r="H890" t="s">
        <v>25</v>
      </c>
      <c r="I890">
        <v>1</v>
      </c>
      <c r="J890">
        <v>21</v>
      </c>
      <c r="K890" t="str">
        <f t="shared" si="13"/>
        <v>Filtered out</v>
      </c>
    </row>
    <row r="891" spans="1:11" x14ac:dyDescent="0.2">
      <c r="A891" t="s">
        <v>14234</v>
      </c>
      <c r="B891" t="s">
        <v>13263</v>
      </c>
      <c r="C891" t="s">
        <v>13263</v>
      </c>
      <c r="D891">
        <v>784</v>
      </c>
      <c r="E891">
        <v>463</v>
      </c>
      <c r="F891">
        <v>69</v>
      </c>
      <c r="G891" s="13">
        <v>0.92200000000000004</v>
      </c>
      <c r="H891" t="s">
        <v>25</v>
      </c>
      <c r="I891">
        <v>1</v>
      </c>
      <c r="J891">
        <v>77</v>
      </c>
      <c r="K891" t="str">
        <f t="shared" si="13"/>
        <v>Filtered out</v>
      </c>
    </row>
    <row r="892" spans="1:11" x14ac:dyDescent="0.2">
      <c r="A892" t="s">
        <v>14234</v>
      </c>
      <c r="B892" t="s">
        <v>13263</v>
      </c>
      <c r="C892" t="s">
        <v>13263</v>
      </c>
      <c r="D892">
        <v>784</v>
      </c>
      <c r="E892">
        <v>463</v>
      </c>
      <c r="F892">
        <v>69</v>
      </c>
      <c r="G892" s="13">
        <v>0.92200000000000004</v>
      </c>
      <c r="H892" t="s">
        <v>25</v>
      </c>
      <c r="I892">
        <v>1</v>
      </c>
      <c r="J892">
        <v>77</v>
      </c>
      <c r="K892" t="str">
        <f t="shared" si="13"/>
        <v>Filtered out</v>
      </c>
    </row>
    <row r="893" spans="1:11" x14ac:dyDescent="0.2">
      <c r="A893" t="s">
        <v>14235</v>
      </c>
      <c r="B893" t="s">
        <v>13452</v>
      </c>
      <c r="C893" t="s">
        <v>13452</v>
      </c>
      <c r="D893">
        <v>1258</v>
      </c>
      <c r="E893">
        <v>1258</v>
      </c>
      <c r="F893">
        <v>0</v>
      </c>
      <c r="G893" s="13">
        <v>0.93899999999999995</v>
      </c>
      <c r="H893" t="s">
        <v>25</v>
      </c>
      <c r="I893">
        <v>1</v>
      </c>
      <c r="J893">
        <v>274</v>
      </c>
      <c r="K893" t="str">
        <f t="shared" si="13"/>
        <v>Retained</v>
      </c>
    </row>
    <row r="894" spans="1:11" x14ac:dyDescent="0.2">
      <c r="A894" t="s">
        <v>14231</v>
      </c>
      <c r="B894" t="s">
        <v>13484</v>
      </c>
      <c r="C894" t="s">
        <v>13266</v>
      </c>
      <c r="D894">
        <v>1729</v>
      </c>
      <c r="E894">
        <v>1924</v>
      </c>
      <c r="F894">
        <v>-10</v>
      </c>
      <c r="G894" s="13">
        <v>0.75</v>
      </c>
      <c r="H894" t="s">
        <v>25</v>
      </c>
      <c r="I894">
        <v>2</v>
      </c>
      <c r="J894">
        <v>550</v>
      </c>
      <c r="K894" t="str">
        <f t="shared" si="13"/>
        <v>Filtered out</v>
      </c>
    </row>
    <row r="895" spans="1:11" x14ac:dyDescent="0.2">
      <c r="A895" t="s">
        <v>14232</v>
      </c>
      <c r="B895" t="s">
        <v>13450</v>
      </c>
      <c r="C895" t="s">
        <v>13266</v>
      </c>
      <c r="D895">
        <v>1426</v>
      </c>
      <c r="E895">
        <v>1795</v>
      </c>
      <c r="F895">
        <v>-20</v>
      </c>
      <c r="G895" s="13">
        <v>0.72299999999999998</v>
      </c>
      <c r="H895" t="s">
        <v>25</v>
      </c>
      <c r="I895">
        <v>1</v>
      </c>
      <c r="J895">
        <v>465</v>
      </c>
      <c r="K895" t="str">
        <f t="shared" si="13"/>
        <v>Filtered out</v>
      </c>
    </row>
    <row r="896" spans="1:11" x14ac:dyDescent="0.2">
      <c r="A896" t="s">
        <v>14228</v>
      </c>
      <c r="B896" t="s">
        <v>13263</v>
      </c>
      <c r="C896" t="s">
        <v>13263</v>
      </c>
      <c r="D896">
        <v>1357</v>
      </c>
      <c r="E896">
        <v>1357</v>
      </c>
      <c r="F896">
        <v>0</v>
      </c>
      <c r="G896" s="13">
        <v>0.99299999999999999</v>
      </c>
      <c r="H896" t="s">
        <v>25</v>
      </c>
      <c r="I896">
        <v>1</v>
      </c>
      <c r="J896">
        <v>446</v>
      </c>
      <c r="K896" t="str">
        <f t="shared" si="13"/>
        <v>Retained</v>
      </c>
    </row>
    <row r="897" spans="1:11" x14ac:dyDescent="0.2">
      <c r="A897" t="s">
        <v>14236</v>
      </c>
      <c r="B897" t="s">
        <v>13246</v>
      </c>
      <c r="C897" t="s">
        <v>13466</v>
      </c>
      <c r="D897">
        <v>3388</v>
      </c>
      <c r="E897">
        <v>1990</v>
      </c>
      <c r="F897">
        <v>70</v>
      </c>
      <c r="G897" s="13">
        <v>0.96299999999999997</v>
      </c>
      <c r="H897" t="s">
        <v>25</v>
      </c>
      <c r="I897">
        <v>1</v>
      </c>
      <c r="J897">
        <v>76</v>
      </c>
      <c r="K897" t="str">
        <f t="shared" si="13"/>
        <v>Filtered out</v>
      </c>
    </row>
    <row r="898" spans="1:11" x14ac:dyDescent="0.2">
      <c r="A898" t="s">
        <v>14237</v>
      </c>
      <c r="B898" t="s">
        <v>13442</v>
      </c>
      <c r="C898" t="s">
        <v>13246</v>
      </c>
      <c r="D898">
        <v>127</v>
      </c>
      <c r="E898">
        <v>685</v>
      </c>
      <c r="F898">
        <v>-81</v>
      </c>
      <c r="G898" s="13">
        <v>0.5</v>
      </c>
      <c r="H898" t="s">
        <v>70</v>
      </c>
      <c r="I898">
        <v>0</v>
      </c>
      <c r="J898" t="s">
        <v>190</v>
      </c>
      <c r="K898" t="str">
        <f t="shared" si="13"/>
        <v>Filtered out</v>
      </c>
    </row>
    <row r="899" spans="1:11" x14ac:dyDescent="0.2">
      <c r="A899" t="s">
        <v>14238</v>
      </c>
      <c r="B899" t="s">
        <v>13462</v>
      </c>
      <c r="C899" t="s">
        <v>13462</v>
      </c>
      <c r="D899">
        <v>1963</v>
      </c>
      <c r="E899">
        <v>2062</v>
      </c>
      <c r="F899">
        <v>-4</v>
      </c>
      <c r="G899" s="13">
        <v>0.91500000000000004</v>
      </c>
      <c r="H899" t="s">
        <v>25</v>
      </c>
      <c r="I899">
        <v>1</v>
      </c>
      <c r="J899">
        <v>379</v>
      </c>
      <c r="K899" t="str">
        <f t="shared" si="13"/>
        <v>Retained</v>
      </c>
    </row>
    <row r="900" spans="1:11" x14ac:dyDescent="0.2">
      <c r="A900" t="s">
        <v>14239</v>
      </c>
      <c r="B900" t="s">
        <v>13321</v>
      </c>
      <c r="C900" t="s">
        <v>13312</v>
      </c>
      <c r="D900">
        <v>1291</v>
      </c>
      <c r="E900">
        <v>1237</v>
      </c>
      <c r="F900">
        <v>4</v>
      </c>
      <c r="G900" s="13">
        <v>0.96599999999999997</v>
      </c>
      <c r="H900" t="s">
        <v>25</v>
      </c>
      <c r="I900">
        <v>1</v>
      </c>
      <c r="J900">
        <v>301</v>
      </c>
      <c r="K900" t="str">
        <f t="shared" si="13"/>
        <v>Filtered out</v>
      </c>
    </row>
    <row r="901" spans="1:11" x14ac:dyDescent="0.2">
      <c r="A901" t="s">
        <v>14240</v>
      </c>
      <c r="B901" t="s">
        <v>13283</v>
      </c>
      <c r="C901" t="s">
        <v>13246</v>
      </c>
      <c r="D901">
        <v>2647</v>
      </c>
      <c r="E901">
        <v>4036</v>
      </c>
      <c r="F901">
        <v>-34</v>
      </c>
      <c r="G901" s="13">
        <v>0.96799999999999997</v>
      </c>
      <c r="H901" t="s">
        <v>25</v>
      </c>
      <c r="I901">
        <v>1</v>
      </c>
      <c r="J901">
        <v>249</v>
      </c>
      <c r="K901" t="str">
        <f t="shared" si="13"/>
        <v>Filtered out</v>
      </c>
    </row>
    <row r="902" spans="1:11" x14ac:dyDescent="0.2">
      <c r="A902" t="s">
        <v>14241</v>
      </c>
      <c r="B902" t="s">
        <v>13246</v>
      </c>
      <c r="C902" t="s">
        <v>13246</v>
      </c>
      <c r="D902">
        <v>904</v>
      </c>
      <c r="E902">
        <v>913</v>
      </c>
      <c r="F902">
        <v>0</v>
      </c>
      <c r="G902" s="13">
        <v>0.97</v>
      </c>
      <c r="H902" t="s">
        <v>25</v>
      </c>
      <c r="I902">
        <v>1</v>
      </c>
      <c r="J902">
        <v>50</v>
      </c>
      <c r="K902" t="str">
        <f t="shared" si="13"/>
        <v>Retained</v>
      </c>
    </row>
    <row r="903" spans="1:11" x14ac:dyDescent="0.2">
      <c r="A903" t="s">
        <v>14242</v>
      </c>
      <c r="B903" t="s">
        <v>13246</v>
      </c>
      <c r="C903" t="s">
        <v>13246</v>
      </c>
      <c r="D903">
        <v>3112</v>
      </c>
      <c r="E903">
        <v>3112</v>
      </c>
      <c r="F903">
        <v>0</v>
      </c>
      <c r="G903" s="13">
        <v>0.99399999999999999</v>
      </c>
      <c r="H903" t="s">
        <v>25</v>
      </c>
      <c r="I903">
        <v>1</v>
      </c>
      <c r="J903">
        <v>689</v>
      </c>
      <c r="K903" t="str">
        <f t="shared" si="13"/>
        <v>Retained</v>
      </c>
    </row>
    <row r="904" spans="1:11" x14ac:dyDescent="0.2">
      <c r="A904" t="s">
        <v>14243</v>
      </c>
      <c r="B904" t="s">
        <v>13524</v>
      </c>
      <c r="C904" t="s">
        <v>13246</v>
      </c>
      <c r="D904">
        <v>3088</v>
      </c>
      <c r="E904">
        <v>3157</v>
      </c>
      <c r="F904">
        <v>-2</v>
      </c>
      <c r="G904" s="13">
        <v>0.96499999999999997</v>
      </c>
      <c r="H904" t="s">
        <v>25</v>
      </c>
      <c r="I904">
        <v>1</v>
      </c>
      <c r="J904">
        <v>131</v>
      </c>
      <c r="K904" t="str">
        <f t="shared" ref="K904:K967" si="14">IF(AND(B904=C904,F904&lt;10,F904&gt;-10,I904&gt;0,G904&gt;90%,G904&lt;100%),"Retained","Filtered out")</f>
        <v>Filtered out</v>
      </c>
    </row>
    <row r="905" spans="1:11" x14ac:dyDescent="0.2">
      <c r="A905" t="s">
        <v>14244</v>
      </c>
      <c r="B905" t="s">
        <v>13536</v>
      </c>
      <c r="C905" t="s">
        <v>13246</v>
      </c>
      <c r="D905">
        <v>2398</v>
      </c>
      <c r="E905">
        <v>2878</v>
      </c>
      <c r="F905">
        <v>-16</v>
      </c>
      <c r="G905" s="13">
        <v>0.95499999999999996</v>
      </c>
      <c r="H905" t="s">
        <v>25</v>
      </c>
      <c r="I905">
        <v>1</v>
      </c>
      <c r="J905">
        <v>711</v>
      </c>
      <c r="K905" t="str">
        <f t="shared" si="14"/>
        <v>Filtered out</v>
      </c>
    </row>
    <row r="906" spans="1:11" x14ac:dyDescent="0.2">
      <c r="A906" t="s">
        <v>14245</v>
      </c>
      <c r="B906" t="s">
        <v>13321</v>
      </c>
      <c r="C906" t="s">
        <v>13321</v>
      </c>
      <c r="D906">
        <v>1045</v>
      </c>
      <c r="E906">
        <v>1012</v>
      </c>
      <c r="F906">
        <v>3</v>
      </c>
      <c r="G906" s="13">
        <v>0.94399999999999995</v>
      </c>
      <c r="H906" t="s">
        <v>25</v>
      </c>
      <c r="I906">
        <v>1</v>
      </c>
      <c r="J906">
        <v>277</v>
      </c>
      <c r="K906" t="str">
        <f t="shared" si="14"/>
        <v>Retained</v>
      </c>
    </row>
    <row r="907" spans="1:11" x14ac:dyDescent="0.2">
      <c r="A907" t="s">
        <v>44</v>
      </c>
      <c r="B907" t="s">
        <v>14246</v>
      </c>
      <c r="C907" t="s">
        <v>13246</v>
      </c>
      <c r="D907">
        <v>493</v>
      </c>
      <c r="E907">
        <v>568</v>
      </c>
      <c r="F907">
        <v>-13</v>
      </c>
      <c r="G907" s="13">
        <v>0.97599999999999998</v>
      </c>
      <c r="H907" t="s">
        <v>25</v>
      </c>
      <c r="I907">
        <v>1</v>
      </c>
      <c r="J907">
        <v>56</v>
      </c>
      <c r="K907" t="str">
        <f t="shared" si="14"/>
        <v>Filtered out</v>
      </c>
    </row>
    <row r="908" spans="1:11" x14ac:dyDescent="0.2">
      <c r="A908" t="s">
        <v>14248</v>
      </c>
      <c r="B908" t="s">
        <v>13321</v>
      </c>
      <c r="C908" t="s">
        <v>13337</v>
      </c>
      <c r="D908">
        <v>856</v>
      </c>
      <c r="E908">
        <v>1792</v>
      </c>
      <c r="F908">
        <v>-52</v>
      </c>
      <c r="G908" s="13">
        <v>0.95399999999999996</v>
      </c>
      <c r="H908" t="s">
        <v>25</v>
      </c>
      <c r="I908">
        <v>1</v>
      </c>
      <c r="J908">
        <v>49</v>
      </c>
      <c r="K908" t="str">
        <f t="shared" si="14"/>
        <v>Filtered out</v>
      </c>
    </row>
    <row r="909" spans="1:11" x14ac:dyDescent="0.2">
      <c r="A909" t="s">
        <v>14249</v>
      </c>
      <c r="B909" t="s">
        <v>13668</v>
      </c>
      <c r="C909" t="s">
        <v>13385</v>
      </c>
      <c r="D909">
        <v>694</v>
      </c>
      <c r="E909">
        <v>685</v>
      </c>
      <c r="F909">
        <v>1</v>
      </c>
      <c r="G909" s="13">
        <v>0.96899999999999997</v>
      </c>
      <c r="H909" t="s">
        <v>25</v>
      </c>
      <c r="I909">
        <v>1</v>
      </c>
      <c r="J909">
        <v>116</v>
      </c>
      <c r="K909" t="str">
        <f t="shared" si="14"/>
        <v>Filtered out</v>
      </c>
    </row>
    <row r="910" spans="1:11" x14ac:dyDescent="0.2">
      <c r="A910" t="s">
        <v>14250</v>
      </c>
      <c r="B910" t="s">
        <v>13385</v>
      </c>
      <c r="C910" t="s">
        <v>13418</v>
      </c>
      <c r="D910">
        <v>109</v>
      </c>
      <c r="E910">
        <v>334</v>
      </c>
      <c r="F910">
        <v>-67</v>
      </c>
      <c r="G910" s="13">
        <v>1</v>
      </c>
      <c r="H910" t="s">
        <v>70</v>
      </c>
      <c r="I910">
        <v>0</v>
      </c>
      <c r="J910" t="s">
        <v>190</v>
      </c>
      <c r="K910" t="str">
        <f t="shared" si="14"/>
        <v>Filtered out</v>
      </c>
    </row>
    <row r="911" spans="1:11" x14ac:dyDescent="0.2">
      <c r="A911" t="s">
        <v>14251</v>
      </c>
      <c r="B911" t="s">
        <v>13418</v>
      </c>
      <c r="C911" t="s">
        <v>13377</v>
      </c>
      <c r="D911">
        <v>145</v>
      </c>
      <c r="E911">
        <v>298</v>
      </c>
      <c r="F911">
        <v>-51</v>
      </c>
      <c r="G911" s="13">
        <v>1</v>
      </c>
      <c r="H911" t="s">
        <v>70</v>
      </c>
      <c r="I911">
        <v>0</v>
      </c>
      <c r="J911" t="s">
        <v>190</v>
      </c>
      <c r="K911" t="str">
        <f t="shared" si="14"/>
        <v>Filtered out</v>
      </c>
    </row>
    <row r="912" spans="1:11" x14ac:dyDescent="0.2">
      <c r="A912" t="s">
        <v>14252</v>
      </c>
      <c r="B912" t="s">
        <v>13726</v>
      </c>
      <c r="C912" t="s">
        <v>13418</v>
      </c>
      <c r="D912">
        <v>700</v>
      </c>
      <c r="E912">
        <v>3670</v>
      </c>
      <c r="F912">
        <v>-80</v>
      </c>
      <c r="G912" s="13">
        <v>0.95699999999999996</v>
      </c>
      <c r="H912" t="s">
        <v>25</v>
      </c>
      <c r="I912">
        <v>1</v>
      </c>
      <c r="J912">
        <v>54</v>
      </c>
      <c r="K912" t="str">
        <f t="shared" si="14"/>
        <v>Filtered out</v>
      </c>
    </row>
    <row r="913" spans="1:11" x14ac:dyDescent="0.2">
      <c r="A913" t="s">
        <v>14253</v>
      </c>
      <c r="B913" t="s">
        <v>13246</v>
      </c>
      <c r="C913" t="s">
        <v>13246</v>
      </c>
      <c r="D913">
        <v>1018</v>
      </c>
      <c r="E913">
        <v>1018</v>
      </c>
      <c r="F913">
        <v>0</v>
      </c>
      <c r="G913" s="13">
        <v>0.96799999999999997</v>
      </c>
      <c r="H913" t="s">
        <v>25</v>
      </c>
      <c r="I913">
        <v>1</v>
      </c>
      <c r="J913">
        <v>206</v>
      </c>
      <c r="K913" t="str">
        <f t="shared" si="14"/>
        <v>Retained</v>
      </c>
    </row>
    <row r="914" spans="1:11" x14ac:dyDescent="0.2">
      <c r="A914" t="s">
        <v>14254</v>
      </c>
      <c r="B914" t="s">
        <v>13246</v>
      </c>
      <c r="C914" t="s">
        <v>13246</v>
      </c>
      <c r="D914">
        <v>2608</v>
      </c>
      <c r="E914">
        <v>2614</v>
      </c>
      <c r="F914">
        <v>0</v>
      </c>
      <c r="G914" s="13">
        <v>0.97899999999999998</v>
      </c>
      <c r="H914" t="s">
        <v>25</v>
      </c>
      <c r="I914">
        <v>1</v>
      </c>
      <c r="J914">
        <v>380</v>
      </c>
      <c r="K914" t="str">
        <f t="shared" si="14"/>
        <v>Retained</v>
      </c>
    </row>
    <row r="915" spans="1:11" x14ac:dyDescent="0.2">
      <c r="A915" t="s">
        <v>14255</v>
      </c>
      <c r="B915" t="s">
        <v>13248</v>
      </c>
      <c r="C915" t="s">
        <v>13246</v>
      </c>
      <c r="D915">
        <v>217</v>
      </c>
      <c r="E915">
        <v>331</v>
      </c>
      <c r="F915">
        <v>-34</v>
      </c>
      <c r="G915" s="13">
        <v>0.94399999999999995</v>
      </c>
      <c r="H915" t="s">
        <v>70</v>
      </c>
      <c r="I915">
        <v>0</v>
      </c>
      <c r="J915" t="s">
        <v>190</v>
      </c>
      <c r="K915" t="str">
        <f t="shared" si="14"/>
        <v>Filtered out</v>
      </c>
    </row>
    <row r="916" spans="1:11" x14ac:dyDescent="0.2">
      <c r="A916" t="s">
        <v>38</v>
      </c>
      <c r="B916" t="s">
        <v>13263</v>
      </c>
      <c r="C916" t="s">
        <v>13263</v>
      </c>
      <c r="D916">
        <v>1135</v>
      </c>
      <c r="E916">
        <v>1135</v>
      </c>
      <c r="F916">
        <v>0</v>
      </c>
      <c r="G916" s="13">
        <v>0.94699999999999995</v>
      </c>
      <c r="H916" t="s">
        <v>25</v>
      </c>
      <c r="I916">
        <v>1</v>
      </c>
      <c r="J916">
        <v>319</v>
      </c>
      <c r="K916" t="str">
        <f t="shared" si="14"/>
        <v>Retained</v>
      </c>
    </row>
    <row r="917" spans="1:11" x14ac:dyDescent="0.2">
      <c r="A917" t="s">
        <v>14257</v>
      </c>
      <c r="B917" t="s">
        <v>14258</v>
      </c>
      <c r="C917" t="s">
        <v>13246</v>
      </c>
      <c r="D917">
        <v>1561</v>
      </c>
      <c r="E917">
        <v>1918</v>
      </c>
      <c r="F917">
        <v>-18</v>
      </c>
      <c r="G917" s="13">
        <v>0.97099999999999997</v>
      </c>
      <c r="H917" t="s">
        <v>25</v>
      </c>
      <c r="I917">
        <v>1</v>
      </c>
      <c r="J917">
        <v>517</v>
      </c>
      <c r="K917" t="str">
        <f t="shared" si="14"/>
        <v>Filtered out</v>
      </c>
    </row>
    <row r="918" spans="1:11" x14ac:dyDescent="0.2">
      <c r="A918" t="s">
        <v>14259</v>
      </c>
      <c r="B918" t="s">
        <v>13263</v>
      </c>
      <c r="C918" t="s">
        <v>13295</v>
      </c>
      <c r="D918">
        <v>253</v>
      </c>
      <c r="E918">
        <v>1354</v>
      </c>
      <c r="F918">
        <v>-81</v>
      </c>
      <c r="G918" s="13">
        <v>0.27100000000000002</v>
      </c>
      <c r="H918" t="s">
        <v>70</v>
      </c>
      <c r="I918">
        <v>0</v>
      </c>
      <c r="J918" t="s">
        <v>190</v>
      </c>
      <c r="K918" t="str">
        <f t="shared" si="14"/>
        <v>Filtered out</v>
      </c>
    </row>
    <row r="919" spans="1:11" x14ac:dyDescent="0.2">
      <c r="A919" t="s">
        <v>14260</v>
      </c>
      <c r="B919" t="s">
        <v>13246</v>
      </c>
      <c r="C919" t="s">
        <v>13293</v>
      </c>
      <c r="D919">
        <v>5155</v>
      </c>
      <c r="E919">
        <v>4426</v>
      </c>
      <c r="F919">
        <v>16</v>
      </c>
      <c r="G919" s="13">
        <v>0.98699999999999999</v>
      </c>
      <c r="H919" t="s">
        <v>25</v>
      </c>
      <c r="I919">
        <v>1</v>
      </c>
      <c r="J919">
        <v>546</v>
      </c>
      <c r="K919" t="str">
        <f t="shared" si="14"/>
        <v>Filtered out</v>
      </c>
    </row>
    <row r="920" spans="1:11" x14ac:dyDescent="0.2">
      <c r="A920" t="s">
        <v>14261</v>
      </c>
      <c r="B920" t="s">
        <v>13446</v>
      </c>
      <c r="C920" t="s">
        <v>13446</v>
      </c>
      <c r="D920">
        <v>166</v>
      </c>
      <c r="E920">
        <v>187</v>
      </c>
      <c r="F920">
        <v>-11</v>
      </c>
      <c r="G920" s="13">
        <v>0.96399999999999997</v>
      </c>
      <c r="H920" t="s">
        <v>70</v>
      </c>
      <c r="I920">
        <v>0</v>
      </c>
      <c r="J920" t="s">
        <v>190</v>
      </c>
      <c r="K920" t="str">
        <f t="shared" si="14"/>
        <v>Filtered out</v>
      </c>
    </row>
    <row r="921" spans="1:11" x14ac:dyDescent="0.2">
      <c r="A921" t="s">
        <v>14262</v>
      </c>
      <c r="B921" t="s">
        <v>13806</v>
      </c>
      <c r="C921" t="s">
        <v>13314</v>
      </c>
      <c r="D921">
        <v>91</v>
      </c>
      <c r="E921">
        <v>535</v>
      </c>
      <c r="F921">
        <v>-82</v>
      </c>
      <c r="G921" s="13">
        <v>1</v>
      </c>
      <c r="H921" t="s">
        <v>70</v>
      </c>
      <c r="I921">
        <v>0</v>
      </c>
      <c r="J921" t="s">
        <v>190</v>
      </c>
      <c r="K921" t="str">
        <f t="shared" si="14"/>
        <v>Filtered out</v>
      </c>
    </row>
    <row r="922" spans="1:11" x14ac:dyDescent="0.2">
      <c r="A922" t="s">
        <v>14263</v>
      </c>
      <c r="B922" t="s">
        <v>14086</v>
      </c>
      <c r="C922" t="s">
        <v>13246</v>
      </c>
      <c r="D922">
        <v>118</v>
      </c>
      <c r="E922">
        <v>463</v>
      </c>
      <c r="F922">
        <v>-74</v>
      </c>
      <c r="G922" s="13">
        <v>1</v>
      </c>
      <c r="H922" t="s">
        <v>70</v>
      </c>
      <c r="I922">
        <v>0</v>
      </c>
      <c r="J922" t="s">
        <v>190</v>
      </c>
      <c r="K922" t="str">
        <f t="shared" si="14"/>
        <v>Filtered out</v>
      </c>
    </row>
    <row r="923" spans="1:11" x14ac:dyDescent="0.2">
      <c r="A923" t="s">
        <v>14264</v>
      </c>
      <c r="B923" t="s">
        <v>13246</v>
      </c>
      <c r="C923" t="s">
        <v>13246</v>
      </c>
      <c r="D923">
        <v>97</v>
      </c>
      <c r="E923">
        <v>358</v>
      </c>
      <c r="F923">
        <v>-72</v>
      </c>
      <c r="G923" s="13">
        <v>1</v>
      </c>
      <c r="H923" t="s">
        <v>70</v>
      </c>
      <c r="I923">
        <v>0</v>
      </c>
      <c r="J923" t="s">
        <v>190</v>
      </c>
      <c r="K923" t="str">
        <f t="shared" si="14"/>
        <v>Filtered out</v>
      </c>
    </row>
    <row r="924" spans="1:11" x14ac:dyDescent="0.2">
      <c r="A924" t="s">
        <v>14265</v>
      </c>
      <c r="B924" t="s">
        <v>13462</v>
      </c>
      <c r="C924" t="s">
        <v>13248</v>
      </c>
      <c r="D924">
        <v>889</v>
      </c>
      <c r="E924">
        <v>1168</v>
      </c>
      <c r="F924">
        <v>-23</v>
      </c>
      <c r="G924" s="13">
        <v>0.95299999999999996</v>
      </c>
      <c r="H924" t="s">
        <v>25</v>
      </c>
      <c r="I924">
        <v>1</v>
      </c>
      <c r="J924">
        <v>3</v>
      </c>
      <c r="K924" t="str">
        <f t="shared" si="14"/>
        <v>Filtered out</v>
      </c>
    </row>
    <row r="925" spans="1:11" x14ac:dyDescent="0.2">
      <c r="A925" t="s">
        <v>14266</v>
      </c>
      <c r="B925" t="s">
        <v>13703</v>
      </c>
      <c r="C925" t="s">
        <v>13246</v>
      </c>
      <c r="D925">
        <v>1585</v>
      </c>
      <c r="E925">
        <v>1915</v>
      </c>
      <c r="F925">
        <v>-17</v>
      </c>
      <c r="G925" s="13">
        <v>0.99099999999999999</v>
      </c>
      <c r="H925" t="s">
        <v>25</v>
      </c>
      <c r="I925">
        <v>1</v>
      </c>
      <c r="J925">
        <v>7</v>
      </c>
      <c r="K925" t="str">
        <f t="shared" si="14"/>
        <v>Filtered out</v>
      </c>
    </row>
    <row r="926" spans="1:11" x14ac:dyDescent="0.2">
      <c r="A926" t="s">
        <v>14267</v>
      </c>
      <c r="B926" t="s">
        <v>13369</v>
      </c>
      <c r="C926" t="s">
        <v>13246</v>
      </c>
      <c r="D926">
        <v>1006</v>
      </c>
      <c r="E926">
        <v>1312</v>
      </c>
      <c r="F926">
        <v>-23</v>
      </c>
      <c r="G926" s="13">
        <v>0.88800000000000001</v>
      </c>
      <c r="H926" t="s">
        <v>25</v>
      </c>
      <c r="I926">
        <v>2</v>
      </c>
      <c r="J926">
        <v>104</v>
      </c>
      <c r="K926" t="str">
        <f t="shared" si="14"/>
        <v>Filtered out</v>
      </c>
    </row>
    <row r="927" spans="1:11" x14ac:dyDescent="0.2">
      <c r="A927" t="s">
        <v>14268</v>
      </c>
      <c r="B927" t="s">
        <v>13246</v>
      </c>
      <c r="C927" t="s">
        <v>13246</v>
      </c>
      <c r="D927">
        <v>127</v>
      </c>
      <c r="E927">
        <v>451</v>
      </c>
      <c r="F927">
        <v>-71</v>
      </c>
      <c r="G927" s="13">
        <v>0.95199999999999996</v>
      </c>
      <c r="H927" t="s">
        <v>70</v>
      </c>
      <c r="I927">
        <v>0</v>
      </c>
      <c r="J927" t="s">
        <v>190</v>
      </c>
      <c r="K927" t="str">
        <f t="shared" si="14"/>
        <v>Filtered out</v>
      </c>
    </row>
    <row r="928" spans="1:11" x14ac:dyDescent="0.2">
      <c r="A928" t="s">
        <v>14269</v>
      </c>
      <c r="B928" t="s">
        <v>13246</v>
      </c>
      <c r="C928" t="s">
        <v>13246</v>
      </c>
      <c r="D928">
        <v>325</v>
      </c>
      <c r="E928">
        <v>406</v>
      </c>
      <c r="F928">
        <v>-19</v>
      </c>
      <c r="G928" s="13">
        <v>0.92600000000000005</v>
      </c>
      <c r="H928" t="s">
        <v>70</v>
      </c>
      <c r="I928">
        <v>0</v>
      </c>
      <c r="J928" t="s">
        <v>190</v>
      </c>
      <c r="K928" t="str">
        <f t="shared" si="14"/>
        <v>Filtered out</v>
      </c>
    </row>
    <row r="929" spans="1:11" x14ac:dyDescent="0.2">
      <c r="A929" t="s">
        <v>14270</v>
      </c>
      <c r="B929" t="s">
        <v>13806</v>
      </c>
      <c r="C929" t="s">
        <v>13246</v>
      </c>
      <c r="D929">
        <v>1291</v>
      </c>
      <c r="E929">
        <v>1663</v>
      </c>
      <c r="F929">
        <v>-22</v>
      </c>
      <c r="G929" s="13">
        <v>0.97899999999999998</v>
      </c>
      <c r="H929" t="s">
        <v>25</v>
      </c>
      <c r="I929">
        <v>1</v>
      </c>
      <c r="J929">
        <v>291</v>
      </c>
      <c r="K929" t="str">
        <f t="shared" si="14"/>
        <v>Filtered out</v>
      </c>
    </row>
    <row r="930" spans="1:11" x14ac:dyDescent="0.2">
      <c r="A930" t="s">
        <v>14271</v>
      </c>
      <c r="B930" t="s">
        <v>13246</v>
      </c>
      <c r="C930" t="s">
        <v>13246</v>
      </c>
      <c r="D930">
        <v>1771</v>
      </c>
      <c r="E930">
        <v>1771</v>
      </c>
      <c r="F930">
        <v>0</v>
      </c>
      <c r="G930" s="13">
        <v>0.997</v>
      </c>
      <c r="H930" t="s">
        <v>25</v>
      </c>
      <c r="I930">
        <v>2</v>
      </c>
      <c r="J930">
        <v>81</v>
      </c>
      <c r="K930" t="str">
        <f t="shared" si="14"/>
        <v>Retained</v>
      </c>
    </row>
    <row r="931" spans="1:11" x14ac:dyDescent="0.2">
      <c r="A931" t="s">
        <v>14272</v>
      </c>
      <c r="B931" t="s">
        <v>13462</v>
      </c>
      <c r="C931" t="s">
        <v>13246</v>
      </c>
      <c r="D931">
        <v>403</v>
      </c>
      <c r="E931">
        <v>1408</v>
      </c>
      <c r="F931">
        <v>-71</v>
      </c>
      <c r="G931" s="13">
        <v>0.97</v>
      </c>
      <c r="H931" t="s">
        <v>70</v>
      </c>
      <c r="I931">
        <v>0</v>
      </c>
      <c r="J931" t="s">
        <v>190</v>
      </c>
      <c r="K931" t="str">
        <f t="shared" si="14"/>
        <v>Filtered out</v>
      </c>
    </row>
    <row r="932" spans="1:11" x14ac:dyDescent="0.2">
      <c r="A932" t="s">
        <v>14273</v>
      </c>
      <c r="B932" t="s">
        <v>13318</v>
      </c>
      <c r="C932" t="s">
        <v>13318</v>
      </c>
      <c r="D932">
        <v>136</v>
      </c>
      <c r="E932">
        <v>193</v>
      </c>
      <c r="F932">
        <v>-29</v>
      </c>
      <c r="G932" s="13">
        <v>1</v>
      </c>
      <c r="H932" t="s">
        <v>70</v>
      </c>
      <c r="I932">
        <v>0</v>
      </c>
      <c r="J932" t="s">
        <v>190</v>
      </c>
      <c r="K932" t="str">
        <f t="shared" si="14"/>
        <v>Filtered out</v>
      </c>
    </row>
    <row r="933" spans="1:11" x14ac:dyDescent="0.2">
      <c r="A933" t="s">
        <v>14274</v>
      </c>
      <c r="B933" t="s">
        <v>14275</v>
      </c>
      <c r="C933" t="s">
        <v>13364</v>
      </c>
      <c r="D933">
        <v>991</v>
      </c>
      <c r="E933">
        <v>1078</v>
      </c>
      <c r="F933">
        <v>-8</v>
      </c>
      <c r="G933" s="13">
        <v>0.98799999999999999</v>
      </c>
      <c r="H933" t="s">
        <v>25</v>
      </c>
      <c r="I933">
        <v>1</v>
      </c>
      <c r="J933">
        <v>5</v>
      </c>
      <c r="K933" t="str">
        <f t="shared" si="14"/>
        <v>Filtered out</v>
      </c>
    </row>
    <row r="934" spans="1:11" x14ac:dyDescent="0.2">
      <c r="A934" t="s">
        <v>14276</v>
      </c>
      <c r="B934" t="s">
        <v>13297</v>
      </c>
      <c r="C934" t="s">
        <v>13297</v>
      </c>
      <c r="D934">
        <v>496</v>
      </c>
      <c r="E934">
        <v>496</v>
      </c>
      <c r="F934">
        <v>0</v>
      </c>
      <c r="G934" s="13">
        <v>0.95799999999999996</v>
      </c>
      <c r="H934" t="s">
        <v>25</v>
      </c>
      <c r="I934">
        <v>1</v>
      </c>
      <c r="J934">
        <v>36</v>
      </c>
      <c r="K934" t="str">
        <f t="shared" si="14"/>
        <v>Retained</v>
      </c>
    </row>
    <row r="935" spans="1:11" x14ac:dyDescent="0.2">
      <c r="A935" t="s">
        <v>14277</v>
      </c>
      <c r="B935" t="s">
        <v>13246</v>
      </c>
      <c r="C935" t="s">
        <v>13246</v>
      </c>
      <c r="D935">
        <v>202</v>
      </c>
      <c r="E935">
        <v>394</v>
      </c>
      <c r="F935">
        <v>-48</v>
      </c>
      <c r="G935" s="13">
        <v>0.98499999999999999</v>
      </c>
      <c r="H935" t="s">
        <v>70</v>
      </c>
      <c r="I935">
        <v>0</v>
      </c>
      <c r="J935" t="s">
        <v>190</v>
      </c>
      <c r="K935" t="str">
        <f t="shared" si="14"/>
        <v>Filtered out</v>
      </c>
    </row>
    <row r="936" spans="1:11" x14ac:dyDescent="0.2">
      <c r="A936" t="s">
        <v>14277</v>
      </c>
      <c r="B936" t="s">
        <v>13246</v>
      </c>
      <c r="C936" t="s">
        <v>13246</v>
      </c>
      <c r="D936">
        <v>202</v>
      </c>
      <c r="E936">
        <v>394</v>
      </c>
      <c r="F936">
        <v>-48</v>
      </c>
      <c r="G936" s="13">
        <v>0.98499999999999999</v>
      </c>
      <c r="H936" t="s">
        <v>70</v>
      </c>
      <c r="I936">
        <v>0</v>
      </c>
      <c r="J936" t="s">
        <v>190</v>
      </c>
      <c r="K936" t="str">
        <f t="shared" si="14"/>
        <v>Filtered out</v>
      </c>
    </row>
    <row r="937" spans="1:11" x14ac:dyDescent="0.2">
      <c r="A937" t="s">
        <v>14278</v>
      </c>
      <c r="B937" t="s">
        <v>13560</v>
      </c>
      <c r="C937" t="s">
        <v>13246</v>
      </c>
      <c r="D937">
        <v>199</v>
      </c>
      <c r="E937">
        <v>409</v>
      </c>
      <c r="F937">
        <v>-51</v>
      </c>
      <c r="G937" s="13">
        <v>0.97</v>
      </c>
      <c r="H937" t="s">
        <v>70</v>
      </c>
      <c r="I937">
        <v>0</v>
      </c>
      <c r="J937" t="s">
        <v>190</v>
      </c>
      <c r="K937" t="str">
        <f t="shared" si="14"/>
        <v>Filtered out</v>
      </c>
    </row>
    <row r="938" spans="1:11" x14ac:dyDescent="0.2">
      <c r="A938" t="s">
        <v>14279</v>
      </c>
      <c r="B938" t="s">
        <v>13560</v>
      </c>
      <c r="C938" t="s">
        <v>13246</v>
      </c>
      <c r="D938">
        <v>199</v>
      </c>
      <c r="E938">
        <v>409</v>
      </c>
      <c r="F938">
        <v>-51</v>
      </c>
      <c r="G938" s="13">
        <v>0.97</v>
      </c>
      <c r="H938" t="s">
        <v>70</v>
      </c>
      <c r="I938">
        <v>0</v>
      </c>
      <c r="J938" t="s">
        <v>190</v>
      </c>
      <c r="K938" t="str">
        <f t="shared" si="14"/>
        <v>Filtered out</v>
      </c>
    </row>
    <row r="939" spans="1:11" x14ac:dyDescent="0.2">
      <c r="A939" t="s">
        <v>14278</v>
      </c>
      <c r="B939" t="s">
        <v>13560</v>
      </c>
      <c r="C939" t="s">
        <v>13246</v>
      </c>
      <c r="D939">
        <v>199</v>
      </c>
      <c r="E939">
        <v>409</v>
      </c>
      <c r="F939">
        <v>-51</v>
      </c>
      <c r="G939" s="13">
        <v>0.97</v>
      </c>
      <c r="H939" t="s">
        <v>70</v>
      </c>
      <c r="I939">
        <v>0</v>
      </c>
      <c r="J939" t="s">
        <v>190</v>
      </c>
      <c r="K939" t="str">
        <f t="shared" si="14"/>
        <v>Filtered out</v>
      </c>
    </row>
    <row r="940" spans="1:11" x14ac:dyDescent="0.2">
      <c r="A940" t="s">
        <v>14279</v>
      </c>
      <c r="B940" t="s">
        <v>13560</v>
      </c>
      <c r="C940" t="s">
        <v>13246</v>
      </c>
      <c r="D940">
        <v>199</v>
      </c>
      <c r="E940">
        <v>409</v>
      </c>
      <c r="F940">
        <v>-51</v>
      </c>
      <c r="G940" s="13">
        <v>0.97</v>
      </c>
      <c r="H940" t="s">
        <v>70</v>
      </c>
      <c r="I940">
        <v>0</v>
      </c>
      <c r="J940" t="s">
        <v>190</v>
      </c>
      <c r="K940" t="str">
        <f t="shared" si="14"/>
        <v>Filtered out</v>
      </c>
    </row>
    <row r="941" spans="1:11" x14ac:dyDescent="0.2">
      <c r="A941" t="s">
        <v>14280</v>
      </c>
      <c r="B941" t="s">
        <v>13268</v>
      </c>
      <c r="C941" t="s">
        <v>13246</v>
      </c>
      <c r="D941">
        <v>178</v>
      </c>
      <c r="E941">
        <v>667</v>
      </c>
      <c r="F941">
        <v>-73</v>
      </c>
      <c r="G941" s="13">
        <v>0.96599999999999997</v>
      </c>
      <c r="H941" t="s">
        <v>70</v>
      </c>
      <c r="I941">
        <v>0</v>
      </c>
      <c r="J941" t="s">
        <v>190</v>
      </c>
      <c r="K941" t="str">
        <f t="shared" si="14"/>
        <v>Filtered out</v>
      </c>
    </row>
    <row r="942" spans="1:11" x14ac:dyDescent="0.2">
      <c r="A942" t="s">
        <v>14281</v>
      </c>
      <c r="B942" t="s">
        <v>13726</v>
      </c>
      <c r="C942" t="s">
        <v>13246</v>
      </c>
      <c r="D942">
        <v>442</v>
      </c>
      <c r="E942">
        <v>655</v>
      </c>
      <c r="F942">
        <v>-32</v>
      </c>
      <c r="G942" s="13">
        <v>0.95899999999999996</v>
      </c>
      <c r="H942" t="s">
        <v>25</v>
      </c>
      <c r="I942">
        <v>1</v>
      </c>
      <c r="J942">
        <v>3</v>
      </c>
      <c r="K942" t="str">
        <f t="shared" si="14"/>
        <v>Filtered out</v>
      </c>
    </row>
    <row r="943" spans="1:11" x14ac:dyDescent="0.2">
      <c r="A943" t="s">
        <v>14282</v>
      </c>
      <c r="B943" t="s">
        <v>13458</v>
      </c>
      <c r="C943" t="s">
        <v>13246</v>
      </c>
      <c r="D943">
        <v>556</v>
      </c>
      <c r="E943">
        <v>679</v>
      </c>
      <c r="F943">
        <v>-18</v>
      </c>
      <c r="G943" s="13">
        <v>0.82799999999999996</v>
      </c>
      <c r="H943" t="s">
        <v>70</v>
      </c>
      <c r="I943">
        <v>0</v>
      </c>
      <c r="J943" t="s">
        <v>190</v>
      </c>
      <c r="K943" t="str">
        <f t="shared" si="14"/>
        <v>Filtered out</v>
      </c>
    </row>
    <row r="944" spans="1:11" x14ac:dyDescent="0.2">
      <c r="A944" t="s">
        <v>14283</v>
      </c>
      <c r="B944" t="s">
        <v>13312</v>
      </c>
      <c r="C944" t="s">
        <v>13246</v>
      </c>
      <c r="D944">
        <v>448</v>
      </c>
      <c r="E944">
        <v>643</v>
      </c>
      <c r="F944">
        <v>-30</v>
      </c>
      <c r="G944" s="13">
        <v>0.94</v>
      </c>
      <c r="H944" t="s">
        <v>70</v>
      </c>
      <c r="I944">
        <v>0</v>
      </c>
      <c r="J944" t="s">
        <v>190</v>
      </c>
      <c r="K944" t="str">
        <f t="shared" si="14"/>
        <v>Filtered out</v>
      </c>
    </row>
    <row r="945" spans="1:11" x14ac:dyDescent="0.2">
      <c r="A945" t="s">
        <v>14284</v>
      </c>
      <c r="B945" t="s">
        <v>13246</v>
      </c>
      <c r="C945" t="s">
        <v>13246</v>
      </c>
      <c r="D945">
        <v>640</v>
      </c>
      <c r="E945">
        <v>643</v>
      </c>
      <c r="F945">
        <v>0</v>
      </c>
      <c r="G945" s="13">
        <v>0.97699999999999998</v>
      </c>
      <c r="H945" t="s">
        <v>25</v>
      </c>
      <c r="I945">
        <v>1</v>
      </c>
      <c r="J945">
        <v>67</v>
      </c>
      <c r="K945" t="str">
        <f t="shared" si="14"/>
        <v>Retained</v>
      </c>
    </row>
    <row r="946" spans="1:11" x14ac:dyDescent="0.2">
      <c r="A946" t="s">
        <v>14285</v>
      </c>
      <c r="B946" t="s">
        <v>13417</v>
      </c>
      <c r="C946" t="s">
        <v>13417</v>
      </c>
      <c r="D946">
        <v>1033</v>
      </c>
      <c r="E946">
        <v>1027</v>
      </c>
      <c r="F946">
        <v>0</v>
      </c>
      <c r="G946" s="13">
        <v>0.94499999999999995</v>
      </c>
      <c r="H946" t="s">
        <v>25</v>
      </c>
      <c r="I946">
        <v>1</v>
      </c>
      <c r="J946">
        <v>335</v>
      </c>
      <c r="K946" t="str">
        <f t="shared" si="14"/>
        <v>Retained</v>
      </c>
    </row>
    <row r="947" spans="1:11" x14ac:dyDescent="0.2">
      <c r="A947" t="s">
        <v>14286</v>
      </c>
      <c r="B947" t="s">
        <v>13263</v>
      </c>
      <c r="C947" t="s">
        <v>14287</v>
      </c>
      <c r="D947">
        <v>118</v>
      </c>
      <c r="E947">
        <v>850</v>
      </c>
      <c r="F947">
        <v>-86</v>
      </c>
      <c r="G947" s="13">
        <v>0.97399999999999998</v>
      </c>
      <c r="H947" t="s">
        <v>70</v>
      </c>
      <c r="I947">
        <v>0</v>
      </c>
      <c r="J947" t="s">
        <v>190</v>
      </c>
      <c r="K947" t="str">
        <f t="shared" si="14"/>
        <v>Filtered out</v>
      </c>
    </row>
    <row r="948" spans="1:11" x14ac:dyDescent="0.2">
      <c r="A948" t="s">
        <v>14288</v>
      </c>
      <c r="B948" t="s">
        <v>13265</v>
      </c>
      <c r="C948" t="s">
        <v>13265</v>
      </c>
      <c r="D948">
        <v>1381</v>
      </c>
      <c r="E948">
        <v>1381</v>
      </c>
      <c r="F948">
        <v>0</v>
      </c>
      <c r="G948" s="13">
        <v>0.98</v>
      </c>
      <c r="H948" t="s">
        <v>25</v>
      </c>
      <c r="I948">
        <v>1</v>
      </c>
      <c r="J948">
        <v>82</v>
      </c>
      <c r="K948" t="str">
        <f t="shared" si="14"/>
        <v>Retained</v>
      </c>
    </row>
    <row r="949" spans="1:11" x14ac:dyDescent="0.2">
      <c r="A949" t="s">
        <v>14289</v>
      </c>
      <c r="B949" t="s">
        <v>13246</v>
      </c>
      <c r="C949" t="s">
        <v>13246</v>
      </c>
      <c r="D949">
        <v>943</v>
      </c>
      <c r="E949">
        <v>943</v>
      </c>
      <c r="F949">
        <v>0</v>
      </c>
      <c r="G949" s="13">
        <v>0.97499999999999998</v>
      </c>
      <c r="H949" t="s">
        <v>25</v>
      </c>
      <c r="I949">
        <v>1</v>
      </c>
      <c r="J949">
        <v>310</v>
      </c>
      <c r="K949" t="str">
        <f t="shared" si="14"/>
        <v>Retained</v>
      </c>
    </row>
    <row r="950" spans="1:11" x14ac:dyDescent="0.2">
      <c r="A950" t="s">
        <v>50</v>
      </c>
      <c r="B950" t="s">
        <v>13246</v>
      </c>
      <c r="C950" t="s">
        <v>13246</v>
      </c>
      <c r="D950">
        <v>1027</v>
      </c>
      <c r="E950">
        <v>1027</v>
      </c>
      <c r="F950">
        <v>0</v>
      </c>
      <c r="G950" s="13">
        <v>0.97099999999999997</v>
      </c>
      <c r="H950" t="s">
        <v>25</v>
      </c>
      <c r="I950">
        <v>1</v>
      </c>
      <c r="J950">
        <v>310</v>
      </c>
      <c r="K950" t="str">
        <f t="shared" si="14"/>
        <v>Retained</v>
      </c>
    </row>
    <row r="951" spans="1:11" x14ac:dyDescent="0.2">
      <c r="A951" t="s">
        <v>14291</v>
      </c>
      <c r="B951" t="s">
        <v>13254</v>
      </c>
      <c r="C951" t="s">
        <v>13446</v>
      </c>
      <c r="D951">
        <v>805</v>
      </c>
      <c r="E951">
        <v>805</v>
      </c>
      <c r="F951">
        <v>0</v>
      </c>
      <c r="G951" s="13">
        <v>0.98099999999999998</v>
      </c>
      <c r="H951" t="s">
        <v>25</v>
      </c>
      <c r="I951">
        <v>1</v>
      </c>
      <c r="J951">
        <v>262</v>
      </c>
      <c r="K951" t="str">
        <f t="shared" si="14"/>
        <v>Filtered out</v>
      </c>
    </row>
    <row r="952" spans="1:11" x14ac:dyDescent="0.2">
      <c r="A952" t="s">
        <v>14292</v>
      </c>
      <c r="B952" t="s">
        <v>13254</v>
      </c>
      <c r="C952" t="s">
        <v>13446</v>
      </c>
      <c r="D952">
        <v>805</v>
      </c>
      <c r="E952">
        <v>805</v>
      </c>
      <c r="F952">
        <v>0</v>
      </c>
      <c r="G952" s="13">
        <v>0.98099999999999998</v>
      </c>
      <c r="H952" t="s">
        <v>25</v>
      </c>
      <c r="I952">
        <v>1</v>
      </c>
      <c r="J952">
        <v>262</v>
      </c>
      <c r="K952" t="str">
        <f t="shared" si="14"/>
        <v>Filtered out</v>
      </c>
    </row>
    <row r="953" spans="1:11" x14ac:dyDescent="0.2">
      <c r="A953" t="s">
        <v>14293</v>
      </c>
      <c r="B953" t="s">
        <v>13368</v>
      </c>
      <c r="C953" t="s">
        <v>13452</v>
      </c>
      <c r="D953">
        <v>1480</v>
      </c>
      <c r="E953">
        <v>2260</v>
      </c>
      <c r="F953">
        <v>-34</v>
      </c>
      <c r="G953" s="13">
        <v>0.95099999999999996</v>
      </c>
      <c r="H953" t="s">
        <v>25</v>
      </c>
      <c r="I953">
        <v>1</v>
      </c>
      <c r="J953">
        <v>235</v>
      </c>
      <c r="K953" t="str">
        <f t="shared" si="14"/>
        <v>Filtered out</v>
      </c>
    </row>
    <row r="954" spans="1:11" x14ac:dyDescent="0.2">
      <c r="A954" t="s">
        <v>14294</v>
      </c>
      <c r="B954" t="s">
        <v>13368</v>
      </c>
      <c r="C954" t="s">
        <v>13452</v>
      </c>
      <c r="D954">
        <v>1435</v>
      </c>
      <c r="E954">
        <v>2215</v>
      </c>
      <c r="F954">
        <v>-35</v>
      </c>
      <c r="G954" s="13">
        <v>0.95</v>
      </c>
      <c r="H954" t="s">
        <v>25</v>
      </c>
      <c r="I954">
        <v>1</v>
      </c>
      <c r="J954">
        <v>235</v>
      </c>
      <c r="K954" t="str">
        <f t="shared" si="14"/>
        <v>Filtered out</v>
      </c>
    </row>
    <row r="955" spans="1:11" x14ac:dyDescent="0.2">
      <c r="A955" t="s">
        <v>14295</v>
      </c>
      <c r="B955" t="s">
        <v>13368</v>
      </c>
      <c r="C955" t="s">
        <v>13263</v>
      </c>
      <c r="D955">
        <v>157</v>
      </c>
      <c r="E955">
        <v>352</v>
      </c>
      <c r="F955">
        <v>-55</v>
      </c>
      <c r="G955" s="13">
        <v>0.9</v>
      </c>
      <c r="H955" t="s">
        <v>70</v>
      </c>
      <c r="I955">
        <v>0</v>
      </c>
      <c r="J955" t="s">
        <v>190</v>
      </c>
      <c r="K955" t="str">
        <f t="shared" si="14"/>
        <v>Filtered out</v>
      </c>
    </row>
    <row r="956" spans="1:11" x14ac:dyDescent="0.2">
      <c r="A956" t="s">
        <v>14296</v>
      </c>
      <c r="B956" t="s">
        <v>13714</v>
      </c>
      <c r="C956" t="s">
        <v>13246</v>
      </c>
      <c r="D956">
        <v>1507</v>
      </c>
      <c r="E956">
        <v>1516</v>
      </c>
      <c r="F956">
        <v>0</v>
      </c>
      <c r="G956" s="13">
        <v>0.95</v>
      </c>
      <c r="H956" t="s">
        <v>25</v>
      </c>
      <c r="I956">
        <v>2</v>
      </c>
      <c r="J956">
        <v>26</v>
      </c>
      <c r="K956" t="str">
        <f t="shared" si="14"/>
        <v>Filtered out</v>
      </c>
    </row>
    <row r="957" spans="1:11" x14ac:dyDescent="0.2">
      <c r="A957" t="s">
        <v>14297</v>
      </c>
      <c r="B957" t="s">
        <v>13304</v>
      </c>
      <c r="C957" t="s">
        <v>13304</v>
      </c>
      <c r="D957">
        <v>1363</v>
      </c>
      <c r="E957">
        <v>1363</v>
      </c>
      <c r="F957">
        <v>0</v>
      </c>
      <c r="G957" s="13">
        <v>0.96499999999999997</v>
      </c>
      <c r="H957" t="s">
        <v>25</v>
      </c>
      <c r="I957">
        <v>1</v>
      </c>
      <c r="J957">
        <v>179</v>
      </c>
      <c r="K957" t="str">
        <f t="shared" si="14"/>
        <v>Retained</v>
      </c>
    </row>
    <row r="958" spans="1:11" x14ac:dyDescent="0.2">
      <c r="A958" t="s">
        <v>14298</v>
      </c>
      <c r="B958" t="s">
        <v>13268</v>
      </c>
      <c r="C958" t="s">
        <v>13325</v>
      </c>
      <c r="D958">
        <v>334</v>
      </c>
      <c r="E958">
        <v>385</v>
      </c>
      <c r="F958">
        <v>-13</v>
      </c>
      <c r="G958" s="13">
        <v>0.95499999999999996</v>
      </c>
      <c r="H958" t="s">
        <v>25</v>
      </c>
      <c r="I958">
        <v>1</v>
      </c>
      <c r="J958">
        <v>3</v>
      </c>
      <c r="K958" t="str">
        <f t="shared" si="14"/>
        <v>Filtered out</v>
      </c>
    </row>
    <row r="959" spans="1:11" x14ac:dyDescent="0.2">
      <c r="A959" t="s">
        <v>14299</v>
      </c>
      <c r="B959" t="s">
        <v>13245</v>
      </c>
      <c r="C959" t="s">
        <v>13246</v>
      </c>
      <c r="D959">
        <v>553</v>
      </c>
      <c r="E959">
        <v>2275</v>
      </c>
      <c r="F959">
        <v>-75</v>
      </c>
      <c r="G959" s="13">
        <v>0.97799999999999998</v>
      </c>
      <c r="H959" t="s">
        <v>70</v>
      </c>
      <c r="I959">
        <v>0</v>
      </c>
      <c r="J959" t="s">
        <v>190</v>
      </c>
      <c r="K959" t="str">
        <f t="shared" si="14"/>
        <v>Filtered out</v>
      </c>
    </row>
    <row r="960" spans="1:11" x14ac:dyDescent="0.2">
      <c r="A960" t="s">
        <v>46</v>
      </c>
      <c r="B960" t="s">
        <v>13246</v>
      </c>
      <c r="C960" t="s">
        <v>13246</v>
      </c>
      <c r="D960">
        <v>2029</v>
      </c>
      <c r="E960">
        <v>2188</v>
      </c>
      <c r="F960">
        <v>-7</v>
      </c>
      <c r="G960" s="13">
        <v>0.99</v>
      </c>
      <c r="H960" t="s">
        <v>25</v>
      </c>
      <c r="I960">
        <v>1</v>
      </c>
      <c r="J960">
        <v>62</v>
      </c>
      <c r="K960" t="str">
        <f t="shared" si="14"/>
        <v>Retained</v>
      </c>
    </row>
    <row r="961" spans="1:11" x14ac:dyDescent="0.2">
      <c r="A961" t="s">
        <v>14301</v>
      </c>
      <c r="B961" t="s">
        <v>13246</v>
      </c>
      <c r="C961" t="s">
        <v>13501</v>
      </c>
      <c r="D961">
        <v>1468</v>
      </c>
      <c r="E961">
        <v>1459</v>
      </c>
      <c r="F961">
        <v>0</v>
      </c>
      <c r="G961" s="13">
        <v>0.86599999999999999</v>
      </c>
      <c r="H961" t="s">
        <v>25</v>
      </c>
      <c r="I961">
        <v>1</v>
      </c>
      <c r="J961">
        <v>74</v>
      </c>
      <c r="K961" t="str">
        <f t="shared" si="14"/>
        <v>Filtered out</v>
      </c>
    </row>
    <row r="962" spans="1:11" x14ac:dyDescent="0.2">
      <c r="A962" t="s">
        <v>23</v>
      </c>
      <c r="B962" t="s">
        <v>13254</v>
      </c>
      <c r="C962" t="s">
        <v>13254</v>
      </c>
      <c r="D962">
        <v>2287</v>
      </c>
      <c r="E962">
        <v>2293</v>
      </c>
      <c r="F962">
        <v>0</v>
      </c>
      <c r="G962" s="13">
        <v>0.99199999999999999</v>
      </c>
      <c r="H962" t="s">
        <v>25</v>
      </c>
      <c r="I962">
        <v>1</v>
      </c>
      <c r="J962">
        <v>451</v>
      </c>
      <c r="K962" t="str">
        <f t="shared" si="14"/>
        <v>Retained</v>
      </c>
    </row>
    <row r="963" spans="1:11" x14ac:dyDescent="0.2">
      <c r="A963" t="s">
        <v>14303</v>
      </c>
      <c r="B963" t="s">
        <v>13373</v>
      </c>
      <c r="C963" t="s">
        <v>13373</v>
      </c>
      <c r="D963">
        <v>2116</v>
      </c>
      <c r="E963">
        <v>2116</v>
      </c>
      <c r="F963">
        <v>0</v>
      </c>
      <c r="G963" s="13">
        <v>0.95399999999999996</v>
      </c>
      <c r="H963" t="s">
        <v>25</v>
      </c>
      <c r="I963">
        <v>1</v>
      </c>
      <c r="J963">
        <v>437</v>
      </c>
      <c r="K963" t="str">
        <f t="shared" si="14"/>
        <v>Retained</v>
      </c>
    </row>
    <row r="964" spans="1:11" x14ac:dyDescent="0.2">
      <c r="A964" t="s">
        <v>14304</v>
      </c>
      <c r="B964" t="s">
        <v>13726</v>
      </c>
      <c r="C964" t="s">
        <v>13248</v>
      </c>
      <c r="D964">
        <v>94</v>
      </c>
      <c r="E964">
        <v>214</v>
      </c>
      <c r="F964">
        <v>-56</v>
      </c>
      <c r="G964" s="13">
        <v>1</v>
      </c>
      <c r="H964" t="s">
        <v>70</v>
      </c>
      <c r="I964">
        <v>0</v>
      </c>
      <c r="J964" t="s">
        <v>190</v>
      </c>
      <c r="K964" t="str">
        <f t="shared" si="14"/>
        <v>Filtered out</v>
      </c>
    </row>
    <row r="965" spans="1:11" x14ac:dyDescent="0.2">
      <c r="A965" t="s">
        <v>14305</v>
      </c>
      <c r="B965" t="s">
        <v>13452</v>
      </c>
      <c r="C965" t="s">
        <v>13536</v>
      </c>
      <c r="D965">
        <v>1774</v>
      </c>
      <c r="E965">
        <v>1219</v>
      </c>
      <c r="F965">
        <v>45</v>
      </c>
      <c r="G965" s="13">
        <v>0.99299999999999999</v>
      </c>
      <c r="H965" t="s">
        <v>25</v>
      </c>
      <c r="I965">
        <v>2</v>
      </c>
      <c r="J965">
        <v>562</v>
      </c>
      <c r="K965" t="str">
        <f t="shared" si="14"/>
        <v>Filtered out</v>
      </c>
    </row>
    <row r="966" spans="1:11" x14ac:dyDescent="0.2">
      <c r="A966" t="s">
        <v>14306</v>
      </c>
      <c r="B966" t="s">
        <v>13246</v>
      </c>
      <c r="C966" t="s">
        <v>13246</v>
      </c>
      <c r="D966">
        <v>166</v>
      </c>
      <c r="E966">
        <v>337</v>
      </c>
      <c r="F966">
        <v>-50</v>
      </c>
      <c r="G966" s="13">
        <v>0.96399999999999997</v>
      </c>
      <c r="H966" t="s">
        <v>70</v>
      </c>
      <c r="I966">
        <v>0</v>
      </c>
      <c r="J966" t="s">
        <v>190</v>
      </c>
      <c r="K966" t="str">
        <f t="shared" si="14"/>
        <v>Filtered out</v>
      </c>
    </row>
    <row r="967" spans="1:11" x14ac:dyDescent="0.2">
      <c r="A967" t="s">
        <v>14307</v>
      </c>
      <c r="B967" t="s">
        <v>13418</v>
      </c>
      <c r="C967" t="s">
        <v>14275</v>
      </c>
      <c r="D967">
        <v>175</v>
      </c>
      <c r="E967">
        <v>304</v>
      </c>
      <c r="F967">
        <v>-42</v>
      </c>
      <c r="G967" s="13">
        <v>0.93100000000000005</v>
      </c>
      <c r="H967" t="s">
        <v>70</v>
      </c>
      <c r="I967">
        <v>0</v>
      </c>
      <c r="J967" t="s">
        <v>190</v>
      </c>
      <c r="K967" t="str">
        <f t="shared" si="14"/>
        <v>Filtered out</v>
      </c>
    </row>
    <row r="968" spans="1:11" x14ac:dyDescent="0.2">
      <c r="A968" t="s">
        <v>14308</v>
      </c>
      <c r="B968" t="s">
        <v>13647</v>
      </c>
      <c r="C968" t="s">
        <v>13246</v>
      </c>
      <c r="D968">
        <v>6982</v>
      </c>
      <c r="E968">
        <v>10123</v>
      </c>
      <c r="F968">
        <v>-31</v>
      </c>
      <c r="G968" s="13">
        <v>0.97199999999999998</v>
      </c>
      <c r="H968" t="s">
        <v>25</v>
      </c>
      <c r="I968">
        <v>1</v>
      </c>
      <c r="J968">
        <v>1777</v>
      </c>
      <c r="K968" t="str">
        <f t="shared" ref="K968:K1031" si="15">IF(AND(B968=C968,F968&lt;10,F968&gt;-10,I968&gt;0,G968&gt;90%,G968&lt;100%),"Retained","Filtered out")</f>
        <v>Filtered out</v>
      </c>
    </row>
    <row r="969" spans="1:11" x14ac:dyDescent="0.2">
      <c r="A969" t="s">
        <v>64</v>
      </c>
      <c r="B969" t="s">
        <v>13246</v>
      </c>
      <c r="C969" t="s">
        <v>13246</v>
      </c>
      <c r="D969">
        <v>2890</v>
      </c>
      <c r="E969">
        <v>2890</v>
      </c>
      <c r="F969">
        <v>0</v>
      </c>
      <c r="G969" s="13">
        <v>0.999</v>
      </c>
      <c r="H969" t="s">
        <v>25</v>
      </c>
      <c r="I969">
        <v>1</v>
      </c>
      <c r="J969">
        <v>14</v>
      </c>
      <c r="K969" t="str">
        <f t="shared" si="15"/>
        <v>Retained</v>
      </c>
    </row>
    <row r="970" spans="1:11" x14ac:dyDescent="0.2">
      <c r="A970" t="s">
        <v>14310</v>
      </c>
      <c r="B970" t="s">
        <v>13263</v>
      </c>
      <c r="C970" t="s">
        <v>13385</v>
      </c>
      <c r="D970">
        <v>1105</v>
      </c>
      <c r="E970">
        <v>685</v>
      </c>
      <c r="F970">
        <v>61</v>
      </c>
      <c r="G970" s="13">
        <v>0.621</v>
      </c>
      <c r="H970" t="s">
        <v>25</v>
      </c>
      <c r="I970">
        <v>1</v>
      </c>
      <c r="J970">
        <v>62</v>
      </c>
      <c r="K970" t="str">
        <f t="shared" si="15"/>
        <v>Filtered out</v>
      </c>
    </row>
    <row r="971" spans="1:11" x14ac:dyDescent="0.2">
      <c r="A971" t="s">
        <v>14311</v>
      </c>
      <c r="B971" t="s">
        <v>13245</v>
      </c>
      <c r="C971" t="s">
        <v>190</v>
      </c>
      <c r="D971">
        <v>112</v>
      </c>
      <c r="E971">
        <v>1</v>
      </c>
      <c r="F971">
        <v>11100</v>
      </c>
      <c r="G971" t="s">
        <v>190</v>
      </c>
      <c r="H971" t="s">
        <v>190</v>
      </c>
      <c r="I971" t="s">
        <v>190</v>
      </c>
      <c r="J971" t="s">
        <v>190</v>
      </c>
      <c r="K971" t="s">
        <v>14814</v>
      </c>
    </row>
    <row r="972" spans="1:11" x14ac:dyDescent="0.2">
      <c r="A972" t="s">
        <v>14312</v>
      </c>
      <c r="B972" t="s">
        <v>13295</v>
      </c>
      <c r="C972" t="s">
        <v>13295</v>
      </c>
      <c r="D972">
        <v>2107</v>
      </c>
      <c r="E972">
        <v>2107</v>
      </c>
      <c r="F972">
        <v>0</v>
      </c>
      <c r="G972" s="13">
        <v>0.98399999999999999</v>
      </c>
      <c r="H972" t="s">
        <v>25</v>
      </c>
      <c r="I972">
        <v>2</v>
      </c>
      <c r="J972">
        <v>487</v>
      </c>
      <c r="K972" t="str">
        <f t="shared" si="15"/>
        <v>Retained</v>
      </c>
    </row>
    <row r="973" spans="1:11" x14ac:dyDescent="0.2">
      <c r="A973" t="s">
        <v>14313</v>
      </c>
      <c r="B973" t="s">
        <v>14172</v>
      </c>
      <c r="C973" t="s">
        <v>14172</v>
      </c>
      <c r="D973">
        <v>1924</v>
      </c>
      <c r="E973">
        <v>1924</v>
      </c>
      <c r="F973">
        <v>0</v>
      </c>
      <c r="G973" s="13">
        <v>1</v>
      </c>
      <c r="H973" t="s">
        <v>25</v>
      </c>
      <c r="I973">
        <v>1</v>
      </c>
      <c r="J973">
        <v>7</v>
      </c>
      <c r="K973" t="str">
        <f t="shared" si="15"/>
        <v>Filtered out</v>
      </c>
    </row>
    <row r="974" spans="1:11" x14ac:dyDescent="0.2">
      <c r="A974" t="s">
        <v>14314</v>
      </c>
      <c r="B974" t="s">
        <v>13263</v>
      </c>
      <c r="C974" t="s">
        <v>13263</v>
      </c>
      <c r="D974">
        <v>184</v>
      </c>
      <c r="E974">
        <v>274</v>
      </c>
      <c r="F974">
        <v>-32</v>
      </c>
      <c r="G974" s="13">
        <v>0.98399999999999999</v>
      </c>
      <c r="H974" t="s">
        <v>70</v>
      </c>
      <c r="I974">
        <v>0</v>
      </c>
      <c r="J974" t="s">
        <v>190</v>
      </c>
      <c r="K974" t="str">
        <f t="shared" si="15"/>
        <v>Filtered out</v>
      </c>
    </row>
    <row r="975" spans="1:11" x14ac:dyDescent="0.2">
      <c r="A975" t="s">
        <v>14315</v>
      </c>
      <c r="B975" t="s">
        <v>13246</v>
      </c>
      <c r="C975" t="s">
        <v>13278</v>
      </c>
      <c r="D975">
        <v>295</v>
      </c>
      <c r="E975">
        <v>838</v>
      </c>
      <c r="F975">
        <v>-64</v>
      </c>
      <c r="G975" s="13">
        <v>0.99</v>
      </c>
      <c r="H975" t="s">
        <v>70</v>
      </c>
      <c r="I975">
        <v>0</v>
      </c>
      <c r="J975" t="s">
        <v>190</v>
      </c>
      <c r="K975" t="str">
        <f t="shared" si="15"/>
        <v>Filtered out</v>
      </c>
    </row>
    <row r="976" spans="1:11" x14ac:dyDescent="0.2">
      <c r="A976" t="s">
        <v>14316</v>
      </c>
      <c r="B976" t="s">
        <v>13246</v>
      </c>
      <c r="C976" t="s">
        <v>13246</v>
      </c>
      <c r="D976">
        <v>1369</v>
      </c>
      <c r="E976">
        <v>1585</v>
      </c>
      <c r="F976">
        <v>-13</v>
      </c>
      <c r="G976" s="13">
        <v>0.96699999999999997</v>
      </c>
      <c r="H976" t="s">
        <v>25</v>
      </c>
      <c r="I976">
        <v>2</v>
      </c>
      <c r="J976">
        <v>398</v>
      </c>
      <c r="K976" t="str">
        <f t="shared" si="15"/>
        <v>Filtered out</v>
      </c>
    </row>
    <row r="977" spans="1:11" x14ac:dyDescent="0.2">
      <c r="A977" t="s">
        <v>14317</v>
      </c>
      <c r="B977" t="s">
        <v>13246</v>
      </c>
      <c r="C977" t="s">
        <v>13246</v>
      </c>
      <c r="D977">
        <v>352</v>
      </c>
      <c r="E977">
        <v>298</v>
      </c>
      <c r="F977">
        <v>18</v>
      </c>
      <c r="G977" s="13">
        <v>0.99</v>
      </c>
      <c r="H977" t="s">
        <v>25</v>
      </c>
      <c r="I977">
        <v>1</v>
      </c>
      <c r="J977">
        <v>105</v>
      </c>
      <c r="K977" t="str">
        <f t="shared" si="15"/>
        <v>Filtered out</v>
      </c>
    </row>
    <row r="978" spans="1:11" x14ac:dyDescent="0.2">
      <c r="A978" t="s">
        <v>14318</v>
      </c>
      <c r="B978" t="s">
        <v>13628</v>
      </c>
      <c r="C978" t="s">
        <v>14319</v>
      </c>
      <c r="D978">
        <v>712</v>
      </c>
      <c r="E978">
        <v>1480</v>
      </c>
      <c r="F978">
        <v>-51</v>
      </c>
      <c r="G978" s="13">
        <v>0.97899999999999998</v>
      </c>
      <c r="H978" t="s">
        <v>25</v>
      </c>
      <c r="I978">
        <v>2</v>
      </c>
      <c r="J978">
        <v>229</v>
      </c>
      <c r="K978" t="str">
        <f t="shared" si="15"/>
        <v>Filtered out</v>
      </c>
    </row>
    <row r="979" spans="1:11" x14ac:dyDescent="0.2">
      <c r="A979" t="s">
        <v>14320</v>
      </c>
      <c r="B979" t="s">
        <v>13289</v>
      </c>
      <c r="C979" t="s">
        <v>13446</v>
      </c>
      <c r="D979">
        <v>1261</v>
      </c>
      <c r="E979">
        <v>1960</v>
      </c>
      <c r="F979">
        <v>-35</v>
      </c>
      <c r="G979" s="13">
        <v>0.83</v>
      </c>
      <c r="H979" t="s">
        <v>25</v>
      </c>
      <c r="I979">
        <v>1</v>
      </c>
      <c r="J979">
        <v>160</v>
      </c>
      <c r="K979" t="str">
        <f t="shared" si="15"/>
        <v>Filtered out</v>
      </c>
    </row>
    <row r="980" spans="1:11" x14ac:dyDescent="0.2">
      <c r="A980" t="s">
        <v>14321</v>
      </c>
      <c r="B980" t="s">
        <v>13283</v>
      </c>
      <c r="C980" t="s">
        <v>13246</v>
      </c>
      <c r="D980">
        <v>142</v>
      </c>
      <c r="E980">
        <v>472</v>
      </c>
      <c r="F980">
        <v>-69</v>
      </c>
      <c r="G980" s="13">
        <v>0.57399999999999995</v>
      </c>
      <c r="H980" t="s">
        <v>70</v>
      </c>
      <c r="I980">
        <v>0</v>
      </c>
      <c r="J980" t="s">
        <v>190</v>
      </c>
      <c r="K980" t="str">
        <f t="shared" si="15"/>
        <v>Filtered out</v>
      </c>
    </row>
    <row r="981" spans="1:11" x14ac:dyDescent="0.2">
      <c r="A981" t="s">
        <v>14322</v>
      </c>
      <c r="B981" t="s">
        <v>13418</v>
      </c>
      <c r="C981" t="s">
        <v>13688</v>
      </c>
      <c r="D981">
        <v>445</v>
      </c>
      <c r="E981">
        <v>412</v>
      </c>
      <c r="F981">
        <v>8</v>
      </c>
      <c r="G981" s="13">
        <v>0.5</v>
      </c>
      <c r="H981" t="s">
        <v>25</v>
      </c>
      <c r="I981">
        <v>2</v>
      </c>
      <c r="J981">
        <v>122</v>
      </c>
      <c r="K981" t="str">
        <f t="shared" si="15"/>
        <v>Filtered out</v>
      </c>
    </row>
    <row r="982" spans="1:11" x14ac:dyDescent="0.2">
      <c r="A982" t="s">
        <v>14323</v>
      </c>
      <c r="B982" t="s">
        <v>13312</v>
      </c>
      <c r="C982" t="s">
        <v>13312</v>
      </c>
      <c r="D982">
        <v>295</v>
      </c>
      <c r="E982">
        <v>676</v>
      </c>
      <c r="F982">
        <v>-56</v>
      </c>
      <c r="G982" s="13">
        <v>0.96899999999999997</v>
      </c>
      <c r="H982" t="s">
        <v>70</v>
      </c>
      <c r="I982">
        <v>0</v>
      </c>
      <c r="J982" t="s">
        <v>190</v>
      </c>
      <c r="K982" t="str">
        <f t="shared" si="15"/>
        <v>Filtered out</v>
      </c>
    </row>
    <row r="983" spans="1:11" x14ac:dyDescent="0.2">
      <c r="A983" t="s">
        <v>14324</v>
      </c>
      <c r="B983" t="s">
        <v>13270</v>
      </c>
      <c r="C983" t="s">
        <v>13246</v>
      </c>
      <c r="D983">
        <v>736</v>
      </c>
      <c r="E983">
        <v>1630</v>
      </c>
      <c r="F983">
        <v>-54</v>
      </c>
      <c r="G983" s="13">
        <v>1</v>
      </c>
      <c r="H983" t="s">
        <v>25</v>
      </c>
      <c r="I983">
        <v>1</v>
      </c>
      <c r="J983">
        <v>10</v>
      </c>
      <c r="K983" t="str">
        <f t="shared" si="15"/>
        <v>Filtered out</v>
      </c>
    </row>
    <row r="984" spans="1:11" x14ac:dyDescent="0.2">
      <c r="A984" t="s">
        <v>18</v>
      </c>
      <c r="B984" t="s">
        <v>13246</v>
      </c>
      <c r="C984" t="s">
        <v>13246</v>
      </c>
      <c r="D984">
        <v>1675</v>
      </c>
      <c r="E984">
        <v>1675</v>
      </c>
      <c r="F984">
        <v>0</v>
      </c>
      <c r="G984" s="13">
        <v>0.99099999999999999</v>
      </c>
      <c r="H984" t="s">
        <v>25</v>
      </c>
      <c r="I984">
        <v>1</v>
      </c>
      <c r="J984">
        <v>114</v>
      </c>
      <c r="K984" t="str">
        <f t="shared" si="15"/>
        <v>Retained</v>
      </c>
    </row>
    <row r="985" spans="1:11" x14ac:dyDescent="0.2">
      <c r="A985" t="s">
        <v>14325</v>
      </c>
      <c r="B985" t="s">
        <v>13314</v>
      </c>
      <c r="C985" t="s">
        <v>13314</v>
      </c>
      <c r="D985">
        <v>1720</v>
      </c>
      <c r="E985">
        <v>1714</v>
      </c>
      <c r="F985">
        <v>0</v>
      </c>
      <c r="G985" s="13">
        <v>0.98399999999999999</v>
      </c>
      <c r="H985" t="s">
        <v>25</v>
      </c>
      <c r="I985">
        <v>1</v>
      </c>
      <c r="J985">
        <v>477</v>
      </c>
      <c r="K985" t="str">
        <f t="shared" si="15"/>
        <v>Retained</v>
      </c>
    </row>
    <row r="986" spans="1:11" x14ac:dyDescent="0.2">
      <c r="A986" t="s">
        <v>14326</v>
      </c>
      <c r="B986" t="s">
        <v>13246</v>
      </c>
      <c r="C986" t="s">
        <v>13246</v>
      </c>
      <c r="D986">
        <v>337</v>
      </c>
      <c r="E986">
        <v>391</v>
      </c>
      <c r="F986">
        <v>-13</v>
      </c>
      <c r="G986" s="13">
        <v>0.86399999999999999</v>
      </c>
      <c r="H986" t="s">
        <v>70</v>
      </c>
      <c r="I986">
        <v>0</v>
      </c>
      <c r="J986" t="s">
        <v>190</v>
      </c>
      <c r="K986" t="str">
        <f t="shared" si="15"/>
        <v>Filtered out</v>
      </c>
    </row>
    <row r="987" spans="1:11" x14ac:dyDescent="0.2">
      <c r="A987" t="s">
        <v>14327</v>
      </c>
      <c r="B987" t="s">
        <v>13246</v>
      </c>
      <c r="C987" t="s">
        <v>13246</v>
      </c>
      <c r="D987">
        <v>238</v>
      </c>
      <c r="E987">
        <v>241</v>
      </c>
      <c r="F987">
        <v>-1</v>
      </c>
      <c r="G987" s="13">
        <v>0.96199999999999997</v>
      </c>
      <c r="H987" t="s">
        <v>70</v>
      </c>
      <c r="I987">
        <v>0</v>
      </c>
      <c r="J987" t="s">
        <v>190</v>
      </c>
      <c r="K987" t="str">
        <f t="shared" si="15"/>
        <v>Filtered out</v>
      </c>
    </row>
    <row r="988" spans="1:11" x14ac:dyDescent="0.2">
      <c r="A988" t="s">
        <v>14328</v>
      </c>
      <c r="B988" t="s">
        <v>14329</v>
      </c>
      <c r="C988" t="s">
        <v>13265</v>
      </c>
      <c r="D988">
        <v>331</v>
      </c>
      <c r="E988">
        <v>1240</v>
      </c>
      <c r="F988">
        <v>-73</v>
      </c>
      <c r="G988" s="13">
        <v>0.58699999999999997</v>
      </c>
      <c r="H988" t="s">
        <v>25</v>
      </c>
      <c r="I988">
        <v>1</v>
      </c>
      <c r="J988">
        <v>108</v>
      </c>
      <c r="K988" t="str">
        <f t="shared" si="15"/>
        <v>Filtered out</v>
      </c>
    </row>
    <row r="989" spans="1:11" x14ac:dyDescent="0.2">
      <c r="A989" t="s">
        <v>14330</v>
      </c>
      <c r="B989" t="s">
        <v>13688</v>
      </c>
      <c r="C989" t="s">
        <v>13246</v>
      </c>
      <c r="D989">
        <v>196</v>
      </c>
      <c r="E989">
        <v>817</v>
      </c>
      <c r="F989">
        <v>-76</v>
      </c>
      <c r="G989" s="13">
        <v>0.52300000000000002</v>
      </c>
      <c r="H989" t="s">
        <v>25</v>
      </c>
      <c r="I989">
        <v>2</v>
      </c>
      <c r="J989">
        <v>2</v>
      </c>
      <c r="K989" t="str">
        <f t="shared" si="15"/>
        <v>Filtered out</v>
      </c>
    </row>
    <row r="990" spans="1:11" x14ac:dyDescent="0.2">
      <c r="A990" t="s">
        <v>14331</v>
      </c>
      <c r="B990" t="s">
        <v>13318</v>
      </c>
      <c r="C990" t="s">
        <v>13562</v>
      </c>
      <c r="D990">
        <v>208</v>
      </c>
      <c r="E990">
        <v>847</v>
      </c>
      <c r="F990">
        <v>-75</v>
      </c>
      <c r="G990" s="13">
        <v>0.52200000000000002</v>
      </c>
      <c r="H990" t="s">
        <v>25</v>
      </c>
      <c r="I990">
        <v>2</v>
      </c>
      <c r="J990">
        <v>6</v>
      </c>
      <c r="K990" t="str">
        <f t="shared" si="15"/>
        <v>Filtered out</v>
      </c>
    </row>
    <row r="991" spans="1:11" x14ac:dyDescent="0.2">
      <c r="A991" t="s">
        <v>14332</v>
      </c>
      <c r="B991" t="s">
        <v>13688</v>
      </c>
      <c r="C991" t="s">
        <v>13246</v>
      </c>
      <c r="D991">
        <v>196</v>
      </c>
      <c r="E991">
        <v>817</v>
      </c>
      <c r="F991">
        <v>-76</v>
      </c>
      <c r="G991" s="13">
        <v>0.52300000000000002</v>
      </c>
      <c r="H991" t="s">
        <v>25</v>
      </c>
      <c r="I991">
        <v>2</v>
      </c>
      <c r="J991">
        <v>2</v>
      </c>
      <c r="K991" t="str">
        <f t="shared" si="15"/>
        <v>Filtered out</v>
      </c>
    </row>
    <row r="992" spans="1:11" x14ac:dyDescent="0.2">
      <c r="A992" t="s">
        <v>14333</v>
      </c>
      <c r="B992" t="s">
        <v>13699</v>
      </c>
      <c r="C992" t="s">
        <v>13246</v>
      </c>
      <c r="D992">
        <v>172</v>
      </c>
      <c r="E992">
        <v>274</v>
      </c>
      <c r="F992">
        <v>-37</v>
      </c>
      <c r="G992" s="13">
        <v>1</v>
      </c>
      <c r="H992" t="s">
        <v>70</v>
      </c>
      <c r="I992">
        <v>0</v>
      </c>
      <c r="J992" t="s">
        <v>190</v>
      </c>
      <c r="K992" t="str">
        <f t="shared" si="15"/>
        <v>Filtered out</v>
      </c>
    </row>
    <row r="993" spans="1:11" x14ac:dyDescent="0.2">
      <c r="A993" t="s">
        <v>14334</v>
      </c>
      <c r="B993" t="s">
        <v>13295</v>
      </c>
      <c r="C993" t="s">
        <v>13246</v>
      </c>
      <c r="D993">
        <v>1093</v>
      </c>
      <c r="E993">
        <v>1882</v>
      </c>
      <c r="F993">
        <v>-41</v>
      </c>
      <c r="G993" s="13">
        <v>0.89800000000000002</v>
      </c>
      <c r="H993" t="s">
        <v>25</v>
      </c>
      <c r="I993">
        <v>1</v>
      </c>
      <c r="J993">
        <v>7</v>
      </c>
      <c r="K993" t="str">
        <f t="shared" si="15"/>
        <v>Filtered out</v>
      </c>
    </row>
    <row r="994" spans="1:11" x14ac:dyDescent="0.2">
      <c r="A994" t="s">
        <v>14335</v>
      </c>
      <c r="B994" t="s">
        <v>13246</v>
      </c>
      <c r="C994" t="s">
        <v>13246</v>
      </c>
      <c r="D994">
        <v>406</v>
      </c>
      <c r="E994">
        <v>409</v>
      </c>
      <c r="F994">
        <v>0</v>
      </c>
      <c r="G994" s="13">
        <v>0.90400000000000003</v>
      </c>
      <c r="H994" t="s">
        <v>25</v>
      </c>
      <c r="I994">
        <v>2</v>
      </c>
      <c r="J994">
        <v>108</v>
      </c>
      <c r="K994" t="str">
        <f t="shared" si="15"/>
        <v>Retained</v>
      </c>
    </row>
    <row r="995" spans="1:11" x14ac:dyDescent="0.2">
      <c r="A995" t="s">
        <v>14336</v>
      </c>
      <c r="B995" t="s">
        <v>13618</v>
      </c>
      <c r="C995" t="s">
        <v>13618</v>
      </c>
      <c r="D995">
        <v>3427</v>
      </c>
      <c r="E995">
        <v>3427</v>
      </c>
      <c r="F995">
        <v>0</v>
      </c>
      <c r="G995" s="13">
        <v>0.99</v>
      </c>
      <c r="H995" t="s">
        <v>25</v>
      </c>
      <c r="I995">
        <v>1</v>
      </c>
      <c r="J995">
        <v>1121</v>
      </c>
      <c r="K995" t="str">
        <f t="shared" si="15"/>
        <v>Retained</v>
      </c>
    </row>
    <row r="996" spans="1:11" x14ac:dyDescent="0.2">
      <c r="A996" t="s">
        <v>14337</v>
      </c>
      <c r="B996" t="s">
        <v>13688</v>
      </c>
      <c r="C996" t="s">
        <v>13246</v>
      </c>
      <c r="D996">
        <v>295</v>
      </c>
      <c r="E996">
        <v>346</v>
      </c>
      <c r="F996">
        <v>-14</v>
      </c>
      <c r="G996" s="13">
        <v>0.76500000000000001</v>
      </c>
      <c r="H996" t="s">
        <v>70</v>
      </c>
      <c r="I996">
        <v>0</v>
      </c>
      <c r="J996" t="s">
        <v>190</v>
      </c>
      <c r="K996" t="str">
        <f t="shared" si="15"/>
        <v>Filtered out</v>
      </c>
    </row>
    <row r="997" spans="1:11" x14ac:dyDescent="0.2">
      <c r="A997" t="s">
        <v>14338</v>
      </c>
      <c r="B997" t="s">
        <v>13246</v>
      </c>
      <c r="C997" t="s">
        <v>13246</v>
      </c>
      <c r="D997">
        <v>805</v>
      </c>
      <c r="E997">
        <v>619</v>
      </c>
      <c r="F997">
        <v>30</v>
      </c>
      <c r="G997" s="13">
        <v>0.97099999999999997</v>
      </c>
      <c r="H997" t="s">
        <v>25</v>
      </c>
      <c r="I997">
        <v>1</v>
      </c>
      <c r="J997">
        <v>211</v>
      </c>
      <c r="K997" t="str">
        <f t="shared" si="15"/>
        <v>Filtered out</v>
      </c>
    </row>
    <row r="998" spans="1:11" x14ac:dyDescent="0.2">
      <c r="A998" t="s">
        <v>14339</v>
      </c>
      <c r="B998" t="s">
        <v>13379</v>
      </c>
      <c r="C998" t="s">
        <v>13346</v>
      </c>
      <c r="D998">
        <v>247</v>
      </c>
      <c r="E998">
        <v>286</v>
      </c>
      <c r="F998">
        <v>-13</v>
      </c>
      <c r="G998" s="13">
        <v>0.69499999999999995</v>
      </c>
      <c r="H998" t="s">
        <v>70</v>
      </c>
      <c r="I998">
        <v>0</v>
      </c>
      <c r="J998" t="s">
        <v>190</v>
      </c>
      <c r="K998" t="str">
        <f t="shared" si="15"/>
        <v>Filtered out</v>
      </c>
    </row>
    <row r="999" spans="1:11" x14ac:dyDescent="0.2">
      <c r="A999" t="s">
        <v>14340</v>
      </c>
      <c r="B999" t="s">
        <v>13371</v>
      </c>
      <c r="C999" t="s">
        <v>13297</v>
      </c>
      <c r="D999">
        <v>193</v>
      </c>
      <c r="E999">
        <v>223</v>
      </c>
      <c r="F999">
        <v>-13</v>
      </c>
      <c r="G999" s="13">
        <v>0.96799999999999997</v>
      </c>
      <c r="H999" t="s">
        <v>70</v>
      </c>
      <c r="I999">
        <v>0</v>
      </c>
      <c r="J999" t="s">
        <v>190</v>
      </c>
      <c r="K999" t="str">
        <f t="shared" si="15"/>
        <v>Filtered out</v>
      </c>
    </row>
    <row r="1000" spans="1:11" x14ac:dyDescent="0.2">
      <c r="A1000" t="s">
        <v>14341</v>
      </c>
      <c r="B1000" t="s">
        <v>13452</v>
      </c>
      <c r="C1000" t="s">
        <v>13452</v>
      </c>
      <c r="D1000">
        <v>1912</v>
      </c>
      <c r="E1000">
        <v>2602</v>
      </c>
      <c r="F1000">
        <v>-26</v>
      </c>
      <c r="G1000" s="13">
        <v>0.95799999999999996</v>
      </c>
      <c r="H1000" t="s">
        <v>25</v>
      </c>
      <c r="I1000">
        <v>2</v>
      </c>
      <c r="J1000">
        <v>142</v>
      </c>
      <c r="K1000" t="str">
        <f t="shared" si="15"/>
        <v>Filtered out</v>
      </c>
    </row>
    <row r="1001" spans="1:11" x14ac:dyDescent="0.2">
      <c r="A1001" t="s">
        <v>14342</v>
      </c>
      <c r="B1001" t="s">
        <v>13246</v>
      </c>
      <c r="C1001" t="s">
        <v>13246</v>
      </c>
      <c r="D1001">
        <v>1462</v>
      </c>
      <c r="E1001">
        <v>1462</v>
      </c>
      <c r="F1001">
        <v>0</v>
      </c>
      <c r="G1001" s="13">
        <v>0.97099999999999997</v>
      </c>
      <c r="H1001" t="s">
        <v>25</v>
      </c>
      <c r="I1001">
        <v>1</v>
      </c>
      <c r="J1001">
        <v>255</v>
      </c>
      <c r="K1001" t="str">
        <f t="shared" si="15"/>
        <v>Retained</v>
      </c>
    </row>
    <row r="1002" spans="1:11" x14ac:dyDescent="0.2">
      <c r="A1002" t="s">
        <v>53</v>
      </c>
      <c r="B1002" t="s">
        <v>13297</v>
      </c>
      <c r="C1002" t="s">
        <v>13297</v>
      </c>
      <c r="D1002">
        <v>895</v>
      </c>
      <c r="E1002">
        <v>895</v>
      </c>
      <c r="F1002">
        <v>0</v>
      </c>
      <c r="G1002" s="13">
        <v>0.98299999999999998</v>
      </c>
      <c r="H1002" t="s">
        <v>25</v>
      </c>
      <c r="I1002">
        <v>1</v>
      </c>
      <c r="J1002">
        <v>192</v>
      </c>
      <c r="K1002" t="str">
        <f t="shared" si="15"/>
        <v>Retained</v>
      </c>
    </row>
    <row r="1003" spans="1:11" x14ac:dyDescent="0.2">
      <c r="A1003" t="s">
        <v>40</v>
      </c>
      <c r="B1003" t="s">
        <v>13353</v>
      </c>
      <c r="C1003" t="s">
        <v>13353</v>
      </c>
      <c r="D1003">
        <v>1219</v>
      </c>
      <c r="E1003">
        <v>1218</v>
      </c>
      <c r="F1003">
        <v>0</v>
      </c>
      <c r="G1003" s="13">
        <v>0.97599999999999998</v>
      </c>
      <c r="H1003" t="s">
        <v>25</v>
      </c>
      <c r="I1003">
        <v>1</v>
      </c>
      <c r="J1003">
        <v>326</v>
      </c>
      <c r="K1003" t="str">
        <f t="shared" si="15"/>
        <v>Retained</v>
      </c>
    </row>
    <row r="1004" spans="1:11" x14ac:dyDescent="0.2">
      <c r="A1004" t="s">
        <v>14344</v>
      </c>
      <c r="B1004" t="s">
        <v>13688</v>
      </c>
      <c r="C1004" t="s">
        <v>13246</v>
      </c>
      <c r="D1004">
        <v>451</v>
      </c>
      <c r="E1004">
        <v>511</v>
      </c>
      <c r="F1004">
        <v>-11</v>
      </c>
      <c r="G1004" s="13">
        <v>0.99299999999999999</v>
      </c>
      <c r="H1004" t="s">
        <v>25</v>
      </c>
      <c r="I1004">
        <v>1</v>
      </c>
      <c r="J1004">
        <v>149</v>
      </c>
      <c r="K1004" t="str">
        <f t="shared" si="15"/>
        <v>Filtered out</v>
      </c>
    </row>
    <row r="1005" spans="1:11" x14ac:dyDescent="0.2">
      <c r="A1005" t="s">
        <v>14345</v>
      </c>
      <c r="B1005" t="s">
        <v>13397</v>
      </c>
      <c r="C1005" t="s">
        <v>13462</v>
      </c>
      <c r="D1005">
        <v>1306</v>
      </c>
      <c r="E1005">
        <v>4324</v>
      </c>
      <c r="F1005">
        <v>-69</v>
      </c>
      <c r="G1005" s="13">
        <v>0.94</v>
      </c>
      <c r="H1005" t="s">
        <v>25</v>
      </c>
      <c r="I1005">
        <v>1</v>
      </c>
      <c r="J1005">
        <v>428</v>
      </c>
      <c r="K1005" t="str">
        <f t="shared" si="15"/>
        <v>Filtered out</v>
      </c>
    </row>
    <row r="1006" spans="1:11" x14ac:dyDescent="0.2">
      <c r="A1006" t="s">
        <v>14346</v>
      </c>
      <c r="B1006" t="s">
        <v>13265</v>
      </c>
      <c r="C1006" t="s">
        <v>13246</v>
      </c>
      <c r="D1006">
        <v>289</v>
      </c>
      <c r="E1006">
        <v>1648</v>
      </c>
      <c r="F1006">
        <v>-82</v>
      </c>
      <c r="G1006" s="13">
        <v>0.96899999999999997</v>
      </c>
      <c r="H1006" t="s">
        <v>70</v>
      </c>
      <c r="I1006">
        <v>0</v>
      </c>
      <c r="J1006" t="s">
        <v>190</v>
      </c>
      <c r="K1006" t="str">
        <f t="shared" si="15"/>
        <v>Filtered out</v>
      </c>
    </row>
    <row r="1007" spans="1:11" x14ac:dyDescent="0.2">
      <c r="A1007" t="s">
        <v>14347</v>
      </c>
      <c r="B1007" t="s">
        <v>13484</v>
      </c>
      <c r="C1007" t="s">
        <v>13246</v>
      </c>
      <c r="D1007">
        <v>2293</v>
      </c>
      <c r="E1007">
        <v>8533</v>
      </c>
      <c r="F1007">
        <v>-73</v>
      </c>
      <c r="G1007" s="13">
        <v>0.94499999999999995</v>
      </c>
      <c r="H1007" t="s">
        <v>25</v>
      </c>
      <c r="I1007">
        <v>1</v>
      </c>
      <c r="J1007">
        <v>330</v>
      </c>
      <c r="K1007" t="str">
        <f t="shared" si="15"/>
        <v>Filtered out</v>
      </c>
    </row>
    <row r="1008" spans="1:11" x14ac:dyDescent="0.2">
      <c r="A1008" t="s">
        <v>11</v>
      </c>
      <c r="B1008" t="s">
        <v>13806</v>
      </c>
      <c r="C1008" t="s">
        <v>13806</v>
      </c>
      <c r="D1008">
        <v>4216</v>
      </c>
      <c r="E1008">
        <v>4216</v>
      </c>
      <c r="F1008">
        <v>0</v>
      </c>
      <c r="G1008" s="13">
        <v>0.99399999999999999</v>
      </c>
      <c r="H1008" t="s">
        <v>25</v>
      </c>
      <c r="I1008">
        <v>1</v>
      </c>
      <c r="J1008">
        <v>1335</v>
      </c>
      <c r="K1008" t="str">
        <f t="shared" si="15"/>
        <v>Retained</v>
      </c>
    </row>
    <row r="1009" spans="1:11" x14ac:dyDescent="0.2">
      <c r="A1009" t="s">
        <v>14349</v>
      </c>
      <c r="B1009" t="s">
        <v>13289</v>
      </c>
      <c r="C1009" t="s">
        <v>13375</v>
      </c>
      <c r="D1009">
        <v>1909</v>
      </c>
      <c r="E1009">
        <v>2728</v>
      </c>
      <c r="F1009">
        <v>-30</v>
      </c>
      <c r="G1009" s="13">
        <v>0.98699999999999999</v>
      </c>
      <c r="H1009" t="s">
        <v>25</v>
      </c>
      <c r="I1009">
        <v>1</v>
      </c>
      <c r="J1009">
        <v>561</v>
      </c>
      <c r="K1009" t="str">
        <f t="shared" si="15"/>
        <v>Filtered out</v>
      </c>
    </row>
    <row r="1010" spans="1:11" x14ac:dyDescent="0.2">
      <c r="A1010" t="s">
        <v>14350</v>
      </c>
      <c r="B1010" t="s">
        <v>13421</v>
      </c>
      <c r="C1010" t="s">
        <v>13246</v>
      </c>
      <c r="D1010">
        <v>2920</v>
      </c>
      <c r="E1010">
        <v>3388</v>
      </c>
      <c r="F1010">
        <v>-13</v>
      </c>
      <c r="G1010" s="13">
        <v>0.89500000000000002</v>
      </c>
      <c r="H1010" t="s">
        <v>25</v>
      </c>
      <c r="I1010">
        <v>1</v>
      </c>
      <c r="J1010">
        <v>467</v>
      </c>
      <c r="K1010" t="str">
        <f t="shared" si="15"/>
        <v>Filtered out</v>
      </c>
    </row>
    <row r="1011" spans="1:11" x14ac:dyDescent="0.2">
      <c r="A1011" t="s">
        <v>14351</v>
      </c>
      <c r="B1011" t="s">
        <v>14258</v>
      </c>
      <c r="C1011" t="s">
        <v>13293</v>
      </c>
      <c r="D1011">
        <v>118</v>
      </c>
      <c r="E1011">
        <v>169</v>
      </c>
      <c r="F1011">
        <v>-30</v>
      </c>
      <c r="G1011" s="13">
        <v>0.97399999999999998</v>
      </c>
      <c r="H1011" t="s">
        <v>70</v>
      </c>
      <c r="I1011">
        <v>0</v>
      </c>
      <c r="J1011" t="s">
        <v>190</v>
      </c>
      <c r="K1011" t="str">
        <f t="shared" si="15"/>
        <v>Filtered out</v>
      </c>
    </row>
    <row r="1012" spans="1:11" x14ac:dyDescent="0.2">
      <c r="A1012" t="s">
        <v>14352</v>
      </c>
      <c r="B1012" t="s">
        <v>13295</v>
      </c>
      <c r="C1012" t="s">
        <v>13295</v>
      </c>
      <c r="D1012">
        <v>328</v>
      </c>
      <c r="E1012">
        <v>328</v>
      </c>
      <c r="F1012">
        <v>0</v>
      </c>
      <c r="G1012" s="13">
        <v>0.99099999999999999</v>
      </c>
      <c r="H1012" t="s">
        <v>25</v>
      </c>
      <c r="I1012">
        <v>1</v>
      </c>
      <c r="J1012">
        <v>7</v>
      </c>
      <c r="K1012" t="str">
        <f t="shared" si="15"/>
        <v>Retained</v>
      </c>
    </row>
    <row r="1013" spans="1:11" x14ac:dyDescent="0.2">
      <c r="A1013" t="s">
        <v>14353</v>
      </c>
      <c r="B1013" t="s">
        <v>13246</v>
      </c>
      <c r="C1013" t="s">
        <v>13246</v>
      </c>
      <c r="D1013">
        <v>3070</v>
      </c>
      <c r="E1013">
        <v>3070</v>
      </c>
      <c r="F1013">
        <v>0</v>
      </c>
      <c r="G1013" s="13">
        <v>0.98</v>
      </c>
      <c r="H1013" t="s">
        <v>25</v>
      </c>
      <c r="I1013">
        <v>1</v>
      </c>
      <c r="J1013">
        <v>985</v>
      </c>
      <c r="K1013" t="str">
        <f t="shared" si="15"/>
        <v>Retained</v>
      </c>
    </row>
    <row r="1014" spans="1:11" x14ac:dyDescent="0.2">
      <c r="A1014" t="s">
        <v>14354</v>
      </c>
      <c r="B1014" t="s">
        <v>13248</v>
      </c>
      <c r="C1014" t="s">
        <v>13246</v>
      </c>
      <c r="D1014">
        <v>1402</v>
      </c>
      <c r="E1014">
        <v>1441</v>
      </c>
      <c r="F1014">
        <v>-2</v>
      </c>
      <c r="G1014" s="13">
        <v>0.88400000000000001</v>
      </c>
      <c r="H1014" t="s">
        <v>25</v>
      </c>
      <c r="I1014">
        <v>1</v>
      </c>
      <c r="J1014">
        <v>361</v>
      </c>
      <c r="K1014" t="str">
        <f t="shared" si="15"/>
        <v>Filtered out</v>
      </c>
    </row>
    <row r="1015" spans="1:11" x14ac:dyDescent="0.2">
      <c r="A1015" t="s">
        <v>14355</v>
      </c>
      <c r="B1015" t="s">
        <v>14356</v>
      </c>
      <c r="C1015" t="s">
        <v>13321</v>
      </c>
      <c r="D1015">
        <v>343</v>
      </c>
      <c r="E1015">
        <v>787</v>
      </c>
      <c r="F1015">
        <v>-56</v>
      </c>
      <c r="G1015" s="13">
        <v>0.95599999999999996</v>
      </c>
      <c r="H1015" t="s">
        <v>70</v>
      </c>
      <c r="I1015">
        <v>0</v>
      </c>
      <c r="J1015" t="s">
        <v>190</v>
      </c>
      <c r="K1015" t="str">
        <f t="shared" si="15"/>
        <v>Filtered out</v>
      </c>
    </row>
    <row r="1016" spans="1:11" x14ac:dyDescent="0.2">
      <c r="A1016" t="s">
        <v>14357</v>
      </c>
      <c r="B1016" t="s">
        <v>13246</v>
      </c>
      <c r="C1016" t="s">
        <v>13246</v>
      </c>
      <c r="D1016">
        <v>2473</v>
      </c>
      <c r="E1016">
        <v>2797</v>
      </c>
      <c r="F1016">
        <v>-11</v>
      </c>
      <c r="G1016" s="13">
        <v>0.88</v>
      </c>
      <c r="H1016" t="s">
        <v>25</v>
      </c>
      <c r="I1016">
        <v>2</v>
      </c>
      <c r="J1016">
        <v>541</v>
      </c>
      <c r="K1016" t="str">
        <f t="shared" si="15"/>
        <v>Filtered out</v>
      </c>
    </row>
    <row r="1017" spans="1:11" x14ac:dyDescent="0.2">
      <c r="A1017" t="s">
        <v>14358</v>
      </c>
      <c r="B1017" t="s">
        <v>13246</v>
      </c>
      <c r="C1017" t="s">
        <v>13246</v>
      </c>
      <c r="D1017">
        <v>2482</v>
      </c>
      <c r="E1017">
        <v>2482</v>
      </c>
      <c r="F1017">
        <v>0</v>
      </c>
      <c r="G1017" s="13">
        <v>0.94199999999999995</v>
      </c>
      <c r="H1017" t="s">
        <v>25</v>
      </c>
      <c r="I1017">
        <v>2</v>
      </c>
      <c r="J1017">
        <v>728</v>
      </c>
      <c r="K1017" t="str">
        <f t="shared" si="15"/>
        <v>Retained</v>
      </c>
    </row>
    <row r="1018" spans="1:11" x14ac:dyDescent="0.2">
      <c r="A1018" t="s">
        <v>14359</v>
      </c>
      <c r="B1018" t="s">
        <v>13246</v>
      </c>
      <c r="C1018" t="s">
        <v>13263</v>
      </c>
      <c r="D1018">
        <v>2299</v>
      </c>
      <c r="E1018">
        <v>2207</v>
      </c>
      <c r="F1018">
        <v>4</v>
      </c>
      <c r="G1018" s="13">
        <v>0.996</v>
      </c>
      <c r="H1018" t="s">
        <v>25</v>
      </c>
      <c r="I1018">
        <v>2</v>
      </c>
      <c r="J1018">
        <v>10</v>
      </c>
      <c r="K1018" t="str">
        <f t="shared" si="15"/>
        <v>Filtered out</v>
      </c>
    </row>
    <row r="1019" spans="1:11" x14ac:dyDescent="0.2">
      <c r="A1019" t="s">
        <v>1</v>
      </c>
      <c r="B1019" t="s">
        <v>13312</v>
      </c>
      <c r="C1019" t="s">
        <v>13312</v>
      </c>
      <c r="D1019">
        <v>658</v>
      </c>
      <c r="E1019">
        <v>661</v>
      </c>
      <c r="F1019">
        <v>0</v>
      </c>
      <c r="G1019" s="13">
        <v>0.97699999999999998</v>
      </c>
      <c r="H1019" t="s">
        <v>25</v>
      </c>
      <c r="I1019">
        <v>2</v>
      </c>
      <c r="J1019">
        <v>117</v>
      </c>
      <c r="K1019" t="str">
        <f t="shared" si="15"/>
        <v>Retained</v>
      </c>
    </row>
    <row r="1020" spans="1:11" x14ac:dyDescent="0.2">
      <c r="A1020" t="s">
        <v>14361</v>
      </c>
      <c r="B1020" t="s">
        <v>13368</v>
      </c>
      <c r="C1020" t="s">
        <v>13270</v>
      </c>
      <c r="D1020">
        <v>3259</v>
      </c>
      <c r="E1020">
        <v>2629</v>
      </c>
      <c r="F1020">
        <v>23</v>
      </c>
      <c r="G1020" s="13">
        <v>0.99399999999999999</v>
      </c>
      <c r="H1020" t="s">
        <v>25</v>
      </c>
      <c r="I1020">
        <v>1</v>
      </c>
      <c r="J1020">
        <v>208</v>
      </c>
      <c r="K1020" t="str">
        <f t="shared" si="15"/>
        <v>Filtered out</v>
      </c>
    </row>
    <row r="1021" spans="1:11" x14ac:dyDescent="0.2">
      <c r="A1021" t="s">
        <v>14362</v>
      </c>
      <c r="B1021" t="s">
        <v>13246</v>
      </c>
      <c r="C1021" t="s">
        <v>13246</v>
      </c>
      <c r="D1021">
        <v>1768</v>
      </c>
      <c r="E1021">
        <v>2896</v>
      </c>
      <c r="F1021">
        <v>-38</v>
      </c>
      <c r="G1021" s="13">
        <v>0.88600000000000001</v>
      </c>
      <c r="H1021" t="s">
        <v>25</v>
      </c>
      <c r="I1021">
        <v>1</v>
      </c>
      <c r="J1021">
        <v>161</v>
      </c>
      <c r="K1021" t="str">
        <f t="shared" si="15"/>
        <v>Filtered out</v>
      </c>
    </row>
    <row r="1022" spans="1:11" x14ac:dyDescent="0.2">
      <c r="A1022" t="s">
        <v>14363</v>
      </c>
      <c r="B1022" t="s">
        <v>13254</v>
      </c>
      <c r="C1022" t="s">
        <v>13806</v>
      </c>
      <c r="D1022">
        <v>196</v>
      </c>
      <c r="E1022">
        <v>1990</v>
      </c>
      <c r="F1022">
        <v>-90</v>
      </c>
      <c r="G1022" s="13">
        <v>0.84599999999999997</v>
      </c>
      <c r="H1022" t="s">
        <v>25</v>
      </c>
      <c r="I1022">
        <v>1</v>
      </c>
      <c r="J1022">
        <v>57</v>
      </c>
      <c r="K1022" t="str">
        <f t="shared" si="15"/>
        <v>Filtered out</v>
      </c>
    </row>
    <row r="1023" spans="1:11" x14ac:dyDescent="0.2">
      <c r="A1023" t="s">
        <v>14364</v>
      </c>
      <c r="B1023" t="s">
        <v>13265</v>
      </c>
      <c r="C1023" t="s">
        <v>13265</v>
      </c>
      <c r="D1023">
        <v>613</v>
      </c>
      <c r="E1023">
        <v>748</v>
      </c>
      <c r="F1023">
        <v>-18</v>
      </c>
      <c r="G1023" s="13">
        <v>0.98099999999999998</v>
      </c>
      <c r="H1023" t="s">
        <v>25</v>
      </c>
      <c r="I1023">
        <v>1</v>
      </c>
      <c r="J1023">
        <v>57</v>
      </c>
      <c r="K1023" t="str">
        <f t="shared" si="15"/>
        <v>Filtered out</v>
      </c>
    </row>
    <row r="1024" spans="1:11" x14ac:dyDescent="0.2">
      <c r="A1024" t="s">
        <v>14365</v>
      </c>
      <c r="B1024" t="s">
        <v>13265</v>
      </c>
      <c r="C1024" t="s">
        <v>13265</v>
      </c>
      <c r="D1024">
        <v>601</v>
      </c>
      <c r="E1024">
        <v>745</v>
      </c>
      <c r="F1024">
        <v>-19</v>
      </c>
      <c r="G1024" s="13">
        <v>0.98</v>
      </c>
      <c r="H1024" t="s">
        <v>25</v>
      </c>
      <c r="I1024">
        <v>1</v>
      </c>
      <c r="J1024">
        <v>59</v>
      </c>
      <c r="K1024" t="str">
        <f t="shared" si="15"/>
        <v>Filtered out</v>
      </c>
    </row>
    <row r="1025" spans="1:11" x14ac:dyDescent="0.2">
      <c r="A1025" t="s">
        <v>14366</v>
      </c>
      <c r="B1025" t="s">
        <v>13265</v>
      </c>
      <c r="C1025" t="s">
        <v>13265</v>
      </c>
      <c r="D1025">
        <v>571</v>
      </c>
      <c r="E1025">
        <v>748</v>
      </c>
      <c r="F1025">
        <v>-23</v>
      </c>
      <c r="G1025" s="13">
        <v>0.98899999999999999</v>
      </c>
      <c r="H1025" t="s">
        <v>25</v>
      </c>
      <c r="I1025">
        <v>1</v>
      </c>
      <c r="J1025">
        <v>57</v>
      </c>
      <c r="K1025" t="str">
        <f t="shared" si="15"/>
        <v>Filtered out</v>
      </c>
    </row>
    <row r="1026" spans="1:11" x14ac:dyDescent="0.2">
      <c r="A1026" t="s">
        <v>14367</v>
      </c>
      <c r="B1026" t="s">
        <v>13265</v>
      </c>
      <c r="C1026" t="s">
        <v>13265</v>
      </c>
      <c r="D1026">
        <v>601</v>
      </c>
      <c r="E1026">
        <v>745</v>
      </c>
      <c r="F1026">
        <v>-19</v>
      </c>
      <c r="G1026" s="13">
        <v>0.98</v>
      </c>
      <c r="H1026" t="s">
        <v>25</v>
      </c>
      <c r="I1026">
        <v>1</v>
      </c>
      <c r="J1026">
        <v>59</v>
      </c>
      <c r="K1026" t="str">
        <f t="shared" si="15"/>
        <v>Filtered out</v>
      </c>
    </row>
    <row r="1027" spans="1:11" x14ac:dyDescent="0.2">
      <c r="A1027" t="s">
        <v>14368</v>
      </c>
      <c r="B1027" t="s">
        <v>13442</v>
      </c>
      <c r="C1027" t="s">
        <v>13442</v>
      </c>
      <c r="D1027">
        <v>172</v>
      </c>
      <c r="E1027">
        <v>172</v>
      </c>
      <c r="F1027">
        <v>0</v>
      </c>
      <c r="G1027" s="13">
        <v>0.98199999999999998</v>
      </c>
      <c r="H1027" t="s">
        <v>70</v>
      </c>
      <c r="I1027">
        <v>0</v>
      </c>
      <c r="J1027" t="s">
        <v>190</v>
      </c>
      <c r="K1027" t="str">
        <f t="shared" si="15"/>
        <v>Filtered out</v>
      </c>
    </row>
    <row r="1028" spans="1:11" x14ac:dyDescent="0.2">
      <c r="A1028" t="s">
        <v>14369</v>
      </c>
      <c r="B1028" t="s">
        <v>13442</v>
      </c>
      <c r="C1028" t="s">
        <v>13442</v>
      </c>
      <c r="D1028">
        <v>172</v>
      </c>
      <c r="E1028">
        <v>172</v>
      </c>
      <c r="F1028">
        <v>0</v>
      </c>
      <c r="G1028" s="13">
        <v>0.98199999999999998</v>
      </c>
      <c r="H1028" t="s">
        <v>70</v>
      </c>
      <c r="I1028">
        <v>0</v>
      </c>
      <c r="J1028" t="s">
        <v>190</v>
      </c>
      <c r="K1028" t="str">
        <f t="shared" si="15"/>
        <v>Filtered out</v>
      </c>
    </row>
    <row r="1029" spans="1:11" x14ac:dyDescent="0.2">
      <c r="A1029" t="s">
        <v>14370</v>
      </c>
      <c r="B1029" t="s">
        <v>13442</v>
      </c>
      <c r="C1029" t="s">
        <v>13442</v>
      </c>
      <c r="D1029">
        <v>172</v>
      </c>
      <c r="E1029">
        <v>172</v>
      </c>
      <c r="F1029">
        <v>0</v>
      </c>
      <c r="G1029" s="13">
        <v>0.98199999999999998</v>
      </c>
      <c r="H1029" t="s">
        <v>70</v>
      </c>
      <c r="I1029">
        <v>0</v>
      </c>
      <c r="J1029" t="s">
        <v>190</v>
      </c>
      <c r="K1029" t="str">
        <f t="shared" si="15"/>
        <v>Filtered out</v>
      </c>
    </row>
    <row r="1030" spans="1:11" x14ac:dyDescent="0.2">
      <c r="A1030" t="s">
        <v>14371</v>
      </c>
      <c r="B1030" t="s">
        <v>13312</v>
      </c>
      <c r="C1030" t="s">
        <v>13369</v>
      </c>
      <c r="D1030">
        <v>154</v>
      </c>
      <c r="E1030">
        <v>688</v>
      </c>
      <c r="F1030">
        <v>-77</v>
      </c>
      <c r="G1030" s="13">
        <v>1</v>
      </c>
      <c r="H1030" t="s">
        <v>70</v>
      </c>
      <c r="I1030">
        <v>0</v>
      </c>
      <c r="J1030" t="s">
        <v>190</v>
      </c>
      <c r="K1030" t="str">
        <f t="shared" si="15"/>
        <v>Filtered out</v>
      </c>
    </row>
    <row r="1031" spans="1:11" x14ac:dyDescent="0.2">
      <c r="A1031" t="s">
        <v>14372</v>
      </c>
      <c r="B1031" t="s">
        <v>13446</v>
      </c>
      <c r="C1031" t="s">
        <v>13446</v>
      </c>
      <c r="D1031">
        <v>2860</v>
      </c>
      <c r="E1031">
        <v>4197</v>
      </c>
      <c r="F1031">
        <v>-31</v>
      </c>
      <c r="G1031" s="13">
        <v>0.995</v>
      </c>
      <c r="H1031" t="s">
        <v>25</v>
      </c>
      <c r="I1031">
        <v>1</v>
      </c>
      <c r="J1031">
        <v>949</v>
      </c>
      <c r="K1031" t="str">
        <f t="shared" si="15"/>
        <v>Filtered out</v>
      </c>
    </row>
    <row r="1032" spans="1:11" x14ac:dyDescent="0.2">
      <c r="A1032" t="s">
        <v>14373</v>
      </c>
      <c r="B1032" t="s">
        <v>13246</v>
      </c>
      <c r="C1032" t="s">
        <v>13246</v>
      </c>
      <c r="D1032">
        <v>1228</v>
      </c>
      <c r="E1032">
        <v>1333</v>
      </c>
      <c r="F1032">
        <v>-7</v>
      </c>
      <c r="G1032" s="13">
        <v>0.874</v>
      </c>
      <c r="H1032" t="s">
        <v>25</v>
      </c>
      <c r="I1032">
        <v>1</v>
      </c>
      <c r="J1032">
        <v>126</v>
      </c>
      <c r="K1032" t="str">
        <f t="shared" ref="K1032:K1095" si="16">IF(AND(B1032=C1032,F1032&lt;10,F1032&gt;-10,I1032&gt;0,G1032&gt;90%,G1032&lt;100%),"Retained","Filtered out")</f>
        <v>Filtered out</v>
      </c>
    </row>
    <row r="1033" spans="1:11" x14ac:dyDescent="0.2">
      <c r="A1033" t="s">
        <v>14374</v>
      </c>
      <c r="B1033" t="s">
        <v>13304</v>
      </c>
      <c r="C1033" t="s">
        <v>13304</v>
      </c>
      <c r="D1033">
        <v>481</v>
      </c>
      <c r="E1033">
        <v>1716</v>
      </c>
      <c r="F1033">
        <v>-71</v>
      </c>
      <c r="G1033" s="13">
        <v>0.9</v>
      </c>
      <c r="H1033" t="s">
        <v>70</v>
      </c>
      <c r="I1033">
        <v>0</v>
      </c>
      <c r="J1033" t="s">
        <v>190</v>
      </c>
      <c r="K1033" t="str">
        <f t="shared" si="16"/>
        <v>Filtered out</v>
      </c>
    </row>
    <row r="1034" spans="1:11" x14ac:dyDescent="0.2">
      <c r="A1034" t="s">
        <v>14375</v>
      </c>
      <c r="B1034" t="s">
        <v>13368</v>
      </c>
      <c r="C1034" t="s">
        <v>13297</v>
      </c>
      <c r="D1034">
        <v>1609</v>
      </c>
      <c r="E1034">
        <v>3208</v>
      </c>
      <c r="F1034">
        <v>-49</v>
      </c>
      <c r="G1034" s="13">
        <v>0.95499999999999996</v>
      </c>
      <c r="H1034" t="s">
        <v>25</v>
      </c>
      <c r="I1034">
        <v>1</v>
      </c>
      <c r="J1034">
        <v>529</v>
      </c>
      <c r="K1034" t="str">
        <f t="shared" si="16"/>
        <v>Filtered out</v>
      </c>
    </row>
    <row r="1035" spans="1:11" x14ac:dyDescent="0.2">
      <c r="A1035" t="s">
        <v>35</v>
      </c>
      <c r="B1035" t="s">
        <v>13246</v>
      </c>
      <c r="C1035" t="s">
        <v>13246</v>
      </c>
      <c r="D1035">
        <v>580</v>
      </c>
      <c r="E1035">
        <v>580</v>
      </c>
      <c r="F1035">
        <v>0</v>
      </c>
      <c r="G1035" s="13">
        <v>0.98399999999999999</v>
      </c>
      <c r="H1035" t="s">
        <v>25</v>
      </c>
      <c r="I1035">
        <v>1</v>
      </c>
      <c r="J1035">
        <v>72</v>
      </c>
      <c r="K1035" t="str">
        <f t="shared" si="16"/>
        <v>Retained</v>
      </c>
    </row>
    <row r="1036" spans="1:11" x14ac:dyDescent="0.2">
      <c r="A1036" t="s">
        <v>14377</v>
      </c>
      <c r="B1036" t="s">
        <v>14378</v>
      </c>
      <c r="C1036" t="s">
        <v>13246</v>
      </c>
      <c r="D1036">
        <v>2233</v>
      </c>
      <c r="E1036">
        <v>2233</v>
      </c>
      <c r="F1036">
        <v>0</v>
      </c>
      <c r="G1036" s="13">
        <v>0.97799999999999998</v>
      </c>
      <c r="H1036" t="s">
        <v>25</v>
      </c>
      <c r="I1036">
        <v>1</v>
      </c>
      <c r="J1036">
        <v>444</v>
      </c>
      <c r="K1036" t="str">
        <f t="shared" si="16"/>
        <v>Retained</v>
      </c>
    </row>
    <row r="1037" spans="1:11" x14ac:dyDescent="0.2">
      <c r="A1037" t="s">
        <v>14379</v>
      </c>
      <c r="B1037" t="s">
        <v>13246</v>
      </c>
      <c r="C1037" t="s">
        <v>13246</v>
      </c>
      <c r="D1037">
        <v>2914</v>
      </c>
      <c r="E1037">
        <v>2917</v>
      </c>
      <c r="F1037">
        <v>0</v>
      </c>
      <c r="G1037" s="13">
        <v>0.97299999999999998</v>
      </c>
      <c r="H1037" t="s">
        <v>25</v>
      </c>
      <c r="I1037">
        <v>1</v>
      </c>
      <c r="J1037">
        <v>843</v>
      </c>
      <c r="K1037" t="str">
        <f t="shared" si="16"/>
        <v>Retained</v>
      </c>
    </row>
    <row r="1038" spans="1:11" x14ac:dyDescent="0.2">
      <c r="A1038" t="s">
        <v>14380</v>
      </c>
      <c r="B1038" t="s">
        <v>13543</v>
      </c>
      <c r="C1038" t="s">
        <v>14381</v>
      </c>
      <c r="D1038">
        <v>172</v>
      </c>
      <c r="E1038">
        <v>319</v>
      </c>
      <c r="F1038">
        <v>-46</v>
      </c>
      <c r="G1038" s="13">
        <v>1</v>
      </c>
      <c r="H1038" t="s">
        <v>70</v>
      </c>
      <c r="I1038">
        <v>0</v>
      </c>
      <c r="J1038" t="s">
        <v>190</v>
      </c>
      <c r="K1038" t="str">
        <f t="shared" si="16"/>
        <v>Filtered out</v>
      </c>
    </row>
    <row r="1039" spans="1:11" x14ac:dyDescent="0.2">
      <c r="A1039" t="s">
        <v>14382</v>
      </c>
      <c r="B1039" t="s">
        <v>13246</v>
      </c>
      <c r="C1039" t="s">
        <v>13246</v>
      </c>
      <c r="D1039">
        <v>397</v>
      </c>
      <c r="E1039">
        <v>325</v>
      </c>
      <c r="F1039">
        <v>22</v>
      </c>
      <c r="G1039" s="13">
        <v>0.442</v>
      </c>
      <c r="H1039" t="s">
        <v>25</v>
      </c>
      <c r="I1039">
        <v>2</v>
      </c>
      <c r="J1039">
        <v>113</v>
      </c>
      <c r="K1039" t="str">
        <f t="shared" si="16"/>
        <v>Filtered out</v>
      </c>
    </row>
    <row r="1040" spans="1:11" x14ac:dyDescent="0.2">
      <c r="A1040" t="s">
        <v>14382</v>
      </c>
      <c r="B1040" t="s">
        <v>13246</v>
      </c>
      <c r="C1040" t="s">
        <v>13246</v>
      </c>
      <c r="D1040">
        <v>397</v>
      </c>
      <c r="E1040">
        <v>325</v>
      </c>
      <c r="F1040">
        <v>22</v>
      </c>
      <c r="G1040" s="13">
        <v>0.442</v>
      </c>
      <c r="H1040" t="s">
        <v>25</v>
      </c>
      <c r="I1040">
        <v>2</v>
      </c>
      <c r="J1040">
        <v>113</v>
      </c>
      <c r="K1040" t="str">
        <f t="shared" si="16"/>
        <v>Filtered out</v>
      </c>
    </row>
    <row r="1041" spans="1:11" x14ac:dyDescent="0.2">
      <c r="A1041" t="s">
        <v>14383</v>
      </c>
      <c r="B1041" t="s">
        <v>13446</v>
      </c>
      <c r="C1041" t="s">
        <v>13446</v>
      </c>
      <c r="D1041">
        <v>2059</v>
      </c>
      <c r="E1041">
        <v>2143</v>
      </c>
      <c r="F1041">
        <v>-3</v>
      </c>
      <c r="G1041" s="13">
        <v>0.97399999999999998</v>
      </c>
      <c r="H1041" t="s">
        <v>25</v>
      </c>
      <c r="I1041">
        <v>1</v>
      </c>
      <c r="J1041">
        <v>683</v>
      </c>
      <c r="K1041" t="str">
        <f t="shared" si="16"/>
        <v>Retained</v>
      </c>
    </row>
    <row r="1042" spans="1:11" x14ac:dyDescent="0.2">
      <c r="A1042" t="s">
        <v>14384</v>
      </c>
      <c r="B1042" t="s">
        <v>13280</v>
      </c>
      <c r="C1042" t="s">
        <v>13511</v>
      </c>
      <c r="D1042">
        <v>1129</v>
      </c>
      <c r="E1042">
        <v>1183</v>
      </c>
      <c r="F1042">
        <v>-4</v>
      </c>
      <c r="G1042" s="13">
        <v>0.96799999999999997</v>
      </c>
      <c r="H1042" t="s">
        <v>25</v>
      </c>
      <c r="I1042">
        <v>1</v>
      </c>
      <c r="J1042">
        <v>7</v>
      </c>
      <c r="K1042" t="str">
        <f t="shared" si="16"/>
        <v>Filtered out</v>
      </c>
    </row>
    <row r="1043" spans="1:11" x14ac:dyDescent="0.2">
      <c r="A1043" t="s">
        <v>14385</v>
      </c>
      <c r="B1043" t="s">
        <v>13246</v>
      </c>
      <c r="C1043" t="s">
        <v>13246</v>
      </c>
      <c r="D1043">
        <v>547</v>
      </c>
      <c r="E1043">
        <v>550</v>
      </c>
      <c r="F1043">
        <v>0</v>
      </c>
      <c r="G1043" s="13">
        <v>0.81100000000000005</v>
      </c>
      <c r="H1043" t="s">
        <v>25</v>
      </c>
      <c r="I1043">
        <v>1</v>
      </c>
      <c r="J1043">
        <v>101</v>
      </c>
      <c r="K1043" t="str">
        <f t="shared" si="16"/>
        <v>Filtered out</v>
      </c>
    </row>
    <row r="1044" spans="1:11" x14ac:dyDescent="0.2">
      <c r="A1044" t="s">
        <v>47</v>
      </c>
      <c r="B1044" t="s">
        <v>13246</v>
      </c>
      <c r="C1044" t="s">
        <v>13246</v>
      </c>
      <c r="D1044">
        <v>1201</v>
      </c>
      <c r="E1044">
        <v>1203</v>
      </c>
      <c r="F1044">
        <v>0</v>
      </c>
      <c r="G1044" s="13">
        <v>0.91300000000000003</v>
      </c>
      <c r="H1044" t="s">
        <v>25</v>
      </c>
      <c r="I1044">
        <v>1</v>
      </c>
      <c r="J1044">
        <v>130</v>
      </c>
      <c r="K1044" t="str">
        <f t="shared" si="16"/>
        <v>Retained</v>
      </c>
    </row>
    <row r="1045" spans="1:11" x14ac:dyDescent="0.2">
      <c r="A1045" t="s">
        <v>14387</v>
      </c>
      <c r="B1045" t="s">
        <v>13495</v>
      </c>
      <c r="C1045" t="s">
        <v>13495</v>
      </c>
      <c r="D1045">
        <v>646</v>
      </c>
      <c r="E1045">
        <v>1132</v>
      </c>
      <c r="F1045">
        <v>-42</v>
      </c>
      <c r="G1045" s="13">
        <v>0.94</v>
      </c>
      <c r="H1045" t="s">
        <v>25</v>
      </c>
      <c r="I1045">
        <v>2</v>
      </c>
      <c r="J1045">
        <v>107</v>
      </c>
      <c r="K1045" t="str">
        <f t="shared" si="16"/>
        <v>Filtered out</v>
      </c>
    </row>
    <row r="1046" spans="1:11" x14ac:dyDescent="0.2">
      <c r="A1046" t="s">
        <v>14388</v>
      </c>
      <c r="B1046" t="s">
        <v>13325</v>
      </c>
      <c r="C1046" t="s">
        <v>13246</v>
      </c>
      <c r="D1046">
        <v>262</v>
      </c>
      <c r="E1046">
        <v>922</v>
      </c>
      <c r="F1046">
        <v>-71</v>
      </c>
      <c r="G1046" s="13">
        <v>0.97699999999999998</v>
      </c>
      <c r="H1046" t="s">
        <v>70</v>
      </c>
      <c r="I1046">
        <v>0</v>
      </c>
      <c r="J1046" t="s">
        <v>190</v>
      </c>
      <c r="K1046" t="str">
        <f t="shared" si="16"/>
        <v>Filtered out</v>
      </c>
    </row>
    <row r="1047" spans="1:11" x14ac:dyDescent="0.2">
      <c r="A1047" t="s">
        <v>14389</v>
      </c>
      <c r="B1047" t="s">
        <v>13248</v>
      </c>
      <c r="C1047" t="s">
        <v>13297</v>
      </c>
      <c r="D1047">
        <v>202</v>
      </c>
      <c r="E1047">
        <v>1273</v>
      </c>
      <c r="F1047">
        <v>-84</v>
      </c>
      <c r="G1047" s="13">
        <v>0.98499999999999999</v>
      </c>
      <c r="H1047" t="s">
        <v>70</v>
      </c>
      <c r="I1047">
        <v>0</v>
      </c>
      <c r="J1047" t="s">
        <v>190</v>
      </c>
      <c r="K1047" t="str">
        <f t="shared" si="16"/>
        <v>Filtered out</v>
      </c>
    </row>
    <row r="1048" spans="1:11" x14ac:dyDescent="0.2">
      <c r="A1048" t="s">
        <v>14390</v>
      </c>
      <c r="B1048" t="s">
        <v>13688</v>
      </c>
      <c r="C1048" t="s">
        <v>13688</v>
      </c>
      <c r="D1048">
        <v>4162</v>
      </c>
      <c r="E1048">
        <v>6414</v>
      </c>
      <c r="F1048">
        <v>-35</v>
      </c>
      <c r="G1048" s="13">
        <v>0.99099999999999999</v>
      </c>
      <c r="H1048" t="s">
        <v>25</v>
      </c>
      <c r="I1048">
        <v>1</v>
      </c>
      <c r="J1048">
        <v>608</v>
      </c>
      <c r="K1048" t="str">
        <f t="shared" si="16"/>
        <v>Filtered out</v>
      </c>
    </row>
    <row r="1049" spans="1:11" x14ac:dyDescent="0.2">
      <c r="A1049" t="s">
        <v>14391</v>
      </c>
      <c r="B1049" t="s">
        <v>13295</v>
      </c>
      <c r="C1049" t="s">
        <v>13245</v>
      </c>
      <c r="D1049">
        <v>1510</v>
      </c>
      <c r="E1049">
        <v>1417</v>
      </c>
      <c r="F1049">
        <v>6</v>
      </c>
      <c r="G1049" s="13">
        <v>0.98899999999999999</v>
      </c>
      <c r="H1049" t="s">
        <v>25</v>
      </c>
      <c r="I1049">
        <v>1</v>
      </c>
      <c r="J1049">
        <v>24</v>
      </c>
      <c r="K1049" t="str">
        <f t="shared" si="16"/>
        <v>Filtered out</v>
      </c>
    </row>
    <row r="1050" spans="1:11" x14ac:dyDescent="0.2">
      <c r="A1050" t="s">
        <v>14392</v>
      </c>
      <c r="B1050" t="s">
        <v>14381</v>
      </c>
      <c r="C1050" t="s">
        <v>13321</v>
      </c>
      <c r="D1050">
        <v>301</v>
      </c>
      <c r="E1050">
        <v>496</v>
      </c>
      <c r="F1050">
        <v>-39</v>
      </c>
      <c r="G1050" s="13">
        <v>0.99</v>
      </c>
      <c r="H1050" t="s">
        <v>70</v>
      </c>
      <c r="I1050">
        <v>0</v>
      </c>
      <c r="J1050" t="s">
        <v>190</v>
      </c>
      <c r="K1050" t="str">
        <f t="shared" si="16"/>
        <v>Filtered out</v>
      </c>
    </row>
    <row r="1051" spans="1:11" x14ac:dyDescent="0.2">
      <c r="A1051" t="s">
        <v>14393</v>
      </c>
      <c r="B1051" t="s">
        <v>13295</v>
      </c>
      <c r="C1051" t="s">
        <v>13369</v>
      </c>
      <c r="D1051">
        <v>151</v>
      </c>
      <c r="E1051">
        <v>265</v>
      </c>
      <c r="F1051">
        <v>-43</v>
      </c>
      <c r="G1051" s="13">
        <v>0.97899999999999998</v>
      </c>
      <c r="H1051" t="s">
        <v>70</v>
      </c>
      <c r="I1051">
        <v>0</v>
      </c>
      <c r="J1051" t="s">
        <v>190</v>
      </c>
      <c r="K1051" t="str">
        <f t="shared" si="16"/>
        <v>Filtered out</v>
      </c>
    </row>
    <row r="1052" spans="1:11" x14ac:dyDescent="0.2">
      <c r="A1052" t="s">
        <v>14394</v>
      </c>
      <c r="B1052" t="s">
        <v>13246</v>
      </c>
      <c r="C1052" t="s">
        <v>13297</v>
      </c>
      <c r="D1052">
        <v>421</v>
      </c>
      <c r="E1052">
        <v>334</v>
      </c>
      <c r="F1052">
        <v>26</v>
      </c>
      <c r="G1052" s="13">
        <v>0.93700000000000006</v>
      </c>
      <c r="H1052" t="s">
        <v>25</v>
      </c>
      <c r="I1052">
        <v>1</v>
      </c>
      <c r="J1052">
        <v>21</v>
      </c>
      <c r="K1052" t="str">
        <f t="shared" si="16"/>
        <v>Filtered out</v>
      </c>
    </row>
    <row r="1053" spans="1:11" x14ac:dyDescent="0.2">
      <c r="A1053" t="s">
        <v>14395</v>
      </c>
      <c r="B1053" t="s">
        <v>13246</v>
      </c>
      <c r="C1053" t="s">
        <v>13246</v>
      </c>
      <c r="D1053">
        <v>4381</v>
      </c>
      <c r="E1053">
        <v>4381</v>
      </c>
      <c r="F1053">
        <v>0</v>
      </c>
      <c r="G1053" s="13">
        <v>0.98399999999999999</v>
      </c>
      <c r="H1053" t="s">
        <v>25</v>
      </c>
      <c r="I1053">
        <v>2</v>
      </c>
      <c r="J1053">
        <v>1035</v>
      </c>
      <c r="K1053" t="str">
        <f t="shared" si="16"/>
        <v>Retained</v>
      </c>
    </row>
    <row r="1054" spans="1:11" x14ac:dyDescent="0.2">
      <c r="A1054" t="s">
        <v>14396</v>
      </c>
      <c r="B1054" t="s">
        <v>13543</v>
      </c>
      <c r="C1054" t="s">
        <v>13246</v>
      </c>
      <c r="D1054">
        <v>244</v>
      </c>
      <c r="E1054">
        <v>673</v>
      </c>
      <c r="F1054">
        <v>-63</v>
      </c>
      <c r="G1054" s="13">
        <v>1</v>
      </c>
      <c r="H1054" t="s">
        <v>70</v>
      </c>
      <c r="I1054">
        <v>0</v>
      </c>
      <c r="J1054" t="s">
        <v>190</v>
      </c>
      <c r="K1054" t="str">
        <f t="shared" si="16"/>
        <v>Filtered out</v>
      </c>
    </row>
    <row r="1055" spans="1:11" x14ac:dyDescent="0.2">
      <c r="A1055" t="s">
        <v>14397</v>
      </c>
      <c r="B1055" t="s">
        <v>13248</v>
      </c>
      <c r="C1055" t="s">
        <v>13246</v>
      </c>
      <c r="D1055">
        <v>859</v>
      </c>
      <c r="E1055">
        <v>913</v>
      </c>
      <c r="F1055">
        <v>-5</v>
      </c>
      <c r="G1055" s="13">
        <v>0.97899999999999998</v>
      </c>
      <c r="H1055" t="s">
        <v>25</v>
      </c>
      <c r="I1055">
        <v>1</v>
      </c>
      <c r="J1055">
        <v>6</v>
      </c>
      <c r="K1055" t="str">
        <f t="shared" si="16"/>
        <v>Filtered out</v>
      </c>
    </row>
    <row r="1056" spans="1:11" x14ac:dyDescent="0.2">
      <c r="A1056" t="s">
        <v>14398</v>
      </c>
      <c r="B1056" t="s">
        <v>13385</v>
      </c>
      <c r="C1056" t="s">
        <v>13246</v>
      </c>
      <c r="D1056">
        <v>2377</v>
      </c>
      <c r="E1056">
        <v>3310</v>
      </c>
      <c r="F1056">
        <v>-28</v>
      </c>
      <c r="G1056" s="13">
        <v>0.70799999999999996</v>
      </c>
      <c r="H1056" t="s">
        <v>25</v>
      </c>
      <c r="I1056">
        <v>12</v>
      </c>
      <c r="J1056">
        <v>308</v>
      </c>
      <c r="K1056" t="str">
        <f t="shared" si="16"/>
        <v>Filtered out</v>
      </c>
    </row>
    <row r="1057" spans="1:11" x14ac:dyDescent="0.2">
      <c r="A1057" t="s">
        <v>14399</v>
      </c>
      <c r="B1057" t="s">
        <v>13246</v>
      </c>
      <c r="C1057" t="s">
        <v>13246</v>
      </c>
      <c r="D1057">
        <v>1480</v>
      </c>
      <c r="E1057">
        <v>1483</v>
      </c>
      <c r="F1057">
        <v>0</v>
      </c>
      <c r="G1057" s="13">
        <v>0.91100000000000003</v>
      </c>
      <c r="H1057" t="s">
        <v>25</v>
      </c>
      <c r="I1057">
        <v>2</v>
      </c>
      <c r="J1057">
        <v>448</v>
      </c>
      <c r="K1057" t="str">
        <f t="shared" si="16"/>
        <v>Retained</v>
      </c>
    </row>
    <row r="1058" spans="1:11" x14ac:dyDescent="0.2">
      <c r="A1058" t="s">
        <v>24</v>
      </c>
      <c r="B1058" t="s">
        <v>13246</v>
      </c>
      <c r="C1058" t="s">
        <v>13246</v>
      </c>
      <c r="D1058">
        <v>2272</v>
      </c>
      <c r="E1058">
        <v>2272</v>
      </c>
      <c r="F1058">
        <v>0</v>
      </c>
      <c r="G1058" s="13">
        <v>0.99099999999999999</v>
      </c>
      <c r="H1058" t="s">
        <v>25</v>
      </c>
      <c r="I1058">
        <v>1</v>
      </c>
      <c r="J1058">
        <v>429</v>
      </c>
      <c r="K1058" t="str">
        <f t="shared" si="16"/>
        <v>Retained</v>
      </c>
    </row>
    <row r="1059" spans="1:11" x14ac:dyDescent="0.2">
      <c r="A1059" t="s">
        <v>14401</v>
      </c>
      <c r="B1059" t="s">
        <v>13246</v>
      </c>
      <c r="C1059" t="s">
        <v>13246</v>
      </c>
      <c r="D1059">
        <v>1561</v>
      </c>
      <c r="E1059">
        <v>2053</v>
      </c>
      <c r="F1059">
        <v>-23</v>
      </c>
      <c r="G1059" s="13">
        <v>0.95</v>
      </c>
      <c r="H1059" t="s">
        <v>25</v>
      </c>
      <c r="I1059">
        <v>1</v>
      </c>
      <c r="J1059">
        <v>329</v>
      </c>
      <c r="K1059" t="str">
        <f t="shared" si="16"/>
        <v>Filtered out</v>
      </c>
    </row>
    <row r="1060" spans="1:11" x14ac:dyDescent="0.2">
      <c r="A1060" t="s">
        <v>14402</v>
      </c>
      <c r="B1060" t="s">
        <v>13254</v>
      </c>
      <c r="C1060" t="s">
        <v>13246</v>
      </c>
      <c r="D1060">
        <v>1456</v>
      </c>
      <c r="E1060">
        <v>1741</v>
      </c>
      <c r="F1060">
        <v>-16</v>
      </c>
      <c r="G1060" s="13">
        <v>0.93200000000000005</v>
      </c>
      <c r="H1060" t="s">
        <v>25</v>
      </c>
      <c r="I1060">
        <v>3</v>
      </c>
      <c r="J1060">
        <v>268</v>
      </c>
      <c r="K1060" t="str">
        <f t="shared" si="16"/>
        <v>Filtered out</v>
      </c>
    </row>
    <row r="1061" spans="1:11" x14ac:dyDescent="0.2">
      <c r="A1061" t="s">
        <v>14403</v>
      </c>
      <c r="B1061" t="s">
        <v>13337</v>
      </c>
      <c r="C1061" t="s">
        <v>13246</v>
      </c>
      <c r="D1061">
        <v>2641</v>
      </c>
      <c r="E1061">
        <v>2653</v>
      </c>
      <c r="F1061">
        <v>0</v>
      </c>
      <c r="G1061" s="13">
        <v>0.93300000000000005</v>
      </c>
      <c r="H1061" t="s">
        <v>25</v>
      </c>
      <c r="I1061">
        <v>2</v>
      </c>
      <c r="J1061">
        <v>200</v>
      </c>
      <c r="K1061" t="str">
        <f t="shared" si="16"/>
        <v>Filtered out</v>
      </c>
    </row>
    <row r="1062" spans="1:11" x14ac:dyDescent="0.2">
      <c r="A1062" t="s">
        <v>14404</v>
      </c>
      <c r="B1062" t="s">
        <v>13458</v>
      </c>
      <c r="C1062" t="s">
        <v>13246</v>
      </c>
      <c r="D1062">
        <v>295</v>
      </c>
      <c r="E1062">
        <v>895</v>
      </c>
      <c r="F1062">
        <v>-67</v>
      </c>
      <c r="G1062" s="13">
        <v>0.624</v>
      </c>
      <c r="H1062" t="s">
        <v>25</v>
      </c>
      <c r="I1062">
        <v>1</v>
      </c>
      <c r="J1062">
        <v>45</v>
      </c>
      <c r="K1062" t="str">
        <f t="shared" si="16"/>
        <v>Filtered out</v>
      </c>
    </row>
    <row r="1063" spans="1:11" x14ac:dyDescent="0.2">
      <c r="A1063" t="s">
        <v>14405</v>
      </c>
      <c r="B1063" t="s">
        <v>13246</v>
      </c>
      <c r="C1063" t="s">
        <v>13246</v>
      </c>
      <c r="D1063">
        <v>1285</v>
      </c>
      <c r="E1063">
        <v>1282</v>
      </c>
      <c r="F1063">
        <v>0</v>
      </c>
      <c r="G1063" s="13">
        <v>0.92600000000000005</v>
      </c>
      <c r="H1063" t="s">
        <v>25</v>
      </c>
      <c r="I1063">
        <v>1</v>
      </c>
      <c r="J1063">
        <v>115</v>
      </c>
      <c r="K1063" t="str">
        <f t="shared" si="16"/>
        <v>Retained</v>
      </c>
    </row>
    <row r="1064" spans="1:11" x14ac:dyDescent="0.2">
      <c r="A1064" t="s">
        <v>14406</v>
      </c>
      <c r="B1064" t="s">
        <v>13246</v>
      </c>
      <c r="C1064" t="s">
        <v>13246</v>
      </c>
      <c r="D1064">
        <v>1555</v>
      </c>
      <c r="E1064">
        <v>1555</v>
      </c>
      <c r="F1064">
        <v>0</v>
      </c>
      <c r="G1064" s="13">
        <v>0.94799999999999995</v>
      </c>
      <c r="H1064" t="s">
        <v>25</v>
      </c>
      <c r="I1064">
        <v>1</v>
      </c>
      <c r="J1064">
        <v>91</v>
      </c>
      <c r="K1064" t="str">
        <f t="shared" si="16"/>
        <v>Retained</v>
      </c>
    </row>
    <row r="1065" spans="1:11" x14ac:dyDescent="0.2">
      <c r="A1065" t="s">
        <v>14407</v>
      </c>
      <c r="B1065" t="s">
        <v>13831</v>
      </c>
      <c r="C1065" t="s">
        <v>13265</v>
      </c>
      <c r="D1065">
        <v>1591</v>
      </c>
      <c r="E1065">
        <v>1702</v>
      </c>
      <c r="F1065">
        <v>-6</v>
      </c>
      <c r="G1065" s="13">
        <v>0.94899999999999995</v>
      </c>
      <c r="H1065" t="s">
        <v>25</v>
      </c>
      <c r="I1065">
        <v>1</v>
      </c>
      <c r="J1065">
        <v>103</v>
      </c>
      <c r="K1065" t="str">
        <f t="shared" si="16"/>
        <v>Filtered out</v>
      </c>
    </row>
    <row r="1066" spans="1:11" x14ac:dyDescent="0.2">
      <c r="A1066" t="s">
        <v>14408</v>
      </c>
      <c r="B1066" t="s">
        <v>13246</v>
      </c>
      <c r="C1066" t="s">
        <v>13246</v>
      </c>
      <c r="D1066">
        <v>208</v>
      </c>
      <c r="E1066">
        <v>208</v>
      </c>
      <c r="F1066">
        <v>0</v>
      </c>
      <c r="G1066" s="13">
        <v>0.66200000000000003</v>
      </c>
      <c r="H1066" t="s">
        <v>70</v>
      </c>
      <c r="I1066">
        <v>0</v>
      </c>
      <c r="J1066" t="s">
        <v>190</v>
      </c>
      <c r="K1066" t="str">
        <f t="shared" si="16"/>
        <v>Filtered out</v>
      </c>
    </row>
    <row r="1067" spans="1:11" x14ac:dyDescent="0.2">
      <c r="A1067" t="s">
        <v>14409</v>
      </c>
      <c r="B1067" t="s">
        <v>13293</v>
      </c>
      <c r="C1067" t="s">
        <v>13246</v>
      </c>
      <c r="D1067">
        <v>277</v>
      </c>
      <c r="E1067">
        <v>742</v>
      </c>
      <c r="F1067">
        <v>-62</v>
      </c>
      <c r="G1067" s="13">
        <v>0.87</v>
      </c>
      <c r="H1067" t="s">
        <v>70</v>
      </c>
      <c r="I1067">
        <v>0</v>
      </c>
      <c r="J1067" t="s">
        <v>190</v>
      </c>
      <c r="K1067" t="str">
        <f t="shared" si="16"/>
        <v>Filtered out</v>
      </c>
    </row>
    <row r="1068" spans="1:11" x14ac:dyDescent="0.2">
      <c r="A1068" t="s">
        <v>14410</v>
      </c>
      <c r="B1068" t="s">
        <v>13369</v>
      </c>
      <c r="C1068" t="s">
        <v>13314</v>
      </c>
      <c r="D1068">
        <v>247</v>
      </c>
      <c r="E1068">
        <v>679</v>
      </c>
      <c r="F1068">
        <v>-63</v>
      </c>
      <c r="G1068" s="13">
        <v>0.33300000000000002</v>
      </c>
      <c r="H1068" t="s">
        <v>70</v>
      </c>
      <c r="I1068">
        <v>0</v>
      </c>
      <c r="J1068" t="s">
        <v>190</v>
      </c>
      <c r="K1068" t="str">
        <f t="shared" si="16"/>
        <v>Filtered out</v>
      </c>
    </row>
    <row r="1069" spans="1:11" x14ac:dyDescent="0.2">
      <c r="A1069" t="s">
        <v>14411</v>
      </c>
      <c r="B1069" t="s">
        <v>13312</v>
      </c>
      <c r="C1069" t="s">
        <v>13312</v>
      </c>
      <c r="D1069">
        <v>688</v>
      </c>
      <c r="E1069">
        <v>688</v>
      </c>
      <c r="F1069">
        <v>0</v>
      </c>
      <c r="G1069" s="13">
        <v>0.996</v>
      </c>
      <c r="H1069" t="s">
        <v>25</v>
      </c>
      <c r="I1069">
        <v>1</v>
      </c>
      <c r="J1069">
        <v>223</v>
      </c>
      <c r="K1069" t="str">
        <f t="shared" si="16"/>
        <v>Retained</v>
      </c>
    </row>
    <row r="1070" spans="1:11" x14ac:dyDescent="0.2">
      <c r="A1070" t="s">
        <v>14412</v>
      </c>
      <c r="B1070" t="s">
        <v>13246</v>
      </c>
      <c r="C1070" t="s">
        <v>13246</v>
      </c>
      <c r="D1070">
        <v>1348</v>
      </c>
      <c r="E1070">
        <v>1348</v>
      </c>
      <c r="F1070">
        <v>0</v>
      </c>
      <c r="G1070" s="13">
        <v>0.94</v>
      </c>
      <c r="H1070" t="s">
        <v>25</v>
      </c>
      <c r="I1070">
        <v>1</v>
      </c>
      <c r="J1070">
        <v>115</v>
      </c>
      <c r="K1070" t="str">
        <f t="shared" si="16"/>
        <v>Retained</v>
      </c>
    </row>
    <row r="1071" spans="1:11" x14ac:dyDescent="0.2">
      <c r="A1071" t="s">
        <v>5</v>
      </c>
      <c r="B1071" t="s">
        <v>13248</v>
      </c>
      <c r="C1071" t="s">
        <v>13248</v>
      </c>
      <c r="D1071">
        <v>493</v>
      </c>
      <c r="E1071">
        <v>493</v>
      </c>
      <c r="F1071">
        <v>0</v>
      </c>
      <c r="G1071" s="13">
        <v>0.98199999999999998</v>
      </c>
      <c r="H1071" t="s">
        <v>25</v>
      </c>
      <c r="I1071">
        <v>1</v>
      </c>
      <c r="J1071">
        <v>61</v>
      </c>
      <c r="K1071" t="str">
        <f t="shared" si="16"/>
        <v>Retained</v>
      </c>
    </row>
    <row r="1072" spans="1:11" x14ac:dyDescent="0.2">
      <c r="A1072" t="s">
        <v>14414</v>
      </c>
      <c r="B1072" t="s">
        <v>13297</v>
      </c>
      <c r="C1072" t="s">
        <v>13297</v>
      </c>
      <c r="D1072">
        <v>436</v>
      </c>
      <c r="E1072">
        <v>1192</v>
      </c>
      <c r="F1072">
        <v>-63</v>
      </c>
      <c r="G1072" s="13">
        <v>0.91700000000000004</v>
      </c>
      <c r="H1072" t="s">
        <v>25</v>
      </c>
      <c r="I1072">
        <v>1</v>
      </c>
      <c r="J1072">
        <v>68</v>
      </c>
      <c r="K1072" t="str">
        <f t="shared" si="16"/>
        <v>Filtered out</v>
      </c>
    </row>
    <row r="1073" spans="1:11" x14ac:dyDescent="0.2">
      <c r="A1073" t="s">
        <v>14415</v>
      </c>
      <c r="B1073" t="s">
        <v>13421</v>
      </c>
      <c r="C1073" t="s">
        <v>13266</v>
      </c>
      <c r="D1073">
        <v>184</v>
      </c>
      <c r="E1073">
        <v>253</v>
      </c>
      <c r="F1073">
        <v>-27</v>
      </c>
      <c r="G1073" s="13">
        <v>0.94899999999999995</v>
      </c>
      <c r="H1073" t="s">
        <v>70</v>
      </c>
      <c r="I1073">
        <v>0</v>
      </c>
      <c r="J1073" t="s">
        <v>190</v>
      </c>
      <c r="K1073" t="str">
        <f t="shared" si="16"/>
        <v>Filtered out</v>
      </c>
    </row>
    <row r="1074" spans="1:11" x14ac:dyDescent="0.2">
      <c r="A1074" t="s">
        <v>14416</v>
      </c>
      <c r="B1074" t="s">
        <v>13452</v>
      </c>
      <c r="C1074" t="s">
        <v>13452</v>
      </c>
      <c r="D1074">
        <v>979</v>
      </c>
      <c r="E1074">
        <v>979</v>
      </c>
      <c r="F1074">
        <v>0</v>
      </c>
      <c r="G1074" s="13">
        <v>0.93700000000000006</v>
      </c>
      <c r="H1074" t="s">
        <v>25</v>
      </c>
      <c r="I1074">
        <v>2</v>
      </c>
      <c r="J1074">
        <v>92</v>
      </c>
      <c r="K1074" t="str">
        <f t="shared" si="16"/>
        <v>Retained</v>
      </c>
    </row>
    <row r="1075" spans="1:11" x14ac:dyDescent="0.2">
      <c r="A1075" t="s">
        <v>14417</v>
      </c>
      <c r="B1075" t="s">
        <v>13255</v>
      </c>
      <c r="C1075" t="s">
        <v>13246</v>
      </c>
      <c r="D1075">
        <v>178</v>
      </c>
      <c r="E1075">
        <v>532</v>
      </c>
      <c r="F1075">
        <v>-66</v>
      </c>
      <c r="G1075" s="13">
        <v>1</v>
      </c>
      <c r="H1075" t="s">
        <v>70</v>
      </c>
      <c r="I1075">
        <v>0</v>
      </c>
      <c r="J1075" t="s">
        <v>190</v>
      </c>
      <c r="K1075" t="str">
        <f t="shared" si="16"/>
        <v>Filtered out</v>
      </c>
    </row>
    <row r="1076" spans="1:11" x14ac:dyDescent="0.2">
      <c r="A1076" t="s">
        <v>14418</v>
      </c>
      <c r="B1076" t="s">
        <v>13287</v>
      </c>
      <c r="C1076" t="s">
        <v>13246</v>
      </c>
      <c r="D1076">
        <v>7468</v>
      </c>
      <c r="E1076">
        <v>7631</v>
      </c>
      <c r="F1076">
        <v>-2</v>
      </c>
      <c r="G1076" s="13">
        <v>0.98699999999999999</v>
      </c>
      <c r="H1076" t="s">
        <v>25</v>
      </c>
      <c r="I1076">
        <v>1</v>
      </c>
      <c r="J1076">
        <v>2</v>
      </c>
      <c r="K1076" t="str">
        <f t="shared" si="16"/>
        <v>Filtered out</v>
      </c>
    </row>
    <row r="1077" spans="1:11" x14ac:dyDescent="0.2">
      <c r="A1077" t="s">
        <v>14419</v>
      </c>
      <c r="B1077" t="s">
        <v>13385</v>
      </c>
      <c r="C1077" t="s">
        <v>13246</v>
      </c>
      <c r="D1077">
        <v>4102</v>
      </c>
      <c r="E1077">
        <v>4426</v>
      </c>
      <c r="F1077">
        <v>-7</v>
      </c>
      <c r="G1077" s="13">
        <v>0.64600000000000002</v>
      </c>
      <c r="H1077" t="s">
        <v>25</v>
      </c>
      <c r="I1077">
        <v>6</v>
      </c>
      <c r="J1077">
        <v>2</v>
      </c>
      <c r="K1077" t="str">
        <f t="shared" si="16"/>
        <v>Filtered out</v>
      </c>
    </row>
    <row r="1078" spans="1:11" x14ac:dyDescent="0.2">
      <c r="A1078" t="s">
        <v>14420</v>
      </c>
      <c r="B1078" t="s">
        <v>13246</v>
      </c>
      <c r="C1078" t="s">
        <v>13246</v>
      </c>
      <c r="D1078">
        <v>1516</v>
      </c>
      <c r="E1078">
        <v>1516</v>
      </c>
      <c r="F1078">
        <v>0</v>
      </c>
      <c r="G1078" s="13">
        <v>0.92800000000000005</v>
      </c>
      <c r="H1078" t="s">
        <v>25</v>
      </c>
      <c r="I1078">
        <v>1</v>
      </c>
      <c r="J1078">
        <v>106</v>
      </c>
      <c r="K1078" t="str">
        <f t="shared" si="16"/>
        <v>Retained</v>
      </c>
    </row>
    <row r="1079" spans="1:11" x14ac:dyDescent="0.2">
      <c r="A1079" t="s">
        <v>14421</v>
      </c>
      <c r="B1079" t="s">
        <v>13297</v>
      </c>
      <c r="C1079" t="s">
        <v>13248</v>
      </c>
      <c r="D1079">
        <v>1297</v>
      </c>
      <c r="E1079">
        <v>1339</v>
      </c>
      <c r="F1079">
        <v>-3</v>
      </c>
      <c r="G1079" s="13">
        <v>0.35</v>
      </c>
      <c r="H1079" t="s">
        <v>70</v>
      </c>
      <c r="I1079">
        <v>0</v>
      </c>
      <c r="J1079" t="s">
        <v>190</v>
      </c>
      <c r="K1079" t="str">
        <f t="shared" si="16"/>
        <v>Filtered out</v>
      </c>
    </row>
    <row r="1080" spans="1:11" x14ac:dyDescent="0.2">
      <c r="A1080" t="s">
        <v>14422</v>
      </c>
      <c r="B1080" t="s">
        <v>13246</v>
      </c>
      <c r="C1080" t="s">
        <v>13246</v>
      </c>
      <c r="D1080">
        <v>190</v>
      </c>
      <c r="E1080">
        <v>190</v>
      </c>
      <c r="F1080">
        <v>0</v>
      </c>
      <c r="G1080" s="13">
        <v>0.93700000000000006</v>
      </c>
      <c r="H1080" t="s">
        <v>70</v>
      </c>
      <c r="I1080">
        <v>0</v>
      </c>
      <c r="J1080" t="s">
        <v>190</v>
      </c>
      <c r="K1080" t="str">
        <f t="shared" si="16"/>
        <v>Filtered out</v>
      </c>
    </row>
    <row r="1081" spans="1:11" x14ac:dyDescent="0.2">
      <c r="A1081" t="s">
        <v>14423</v>
      </c>
      <c r="B1081" t="s">
        <v>13246</v>
      </c>
      <c r="C1081" t="s">
        <v>13246</v>
      </c>
      <c r="D1081">
        <v>2689</v>
      </c>
      <c r="E1081">
        <v>2689</v>
      </c>
      <c r="F1081">
        <v>0</v>
      </c>
      <c r="G1081" s="13">
        <v>0.96299999999999997</v>
      </c>
      <c r="H1081" t="s">
        <v>25</v>
      </c>
      <c r="I1081">
        <v>1</v>
      </c>
      <c r="J1081">
        <v>133</v>
      </c>
      <c r="K1081" t="str">
        <f t="shared" si="16"/>
        <v>Retained</v>
      </c>
    </row>
    <row r="1082" spans="1:11" x14ac:dyDescent="0.2">
      <c r="A1082" t="s">
        <v>14424</v>
      </c>
      <c r="B1082" t="s">
        <v>13246</v>
      </c>
      <c r="C1082" t="s">
        <v>13246</v>
      </c>
      <c r="D1082">
        <v>4951</v>
      </c>
      <c r="E1082">
        <v>4951</v>
      </c>
      <c r="F1082">
        <v>0</v>
      </c>
      <c r="G1082" s="13">
        <v>0.97799999999999998</v>
      </c>
      <c r="H1082" t="s">
        <v>25</v>
      </c>
      <c r="I1082">
        <v>1</v>
      </c>
      <c r="J1082">
        <v>1163</v>
      </c>
      <c r="K1082" t="str">
        <f t="shared" si="16"/>
        <v>Retained</v>
      </c>
    </row>
    <row r="1083" spans="1:11" x14ac:dyDescent="0.2">
      <c r="A1083" t="s">
        <v>14425</v>
      </c>
      <c r="B1083" t="s">
        <v>13442</v>
      </c>
      <c r="C1083" t="s">
        <v>13246</v>
      </c>
      <c r="D1083">
        <v>826</v>
      </c>
      <c r="E1083">
        <v>4189</v>
      </c>
      <c r="F1083">
        <v>-80</v>
      </c>
      <c r="G1083" s="13">
        <v>0.97099999999999997</v>
      </c>
      <c r="H1083" t="s">
        <v>70</v>
      </c>
      <c r="I1083">
        <v>0</v>
      </c>
      <c r="J1083" t="s">
        <v>190</v>
      </c>
      <c r="K1083" t="str">
        <f t="shared" si="16"/>
        <v>Filtered out</v>
      </c>
    </row>
    <row r="1084" spans="1:11" x14ac:dyDescent="0.2">
      <c r="A1084" t="s">
        <v>14426</v>
      </c>
      <c r="B1084" t="s">
        <v>13246</v>
      </c>
      <c r="C1084" t="s">
        <v>13246</v>
      </c>
      <c r="D1084">
        <v>4165</v>
      </c>
      <c r="E1084">
        <v>4165</v>
      </c>
      <c r="F1084">
        <v>0</v>
      </c>
      <c r="G1084" s="13">
        <v>0.97799999999999998</v>
      </c>
      <c r="H1084" t="s">
        <v>25</v>
      </c>
      <c r="I1084">
        <v>2</v>
      </c>
      <c r="J1084">
        <v>1179</v>
      </c>
      <c r="K1084" t="str">
        <f t="shared" si="16"/>
        <v>Retained</v>
      </c>
    </row>
    <row r="1085" spans="1:11" x14ac:dyDescent="0.2">
      <c r="A1085" t="s">
        <v>14427</v>
      </c>
      <c r="B1085" t="s">
        <v>13346</v>
      </c>
      <c r="C1085" t="s">
        <v>13246</v>
      </c>
      <c r="D1085">
        <v>1012</v>
      </c>
      <c r="E1085">
        <v>1855</v>
      </c>
      <c r="F1085">
        <v>-45</v>
      </c>
      <c r="G1085" s="13">
        <v>0.90600000000000003</v>
      </c>
      <c r="H1085" t="s">
        <v>25</v>
      </c>
      <c r="I1085">
        <v>1</v>
      </c>
      <c r="J1085">
        <v>317</v>
      </c>
      <c r="K1085" t="str">
        <f t="shared" si="16"/>
        <v>Filtered out</v>
      </c>
    </row>
    <row r="1086" spans="1:11" x14ac:dyDescent="0.2">
      <c r="A1086" t="s">
        <v>14428</v>
      </c>
      <c r="B1086" t="s">
        <v>13699</v>
      </c>
      <c r="C1086" t="s">
        <v>13699</v>
      </c>
      <c r="D1086">
        <v>193</v>
      </c>
      <c r="E1086">
        <v>469</v>
      </c>
      <c r="F1086">
        <v>-58</v>
      </c>
      <c r="G1086" s="13">
        <v>0.98399999999999999</v>
      </c>
      <c r="H1086" t="s">
        <v>70</v>
      </c>
      <c r="I1086">
        <v>0</v>
      </c>
      <c r="J1086" t="s">
        <v>190</v>
      </c>
      <c r="K1086" t="str">
        <f t="shared" si="16"/>
        <v>Filtered out</v>
      </c>
    </row>
    <row r="1087" spans="1:11" x14ac:dyDescent="0.2">
      <c r="A1087" t="s">
        <v>14429</v>
      </c>
      <c r="B1087" t="s">
        <v>13246</v>
      </c>
      <c r="C1087" t="s">
        <v>13246</v>
      </c>
      <c r="D1087">
        <v>4330</v>
      </c>
      <c r="E1087">
        <v>6487</v>
      </c>
      <c r="F1087">
        <v>-33</v>
      </c>
      <c r="G1087" s="13">
        <v>0.98199999999999998</v>
      </c>
      <c r="H1087" t="s">
        <v>25</v>
      </c>
      <c r="I1087">
        <v>1</v>
      </c>
      <c r="J1087">
        <v>665</v>
      </c>
      <c r="K1087" t="str">
        <f t="shared" si="16"/>
        <v>Filtered out</v>
      </c>
    </row>
    <row r="1088" spans="1:11" x14ac:dyDescent="0.2">
      <c r="A1088" t="s">
        <v>14430</v>
      </c>
      <c r="B1088" t="s">
        <v>13254</v>
      </c>
      <c r="C1088" t="s">
        <v>13254</v>
      </c>
      <c r="D1088">
        <v>3763</v>
      </c>
      <c r="E1088">
        <v>3760</v>
      </c>
      <c r="F1088">
        <v>0</v>
      </c>
      <c r="G1088" s="13">
        <v>0.97099999999999997</v>
      </c>
      <c r="H1088" t="s">
        <v>25</v>
      </c>
      <c r="I1088">
        <v>2</v>
      </c>
      <c r="J1088">
        <v>1034</v>
      </c>
      <c r="K1088" t="str">
        <f t="shared" si="16"/>
        <v>Retained</v>
      </c>
    </row>
    <row r="1089" spans="1:11" x14ac:dyDescent="0.2">
      <c r="A1089" t="s">
        <v>14431</v>
      </c>
      <c r="B1089" t="s">
        <v>13246</v>
      </c>
      <c r="C1089" t="s">
        <v>13246</v>
      </c>
      <c r="D1089">
        <v>2305</v>
      </c>
      <c r="E1089">
        <v>2302</v>
      </c>
      <c r="F1089">
        <v>0</v>
      </c>
      <c r="G1089" s="13">
        <v>0.95599999999999996</v>
      </c>
      <c r="H1089" t="s">
        <v>25</v>
      </c>
      <c r="I1089">
        <v>2</v>
      </c>
      <c r="J1089">
        <v>548</v>
      </c>
      <c r="K1089" t="str">
        <f t="shared" si="16"/>
        <v>Retained</v>
      </c>
    </row>
    <row r="1090" spans="1:11" x14ac:dyDescent="0.2">
      <c r="A1090" t="s">
        <v>14430</v>
      </c>
      <c r="B1090" t="s">
        <v>13254</v>
      </c>
      <c r="C1090" t="s">
        <v>13254</v>
      </c>
      <c r="D1090">
        <v>3763</v>
      </c>
      <c r="E1090">
        <v>3760</v>
      </c>
      <c r="F1090">
        <v>0</v>
      </c>
      <c r="G1090" s="13">
        <v>0.97099999999999997</v>
      </c>
      <c r="H1090" t="s">
        <v>25</v>
      </c>
      <c r="I1090">
        <v>2</v>
      </c>
      <c r="J1090">
        <v>1034</v>
      </c>
      <c r="K1090" t="str">
        <f t="shared" si="16"/>
        <v>Retained</v>
      </c>
    </row>
    <row r="1091" spans="1:11" x14ac:dyDescent="0.2">
      <c r="A1091" t="s">
        <v>14432</v>
      </c>
      <c r="B1091" t="s">
        <v>13462</v>
      </c>
      <c r="C1091" t="s">
        <v>13246</v>
      </c>
      <c r="D1091">
        <v>418</v>
      </c>
      <c r="E1091">
        <v>802</v>
      </c>
      <c r="F1091">
        <v>-47</v>
      </c>
      <c r="G1091" s="13">
        <v>0.89900000000000002</v>
      </c>
      <c r="H1091" t="s">
        <v>70</v>
      </c>
      <c r="I1091">
        <v>0</v>
      </c>
      <c r="J1091" t="s">
        <v>190</v>
      </c>
      <c r="K1091" t="str">
        <f t="shared" si="16"/>
        <v>Filtered out</v>
      </c>
    </row>
    <row r="1092" spans="1:11" x14ac:dyDescent="0.2">
      <c r="A1092" t="s">
        <v>14433</v>
      </c>
      <c r="B1092" t="s">
        <v>13385</v>
      </c>
      <c r="C1092" t="s">
        <v>13246</v>
      </c>
      <c r="D1092">
        <v>1405</v>
      </c>
      <c r="E1092">
        <v>1780</v>
      </c>
      <c r="F1092">
        <v>-21</v>
      </c>
      <c r="G1092" s="13">
        <v>0.92100000000000004</v>
      </c>
      <c r="H1092" t="s">
        <v>25</v>
      </c>
      <c r="I1092">
        <v>1</v>
      </c>
      <c r="J1092">
        <v>268</v>
      </c>
      <c r="K1092" t="str">
        <f t="shared" si="16"/>
        <v>Filtered out</v>
      </c>
    </row>
    <row r="1093" spans="1:11" x14ac:dyDescent="0.2">
      <c r="A1093" t="s">
        <v>14434</v>
      </c>
      <c r="B1093" t="s">
        <v>13618</v>
      </c>
      <c r="C1093" t="s">
        <v>13618</v>
      </c>
      <c r="D1093">
        <v>2731</v>
      </c>
      <c r="E1093">
        <v>2731</v>
      </c>
      <c r="F1093">
        <v>0</v>
      </c>
      <c r="G1093" s="13">
        <v>0.38400000000000001</v>
      </c>
      <c r="H1093" t="s">
        <v>25</v>
      </c>
      <c r="I1093">
        <v>53</v>
      </c>
      <c r="J1093">
        <v>250</v>
      </c>
      <c r="K1093" t="str">
        <f t="shared" si="16"/>
        <v>Filtered out</v>
      </c>
    </row>
    <row r="1094" spans="1:11" x14ac:dyDescent="0.2">
      <c r="A1094" t="s">
        <v>14435</v>
      </c>
      <c r="B1094" t="s">
        <v>13246</v>
      </c>
      <c r="C1094" t="s">
        <v>13246</v>
      </c>
      <c r="D1094">
        <v>3184</v>
      </c>
      <c r="E1094">
        <v>3190</v>
      </c>
      <c r="F1094">
        <v>0</v>
      </c>
      <c r="G1094" s="13">
        <v>0.96499999999999997</v>
      </c>
      <c r="H1094" t="s">
        <v>25</v>
      </c>
      <c r="I1094">
        <v>2</v>
      </c>
      <c r="J1094">
        <v>481</v>
      </c>
      <c r="K1094" t="str">
        <f t="shared" si="16"/>
        <v>Retained</v>
      </c>
    </row>
    <row r="1095" spans="1:11" x14ac:dyDescent="0.2">
      <c r="A1095" t="s">
        <v>14436</v>
      </c>
      <c r="B1095" t="s">
        <v>13280</v>
      </c>
      <c r="C1095" t="s">
        <v>13246</v>
      </c>
      <c r="D1095">
        <v>1816</v>
      </c>
      <c r="E1095">
        <v>1938</v>
      </c>
      <c r="F1095">
        <v>-6</v>
      </c>
      <c r="G1095" s="13">
        <v>0.184</v>
      </c>
      <c r="H1095" t="s">
        <v>25</v>
      </c>
      <c r="I1095">
        <v>1</v>
      </c>
      <c r="J1095">
        <v>579</v>
      </c>
      <c r="K1095" t="str">
        <f t="shared" si="16"/>
        <v>Filtered out</v>
      </c>
    </row>
    <row r="1096" spans="1:11" x14ac:dyDescent="0.2">
      <c r="A1096" t="s">
        <v>14437</v>
      </c>
      <c r="B1096" t="s">
        <v>13266</v>
      </c>
      <c r="C1096" t="s">
        <v>13246</v>
      </c>
      <c r="D1096">
        <v>160</v>
      </c>
      <c r="E1096">
        <v>214</v>
      </c>
      <c r="F1096">
        <v>-25</v>
      </c>
      <c r="G1096" s="13">
        <v>1</v>
      </c>
      <c r="H1096" t="s">
        <v>70</v>
      </c>
      <c r="I1096">
        <v>0</v>
      </c>
      <c r="J1096" t="s">
        <v>190</v>
      </c>
      <c r="K1096" t="str">
        <f t="shared" ref="K1096:K1159" si="17">IF(AND(B1096=C1096,F1096&lt;10,F1096&gt;-10,I1096&gt;0,G1096&gt;90%,G1096&lt;100%),"Retained","Filtered out")</f>
        <v>Filtered out</v>
      </c>
    </row>
    <row r="1097" spans="1:11" x14ac:dyDescent="0.2">
      <c r="A1097" t="s">
        <v>14438</v>
      </c>
      <c r="B1097" t="s">
        <v>13369</v>
      </c>
      <c r="C1097" t="s">
        <v>13246</v>
      </c>
      <c r="D1097">
        <v>1684</v>
      </c>
      <c r="E1097">
        <v>2749</v>
      </c>
      <c r="F1097">
        <v>-38</v>
      </c>
      <c r="G1097" s="13">
        <v>0.98899999999999999</v>
      </c>
      <c r="H1097" t="s">
        <v>25</v>
      </c>
      <c r="I1097">
        <v>1</v>
      </c>
      <c r="J1097">
        <v>559</v>
      </c>
      <c r="K1097" t="str">
        <f t="shared" si="17"/>
        <v>Filtered out</v>
      </c>
    </row>
    <row r="1098" spans="1:11" x14ac:dyDescent="0.2">
      <c r="A1098" t="s">
        <v>14439</v>
      </c>
      <c r="B1098" t="s">
        <v>13297</v>
      </c>
      <c r="C1098" t="s">
        <v>13418</v>
      </c>
      <c r="D1098">
        <v>175</v>
      </c>
      <c r="E1098">
        <v>346</v>
      </c>
      <c r="F1098">
        <v>-49</v>
      </c>
      <c r="G1098" s="13">
        <v>0.94799999999999995</v>
      </c>
      <c r="H1098" t="s">
        <v>70</v>
      </c>
      <c r="I1098">
        <v>0</v>
      </c>
      <c r="J1098" t="s">
        <v>190</v>
      </c>
      <c r="K1098" t="str">
        <f t="shared" si="17"/>
        <v>Filtered out</v>
      </c>
    </row>
    <row r="1099" spans="1:11" x14ac:dyDescent="0.2">
      <c r="A1099" t="s">
        <v>22</v>
      </c>
      <c r="B1099" t="s">
        <v>13263</v>
      </c>
      <c r="C1099" t="s">
        <v>13263</v>
      </c>
      <c r="D1099">
        <v>1201</v>
      </c>
      <c r="E1099">
        <v>1201</v>
      </c>
      <c r="F1099">
        <v>0</v>
      </c>
      <c r="G1099" s="13">
        <v>0.99199999999999999</v>
      </c>
      <c r="H1099" t="s">
        <v>25</v>
      </c>
      <c r="I1099">
        <v>1</v>
      </c>
      <c r="J1099">
        <v>260</v>
      </c>
      <c r="K1099" t="str">
        <f t="shared" si="17"/>
        <v>Retained</v>
      </c>
    </row>
    <row r="1100" spans="1:11" x14ac:dyDescent="0.2">
      <c r="A1100" t="s">
        <v>14441</v>
      </c>
      <c r="B1100" t="s">
        <v>13246</v>
      </c>
      <c r="C1100" t="s">
        <v>13246</v>
      </c>
      <c r="D1100">
        <v>5065</v>
      </c>
      <c r="E1100">
        <v>5065</v>
      </c>
      <c r="F1100">
        <v>0</v>
      </c>
      <c r="G1100" s="13">
        <v>0.997</v>
      </c>
      <c r="H1100" t="s">
        <v>25</v>
      </c>
      <c r="I1100">
        <v>1</v>
      </c>
      <c r="J1100">
        <v>619</v>
      </c>
      <c r="K1100" t="str">
        <f t="shared" si="17"/>
        <v>Retained</v>
      </c>
    </row>
    <row r="1101" spans="1:11" x14ac:dyDescent="0.2">
      <c r="A1101" t="s">
        <v>14442</v>
      </c>
      <c r="B1101" t="s">
        <v>13295</v>
      </c>
      <c r="C1101" t="s">
        <v>13254</v>
      </c>
      <c r="D1101">
        <v>196</v>
      </c>
      <c r="E1101">
        <v>649</v>
      </c>
      <c r="F1101">
        <v>-69</v>
      </c>
      <c r="G1101" s="13">
        <v>0.98499999999999999</v>
      </c>
      <c r="H1101" t="s">
        <v>70</v>
      </c>
      <c r="I1101">
        <v>0</v>
      </c>
      <c r="J1101" t="s">
        <v>190</v>
      </c>
      <c r="K1101" t="str">
        <f t="shared" si="17"/>
        <v>Filtered out</v>
      </c>
    </row>
    <row r="1102" spans="1:11" x14ac:dyDescent="0.2">
      <c r="A1102" t="s">
        <v>14443</v>
      </c>
      <c r="B1102" t="s">
        <v>13421</v>
      </c>
      <c r="C1102" t="s">
        <v>13246</v>
      </c>
      <c r="D1102">
        <v>1567</v>
      </c>
      <c r="E1102">
        <v>1618</v>
      </c>
      <c r="F1102">
        <v>-3</v>
      </c>
      <c r="G1102" s="13">
        <v>0.98699999999999999</v>
      </c>
      <c r="H1102" t="s">
        <v>25</v>
      </c>
      <c r="I1102">
        <v>1</v>
      </c>
      <c r="J1102">
        <v>4</v>
      </c>
      <c r="K1102" t="str">
        <f t="shared" si="17"/>
        <v>Filtered out</v>
      </c>
    </row>
    <row r="1103" spans="1:11" x14ac:dyDescent="0.2">
      <c r="A1103" t="s">
        <v>14444</v>
      </c>
      <c r="B1103" t="s">
        <v>13358</v>
      </c>
      <c r="C1103" t="s">
        <v>13358</v>
      </c>
      <c r="D1103">
        <v>922</v>
      </c>
      <c r="E1103">
        <v>922</v>
      </c>
      <c r="F1103">
        <v>0</v>
      </c>
      <c r="G1103" s="13">
        <v>0.96699999999999997</v>
      </c>
      <c r="H1103" t="s">
        <v>25</v>
      </c>
      <c r="I1103">
        <v>1</v>
      </c>
      <c r="J1103">
        <v>230</v>
      </c>
      <c r="K1103" t="str">
        <f t="shared" si="17"/>
        <v>Retained</v>
      </c>
    </row>
    <row r="1104" spans="1:11" x14ac:dyDescent="0.2">
      <c r="A1104" t="s">
        <v>14445</v>
      </c>
      <c r="B1104" t="s">
        <v>13364</v>
      </c>
      <c r="C1104" t="s">
        <v>13245</v>
      </c>
      <c r="D1104">
        <v>1255</v>
      </c>
      <c r="E1104">
        <v>1498</v>
      </c>
      <c r="F1104">
        <v>-16</v>
      </c>
      <c r="G1104" s="13">
        <v>0.998</v>
      </c>
      <c r="H1104" t="s">
        <v>25</v>
      </c>
      <c r="I1104">
        <v>1</v>
      </c>
      <c r="J1104">
        <v>2</v>
      </c>
      <c r="K1104" t="str">
        <f t="shared" si="17"/>
        <v>Filtered out</v>
      </c>
    </row>
    <row r="1105" spans="1:11" x14ac:dyDescent="0.2">
      <c r="A1105" t="s">
        <v>14446</v>
      </c>
      <c r="B1105" t="s">
        <v>13246</v>
      </c>
      <c r="C1105" t="s">
        <v>13246</v>
      </c>
      <c r="D1105">
        <v>415</v>
      </c>
      <c r="E1105">
        <v>2232</v>
      </c>
      <c r="F1105">
        <v>-81</v>
      </c>
      <c r="G1105" s="13">
        <v>1</v>
      </c>
      <c r="H1105" t="s">
        <v>70</v>
      </c>
      <c r="I1105">
        <v>0</v>
      </c>
      <c r="J1105" t="s">
        <v>190</v>
      </c>
      <c r="K1105" t="str">
        <f t="shared" si="17"/>
        <v>Filtered out</v>
      </c>
    </row>
    <row r="1106" spans="1:11" x14ac:dyDescent="0.2">
      <c r="A1106" t="s">
        <v>58</v>
      </c>
      <c r="B1106" t="s">
        <v>13246</v>
      </c>
      <c r="C1106" t="s">
        <v>13246</v>
      </c>
      <c r="D1106">
        <v>1636</v>
      </c>
      <c r="E1106">
        <v>1636</v>
      </c>
      <c r="F1106">
        <v>0</v>
      </c>
      <c r="G1106" s="13">
        <v>0.98499999999999999</v>
      </c>
      <c r="H1106" t="s">
        <v>25</v>
      </c>
      <c r="I1106">
        <v>1</v>
      </c>
      <c r="J1106">
        <v>225</v>
      </c>
      <c r="K1106" t="str">
        <f t="shared" si="17"/>
        <v>Retained</v>
      </c>
    </row>
    <row r="1107" spans="1:11" x14ac:dyDescent="0.2">
      <c r="A1107" t="s">
        <v>14448</v>
      </c>
      <c r="B1107" t="s">
        <v>13246</v>
      </c>
      <c r="C1107" t="s">
        <v>13246</v>
      </c>
      <c r="D1107">
        <v>1999</v>
      </c>
      <c r="E1107">
        <v>2320</v>
      </c>
      <c r="F1107">
        <v>-13</v>
      </c>
      <c r="G1107" s="13">
        <v>0.97699999999999998</v>
      </c>
      <c r="H1107" t="s">
        <v>25</v>
      </c>
      <c r="I1107">
        <v>2</v>
      </c>
      <c r="J1107">
        <v>90</v>
      </c>
      <c r="K1107" t="str">
        <f t="shared" si="17"/>
        <v>Filtered out</v>
      </c>
    </row>
    <row r="1108" spans="1:11" x14ac:dyDescent="0.2">
      <c r="A1108" t="s">
        <v>14449</v>
      </c>
      <c r="B1108" t="s">
        <v>13246</v>
      </c>
      <c r="C1108" t="s">
        <v>13246</v>
      </c>
      <c r="D1108">
        <v>4351</v>
      </c>
      <c r="E1108">
        <v>4351</v>
      </c>
      <c r="F1108">
        <v>0</v>
      </c>
      <c r="G1108" s="13">
        <v>0.98499999999999999</v>
      </c>
      <c r="H1108" t="s">
        <v>25</v>
      </c>
      <c r="I1108">
        <v>1</v>
      </c>
      <c r="J1108">
        <v>601</v>
      </c>
      <c r="K1108" t="str">
        <f t="shared" si="17"/>
        <v>Retained</v>
      </c>
    </row>
    <row r="1109" spans="1:11" x14ac:dyDescent="0.2">
      <c r="A1109" t="s">
        <v>14450</v>
      </c>
      <c r="B1109" t="s">
        <v>13254</v>
      </c>
      <c r="C1109" t="s">
        <v>13543</v>
      </c>
      <c r="D1109">
        <v>82</v>
      </c>
      <c r="E1109">
        <v>205</v>
      </c>
      <c r="F1109">
        <v>-60</v>
      </c>
      <c r="G1109" s="13">
        <v>0.438</v>
      </c>
      <c r="H1109" t="s">
        <v>70</v>
      </c>
      <c r="I1109">
        <v>0</v>
      </c>
      <c r="J1109" t="s">
        <v>190</v>
      </c>
      <c r="K1109" t="str">
        <f t="shared" si="17"/>
        <v>Filtered out</v>
      </c>
    </row>
    <row r="1110" spans="1:11" x14ac:dyDescent="0.2">
      <c r="A1110" t="s">
        <v>14451</v>
      </c>
      <c r="B1110" t="s">
        <v>14452</v>
      </c>
      <c r="C1110" t="s">
        <v>14452</v>
      </c>
      <c r="D1110">
        <v>1498</v>
      </c>
      <c r="E1110">
        <v>1498</v>
      </c>
      <c r="F1110">
        <v>0</v>
      </c>
      <c r="G1110" s="13">
        <v>0.996</v>
      </c>
      <c r="H1110" t="s">
        <v>25</v>
      </c>
      <c r="I1110">
        <v>1</v>
      </c>
      <c r="J1110">
        <v>7</v>
      </c>
      <c r="K1110" t="str">
        <f t="shared" si="17"/>
        <v>Retained</v>
      </c>
    </row>
    <row r="1111" spans="1:11" x14ac:dyDescent="0.2">
      <c r="A1111" t="s">
        <v>14453</v>
      </c>
      <c r="B1111" t="s">
        <v>13536</v>
      </c>
      <c r="C1111" t="s">
        <v>13246</v>
      </c>
      <c r="D1111">
        <v>340</v>
      </c>
      <c r="E1111">
        <v>958</v>
      </c>
      <c r="F1111">
        <v>-64</v>
      </c>
      <c r="G1111" s="13">
        <v>0.99099999999999999</v>
      </c>
      <c r="H1111" t="s">
        <v>70</v>
      </c>
      <c r="I1111">
        <v>0</v>
      </c>
      <c r="J1111" t="s">
        <v>190</v>
      </c>
      <c r="K1111" t="str">
        <f t="shared" si="17"/>
        <v>Filtered out</v>
      </c>
    </row>
    <row r="1112" spans="1:11" x14ac:dyDescent="0.2">
      <c r="A1112" t="s">
        <v>14454</v>
      </c>
      <c r="B1112" t="s">
        <v>13484</v>
      </c>
      <c r="C1112" t="s">
        <v>14455</v>
      </c>
      <c r="D1112">
        <v>2440</v>
      </c>
      <c r="E1112">
        <v>2359</v>
      </c>
      <c r="F1112">
        <v>3</v>
      </c>
      <c r="G1112" s="13">
        <v>0.98899999999999999</v>
      </c>
      <c r="H1112" t="s">
        <v>25</v>
      </c>
      <c r="I1112">
        <v>1</v>
      </c>
      <c r="J1112">
        <v>33</v>
      </c>
      <c r="K1112" t="str">
        <f t="shared" si="17"/>
        <v>Filtered out</v>
      </c>
    </row>
    <row r="1113" spans="1:11" x14ac:dyDescent="0.2">
      <c r="A1113" t="s">
        <v>14456</v>
      </c>
      <c r="B1113" t="s">
        <v>13533</v>
      </c>
      <c r="C1113" t="s">
        <v>13533</v>
      </c>
      <c r="D1113">
        <v>427</v>
      </c>
      <c r="E1113">
        <v>592</v>
      </c>
      <c r="F1113">
        <v>-27</v>
      </c>
      <c r="G1113" s="13">
        <v>0.93</v>
      </c>
      <c r="H1113" t="s">
        <v>25</v>
      </c>
      <c r="I1113">
        <v>2</v>
      </c>
      <c r="J1113">
        <v>114</v>
      </c>
      <c r="K1113" t="str">
        <f t="shared" si="17"/>
        <v>Filtered out</v>
      </c>
    </row>
    <row r="1114" spans="1:11" x14ac:dyDescent="0.2">
      <c r="A1114" t="s">
        <v>14457</v>
      </c>
      <c r="B1114" t="s">
        <v>13246</v>
      </c>
      <c r="C1114" t="s">
        <v>13246</v>
      </c>
      <c r="D1114">
        <v>109</v>
      </c>
      <c r="E1114">
        <v>739</v>
      </c>
      <c r="F1114">
        <v>-85</v>
      </c>
      <c r="G1114" s="13">
        <v>0.97199999999999998</v>
      </c>
      <c r="H1114" t="s">
        <v>70</v>
      </c>
      <c r="I1114">
        <v>0</v>
      </c>
      <c r="J1114" t="s">
        <v>190</v>
      </c>
      <c r="K1114" t="str">
        <f t="shared" si="17"/>
        <v>Filtered out</v>
      </c>
    </row>
    <row r="1115" spans="1:11" x14ac:dyDescent="0.2">
      <c r="A1115" t="s">
        <v>14458</v>
      </c>
      <c r="B1115" t="s">
        <v>13246</v>
      </c>
      <c r="C1115" t="s">
        <v>13688</v>
      </c>
      <c r="D1115">
        <v>1612</v>
      </c>
      <c r="E1115">
        <v>1315</v>
      </c>
      <c r="F1115">
        <v>22</v>
      </c>
      <c r="G1115" s="13">
        <v>0.92600000000000005</v>
      </c>
      <c r="H1115" t="s">
        <v>25</v>
      </c>
      <c r="I1115">
        <v>1</v>
      </c>
      <c r="J1115">
        <v>260</v>
      </c>
      <c r="K1115" t="str">
        <f t="shared" si="17"/>
        <v>Filtered out</v>
      </c>
    </row>
    <row r="1116" spans="1:11" x14ac:dyDescent="0.2">
      <c r="A1116" t="s">
        <v>14459</v>
      </c>
      <c r="B1116" t="s">
        <v>13289</v>
      </c>
      <c r="C1116" t="s">
        <v>13246</v>
      </c>
      <c r="D1116">
        <v>1570</v>
      </c>
      <c r="E1116">
        <v>865</v>
      </c>
      <c r="F1116">
        <v>81</v>
      </c>
      <c r="G1116" s="13">
        <v>0.89500000000000002</v>
      </c>
      <c r="H1116" t="s">
        <v>25</v>
      </c>
      <c r="I1116">
        <v>1</v>
      </c>
      <c r="J1116">
        <v>3</v>
      </c>
      <c r="K1116" t="str">
        <f t="shared" si="17"/>
        <v>Filtered out</v>
      </c>
    </row>
    <row r="1117" spans="1:11" x14ac:dyDescent="0.2">
      <c r="A1117" t="s">
        <v>62</v>
      </c>
      <c r="B1117" t="s">
        <v>13246</v>
      </c>
      <c r="C1117" t="s">
        <v>13246</v>
      </c>
      <c r="D1117">
        <v>2368</v>
      </c>
      <c r="E1117">
        <v>2365</v>
      </c>
      <c r="F1117">
        <v>0</v>
      </c>
      <c r="G1117" s="13">
        <v>0.98599999999999999</v>
      </c>
      <c r="H1117" t="s">
        <v>25</v>
      </c>
      <c r="I1117">
        <v>1</v>
      </c>
      <c r="J1117">
        <v>567</v>
      </c>
      <c r="K1117" t="str">
        <f t="shared" si="17"/>
        <v>Retained</v>
      </c>
    </row>
    <row r="1118" spans="1:11" x14ac:dyDescent="0.2">
      <c r="A1118" t="s">
        <v>14461</v>
      </c>
      <c r="B1118" t="s">
        <v>13466</v>
      </c>
      <c r="C1118" t="s">
        <v>13466</v>
      </c>
      <c r="D1118">
        <v>1975</v>
      </c>
      <c r="E1118">
        <v>1978</v>
      </c>
      <c r="F1118">
        <v>0</v>
      </c>
      <c r="G1118" s="13">
        <v>0.93799999999999994</v>
      </c>
      <c r="H1118" t="s">
        <v>25</v>
      </c>
      <c r="I1118">
        <v>1</v>
      </c>
      <c r="J1118">
        <v>220</v>
      </c>
      <c r="K1118" t="str">
        <f t="shared" si="17"/>
        <v>Retained</v>
      </c>
    </row>
    <row r="1119" spans="1:11" x14ac:dyDescent="0.2">
      <c r="A1119" t="s">
        <v>14462</v>
      </c>
      <c r="B1119" t="s">
        <v>13245</v>
      </c>
      <c r="C1119" t="s">
        <v>13246</v>
      </c>
      <c r="D1119">
        <v>142</v>
      </c>
      <c r="E1119">
        <v>886</v>
      </c>
      <c r="F1119">
        <v>-83</v>
      </c>
      <c r="G1119" s="13">
        <v>0.317</v>
      </c>
      <c r="H1119" t="s">
        <v>70</v>
      </c>
      <c r="I1119">
        <v>0</v>
      </c>
      <c r="J1119" t="s">
        <v>190</v>
      </c>
      <c r="K1119" t="str">
        <f t="shared" si="17"/>
        <v>Filtered out</v>
      </c>
    </row>
    <row r="1120" spans="1:11" x14ac:dyDescent="0.2">
      <c r="A1120" t="s">
        <v>14463</v>
      </c>
      <c r="B1120" t="s">
        <v>13355</v>
      </c>
      <c r="C1120" t="s">
        <v>13458</v>
      </c>
      <c r="D1120">
        <v>2047</v>
      </c>
      <c r="E1120">
        <v>3574</v>
      </c>
      <c r="F1120">
        <v>-42</v>
      </c>
      <c r="G1120" s="13">
        <v>0.86599999999999999</v>
      </c>
      <c r="H1120" t="s">
        <v>25</v>
      </c>
      <c r="I1120">
        <v>1</v>
      </c>
      <c r="J1120">
        <v>644</v>
      </c>
      <c r="K1120" t="str">
        <f t="shared" si="17"/>
        <v>Filtered out</v>
      </c>
    </row>
    <row r="1121" spans="1:11" x14ac:dyDescent="0.2">
      <c r="A1121" t="s">
        <v>14464</v>
      </c>
      <c r="B1121" t="s">
        <v>13297</v>
      </c>
      <c r="C1121" t="s">
        <v>13263</v>
      </c>
      <c r="D1121">
        <v>115</v>
      </c>
      <c r="E1121">
        <v>643</v>
      </c>
      <c r="F1121">
        <v>-82</v>
      </c>
      <c r="G1121" s="13">
        <v>0.92100000000000004</v>
      </c>
      <c r="H1121" t="s">
        <v>70</v>
      </c>
      <c r="I1121">
        <v>0</v>
      </c>
      <c r="J1121" t="s">
        <v>190</v>
      </c>
      <c r="K1121" t="str">
        <f t="shared" si="17"/>
        <v>Filtered out</v>
      </c>
    </row>
    <row r="1122" spans="1:11" x14ac:dyDescent="0.2">
      <c r="A1122" t="s">
        <v>14465</v>
      </c>
      <c r="B1122" t="s">
        <v>13266</v>
      </c>
      <c r="C1122" t="s">
        <v>13266</v>
      </c>
      <c r="D1122">
        <v>1192</v>
      </c>
      <c r="E1122">
        <v>1975</v>
      </c>
      <c r="F1122">
        <v>-39</v>
      </c>
      <c r="G1122" s="13">
        <v>0.88500000000000001</v>
      </c>
      <c r="H1122" t="s">
        <v>25</v>
      </c>
      <c r="I1122">
        <v>2</v>
      </c>
      <c r="J1122">
        <v>105</v>
      </c>
      <c r="K1122" t="str">
        <f t="shared" si="17"/>
        <v>Filtered out</v>
      </c>
    </row>
    <row r="1123" spans="1:11" x14ac:dyDescent="0.2">
      <c r="A1123" t="s">
        <v>14466</v>
      </c>
      <c r="B1123" t="s">
        <v>14467</v>
      </c>
      <c r="C1123" t="s">
        <v>14467</v>
      </c>
      <c r="D1123">
        <v>388</v>
      </c>
      <c r="E1123">
        <v>388</v>
      </c>
      <c r="F1123">
        <v>0</v>
      </c>
      <c r="G1123" s="13">
        <v>0.96099999999999997</v>
      </c>
      <c r="H1123" t="s">
        <v>25</v>
      </c>
      <c r="I1123">
        <v>1</v>
      </c>
      <c r="J1123">
        <v>68</v>
      </c>
      <c r="K1123" t="str">
        <f t="shared" si="17"/>
        <v>Retained</v>
      </c>
    </row>
    <row r="1124" spans="1:11" x14ac:dyDescent="0.2">
      <c r="A1124" t="s">
        <v>14468</v>
      </c>
      <c r="B1124" t="s">
        <v>13270</v>
      </c>
      <c r="C1124" t="s">
        <v>13278</v>
      </c>
      <c r="D1124">
        <v>1057</v>
      </c>
      <c r="E1124">
        <v>1342</v>
      </c>
      <c r="F1124">
        <v>-21</v>
      </c>
      <c r="G1124" s="13">
        <v>0.90800000000000003</v>
      </c>
      <c r="H1124" t="s">
        <v>25</v>
      </c>
      <c r="I1124">
        <v>1</v>
      </c>
      <c r="J1124">
        <v>262</v>
      </c>
      <c r="K1124" t="str">
        <f t="shared" si="17"/>
        <v>Filtered out</v>
      </c>
    </row>
    <row r="1125" spans="1:11" x14ac:dyDescent="0.2">
      <c r="A1125" t="s">
        <v>14469</v>
      </c>
      <c r="B1125" t="s">
        <v>13560</v>
      </c>
      <c r="C1125" t="s">
        <v>13364</v>
      </c>
      <c r="D1125">
        <v>2194</v>
      </c>
      <c r="E1125">
        <v>2197</v>
      </c>
      <c r="F1125">
        <v>0</v>
      </c>
      <c r="G1125" s="13">
        <v>0.95799999999999996</v>
      </c>
      <c r="H1125" t="s">
        <v>25</v>
      </c>
      <c r="I1125">
        <v>3</v>
      </c>
      <c r="J1125">
        <v>547</v>
      </c>
      <c r="K1125" t="str">
        <f t="shared" si="17"/>
        <v>Retained</v>
      </c>
    </row>
    <row r="1126" spans="1:11" x14ac:dyDescent="0.2">
      <c r="A1126" t="s">
        <v>14470</v>
      </c>
      <c r="B1126" t="s">
        <v>13270</v>
      </c>
      <c r="C1126" t="s">
        <v>13270</v>
      </c>
      <c r="D1126">
        <v>2341</v>
      </c>
      <c r="E1126">
        <v>2341</v>
      </c>
      <c r="F1126">
        <v>0</v>
      </c>
      <c r="G1126" s="13">
        <v>0.96899999999999997</v>
      </c>
      <c r="H1126" t="s">
        <v>25</v>
      </c>
      <c r="I1126">
        <v>1</v>
      </c>
      <c r="J1126">
        <v>751</v>
      </c>
      <c r="K1126" t="str">
        <f t="shared" si="17"/>
        <v>Retained</v>
      </c>
    </row>
    <row r="1127" spans="1:11" x14ac:dyDescent="0.2">
      <c r="A1127" t="s">
        <v>14471</v>
      </c>
      <c r="B1127" t="s">
        <v>13452</v>
      </c>
      <c r="C1127" t="s">
        <v>13452</v>
      </c>
      <c r="D1127">
        <v>316</v>
      </c>
      <c r="E1127">
        <v>316</v>
      </c>
      <c r="F1127">
        <v>0</v>
      </c>
      <c r="G1127" s="13">
        <v>0.99</v>
      </c>
      <c r="H1127" t="s">
        <v>25</v>
      </c>
      <c r="I1127">
        <v>1</v>
      </c>
      <c r="J1127">
        <v>100</v>
      </c>
      <c r="K1127" t="str">
        <f t="shared" si="17"/>
        <v>Retained</v>
      </c>
    </row>
    <row r="1128" spans="1:11" x14ac:dyDescent="0.2">
      <c r="A1128" t="s">
        <v>14472</v>
      </c>
      <c r="B1128" t="s">
        <v>13246</v>
      </c>
      <c r="C1128" t="s">
        <v>13246</v>
      </c>
      <c r="D1128">
        <v>1675</v>
      </c>
      <c r="E1128">
        <v>2692</v>
      </c>
      <c r="F1128">
        <v>-37</v>
      </c>
      <c r="G1128" s="13">
        <v>0.93300000000000005</v>
      </c>
      <c r="H1128" t="s">
        <v>25</v>
      </c>
      <c r="I1128">
        <v>1</v>
      </c>
      <c r="J1128">
        <v>307</v>
      </c>
      <c r="K1128" t="str">
        <f t="shared" si="17"/>
        <v>Filtered out</v>
      </c>
    </row>
    <row r="1129" spans="1:11" x14ac:dyDescent="0.2">
      <c r="A1129" t="s">
        <v>14473</v>
      </c>
      <c r="B1129" t="s">
        <v>13265</v>
      </c>
      <c r="C1129" t="s">
        <v>13377</v>
      </c>
      <c r="D1129">
        <v>169</v>
      </c>
      <c r="E1129">
        <v>244</v>
      </c>
      <c r="F1129">
        <v>-30</v>
      </c>
      <c r="G1129" s="13">
        <v>0.98199999999999998</v>
      </c>
      <c r="H1129" t="s">
        <v>70</v>
      </c>
      <c r="I1129">
        <v>0</v>
      </c>
      <c r="J1129" t="s">
        <v>190</v>
      </c>
      <c r="K1129" t="str">
        <f t="shared" si="17"/>
        <v>Filtered out</v>
      </c>
    </row>
    <row r="1130" spans="1:11" x14ac:dyDescent="0.2">
      <c r="A1130" t="s">
        <v>14474</v>
      </c>
      <c r="B1130" t="s">
        <v>13246</v>
      </c>
      <c r="C1130" t="s">
        <v>13246</v>
      </c>
      <c r="D1130">
        <v>244</v>
      </c>
      <c r="E1130">
        <v>877</v>
      </c>
      <c r="F1130">
        <v>-72</v>
      </c>
      <c r="G1130" s="13">
        <v>0.98799999999999999</v>
      </c>
      <c r="H1130" t="s">
        <v>70</v>
      </c>
      <c r="I1130">
        <v>0</v>
      </c>
      <c r="J1130" t="s">
        <v>190</v>
      </c>
      <c r="K1130" t="str">
        <f t="shared" si="17"/>
        <v>Filtered out</v>
      </c>
    </row>
    <row r="1131" spans="1:11" x14ac:dyDescent="0.2">
      <c r="A1131" t="s">
        <v>14475</v>
      </c>
      <c r="B1131" t="s">
        <v>13246</v>
      </c>
      <c r="C1131" t="s">
        <v>13495</v>
      </c>
      <c r="D1131">
        <v>64</v>
      </c>
      <c r="E1131">
        <v>673</v>
      </c>
      <c r="F1131">
        <v>-90</v>
      </c>
      <c r="G1131" s="13">
        <v>0.5</v>
      </c>
      <c r="H1131" t="s">
        <v>70</v>
      </c>
      <c r="I1131">
        <v>0</v>
      </c>
      <c r="J1131" t="s">
        <v>190</v>
      </c>
      <c r="K1131" t="str">
        <f t="shared" si="17"/>
        <v>Filtered out</v>
      </c>
    </row>
    <row r="1132" spans="1:11" x14ac:dyDescent="0.2">
      <c r="A1132" t="s">
        <v>14476</v>
      </c>
      <c r="B1132" t="s">
        <v>13385</v>
      </c>
      <c r="C1132" t="s">
        <v>13726</v>
      </c>
      <c r="D1132">
        <v>208</v>
      </c>
      <c r="E1132">
        <v>328</v>
      </c>
      <c r="F1132">
        <v>-36</v>
      </c>
      <c r="G1132" s="13">
        <v>0.95699999999999996</v>
      </c>
      <c r="H1132" t="s">
        <v>70</v>
      </c>
      <c r="I1132">
        <v>0</v>
      </c>
      <c r="J1132" t="s">
        <v>190</v>
      </c>
      <c r="K1132" t="str">
        <f t="shared" si="17"/>
        <v>Filtered out</v>
      </c>
    </row>
    <row r="1133" spans="1:11" x14ac:dyDescent="0.2">
      <c r="A1133" t="s">
        <v>14477</v>
      </c>
      <c r="B1133" t="s">
        <v>13246</v>
      </c>
      <c r="C1133" t="s">
        <v>13484</v>
      </c>
      <c r="D1133">
        <v>178</v>
      </c>
      <c r="E1133">
        <v>259</v>
      </c>
      <c r="F1133">
        <v>-31</v>
      </c>
      <c r="G1133" s="13">
        <v>0.312</v>
      </c>
      <c r="H1133" t="s">
        <v>70</v>
      </c>
      <c r="I1133">
        <v>0</v>
      </c>
      <c r="J1133" t="s">
        <v>190</v>
      </c>
      <c r="K1133" t="str">
        <f t="shared" si="17"/>
        <v>Filtered out</v>
      </c>
    </row>
    <row r="1134" spans="1:11" x14ac:dyDescent="0.2">
      <c r="A1134" t="s">
        <v>14478</v>
      </c>
      <c r="B1134" t="s">
        <v>13377</v>
      </c>
      <c r="C1134" t="s">
        <v>13377</v>
      </c>
      <c r="D1134">
        <v>190</v>
      </c>
      <c r="E1134">
        <v>598</v>
      </c>
      <c r="F1134">
        <v>-68</v>
      </c>
      <c r="G1134" s="13">
        <v>0.95199999999999996</v>
      </c>
      <c r="H1134" t="s">
        <v>70</v>
      </c>
      <c r="I1134">
        <v>0</v>
      </c>
      <c r="J1134" t="s">
        <v>190</v>
      </c>
      <c r="K1134" t="str">
        <f t="shared" si="17"/>
        <v>Filtered out</v>
      </c>
    </row>
    <row r="1135" spans="1:11" x14ac:dyDescent="0.2">
      <c r="A1135" t="s">
        <v>14479</v>
      </c>
      <c r="B1135" t="s">
        <v>13446</v>
      </c>
      <c r="C1135" t="s">
        <v>13446</v>
      </c>
      <c r="D1135">
        <v>1825</v>
      </c>
      <c r="E1135">
        <v>1825</v>
      </c>
      <c r="F1135">
        <v>0</v>
      </c>
      <c r="G1135" s="13">
        <v>0.99299999999999999</v>
      </c>
      <c r="H1135" t="s">
        <v>25</v>
      </c>
      <c r="I1135">
        <v>1</v>
      </c>
      <c r="J1135">
        <v>299</v>
      </c>
      <c r="K1135" t="str">
        <f t="shared" si="17"/>
        <v>Retained</v>
      </c>
    </row>
    <row r="1136" spans="1:11" x14ac:dyDescent="0.2">
      <c r="A1136" t="s">
        <v>14480</v>
      </c>
      <c r="B1136" t="s">
        <v>13462</v>
      </c>
      <c r="C1136" t="s">
        <v>13270</v>
      </c>
      <c r="D1136">
        <v>961</v>
      </c>
      <c r="E1136">
        <v>646</v>
      </c>
      <c r="F1136">
        <v>48</v>
      </c>
      <c r="G1136" s="13">
        <v>0.98599999999999999</v>
      </c>
      <c r="H1136" t="s">
        <v>25</v>
      </c>
      <c r="I1136">
        <v>1</v>
      </c>
      <c r="J1136">
        <v>60</v>
      </c>
      <c r="K1136" t="str">
        <f t="shared" si="17"/>
        <v>Filtered out</v>
      </c>
    </row>
    <row r="1137" spans="1:11" x14ac:dyDescent="0.2">
      <c r="A1137" t="s">
        <v>14481</v>
      </c>
      <c r="B1137" t="s">
        <v>13248</v>
      </c>
      <c r="C1137" t="s">
        <v>13246</v>
      </c>
      <c r="D1137">
        <v>289</v>
      </c>
      <c r="E1137">
        <v>814</v>
      </c>
      <c r="F1137">
        <v>-64</v>
      </c>
      <c r="G1137" s="13">
        <v>0.99</v>
      </c>
      <c r="H1137" t="s">
        <v>70</v>
      </c>
      <c r="I1137">
        <v>0</v>
      </c>
      <c r="J1137" t="s">
        <v>190</v>
      </c>
      <c r="K1137" t="str">
        <f t="shared" si="17"/>
        <v>Filtered out</v>
      </c>
    </row>
    <row r="1138" spans="1:11" x14ac:dyDescent="0.2">
      <c r="A1138" t="s">
        <v>14482</v>
      </c>
      <c r="B1138" t="s">
        <v>13373</v>
      </c>
      <c r="C1138" t="s">
        <v>13373</v>
      </c>
      <c r="D1138">
        <v>1618</v>
      </c>
      <c r="E1138">
        <v>2386</v>
      </c>
      <c r="F1138">
        <v>-32</v>
      </c>
      <c r="G1138" s="13">
        <v>0.96799999999999997</v>
      </c>
      <c r="H1138" t="s">
        <v>25</v>
      </c>
      <c r="I1138">
        <v>1</v>
      </c>
      <c r="J1138">
        <v>533</v>
      </c>
      <c r="K1138" t="str">
        <f t="shared" si="17"/>
        <v>Filtered out</v>
      </c>
    </row>
    <row r="1139" spans="1:11" x14ac:dyDescent="0.2">
      <c r="A1139" t="s">
        <v>14483</v>
      </c>
      <c r="B1139" t="s">
        <v>13442</v>
      </c>
      <c r="C1139" t="s">
        <v>13246</v>
      </c>
      <c r="D1139">
        <v>121</v>
      </c>
      <c r="E1139">
        <v>1943</v>
      </c>
      <c r="F1139">
        <v>-93</v>
      </c>
      <c r="G1139" s="13">
        <v>0.42899999999999999</v>
      </c>
      <c r="H1139" t="s">
        <v>70</v>
      </c>
      <c r="I1139">
        <v>0</v>
      </c>
      <c r="J1139" t="s">
        <v>190</v>
      </c>
      <c r="K1139" t="str">
        <f t="shared" si="17"/>
        <v>Filtered out</v>
      </c>
    </row>
    <row r="1140" spans="1:11" x14ac:dyDescent="0.2">
      <c r="A1140" t="s">
        <v>14484</v>
      </c>
      <c r="B1140" t="s">
        <v>13268</v>
      </c>
      <c r="C1140" t="s">
        <v>13246</v>
      </c>
      <c r="D1140">
        <v>2443</v>
      </c>
      <c r="E1140">
        <v>2626</v>
      </c>
      <c r="F1140">
        <v>-6</v>
      </c>
      <c r="G1140" s="13">
        <v>0.91300000000000003</v>
      </c>
      <c r="H1140" t="s">
        <v>25</v>
      </c>
      <c r="I1140">
        <v>1</v>
      </c>
      <c r="J1140">
        <v>247</v>
      </c>
      <c r="K1140" t="str">
        <f t="shared" si="17"/>
        <v>Filtered out</v>
      </c>
    </row>
    <row r="1141" spans="1:11" x14ac:dyDescent="0.2">
      <c r="A1141" t="s">
        <v>14485</v>
      </c>
      <c r="B1141" t="s">
        <v>13369</v>
      </c>
      <c r="C1141" t="s">
        <v>13246</v>
      </c>
      <c r="D1141">
        <v>280</v>
      </c>
      <c r="E1141">
        <v>1735</v>
      </c>
      <c r="F1141">
        <v>-83</v>
      </c>
      <c r="G1141" s="13">
        <v>0.96699999999999997</v>
      </c>
      <c r="H1141" t="s">
        <v>70</v>
      </c>
      <c r="I1141">
        <v>0</v>
      </c>
      <c r="J1141" t="s">
        <v>190</v>
      </c>
      <c r="K1141" t="str">
        <f t="shared" si="17"/>
        <v>Filtered out</v>
      </c>
    </row>
    <row r="1142" spans="1:11" x14ac:dyDescent="0.2">
      <c r="A1142" t="s">
        <v>14486</v>
      </c>
      <c r="B1142" t="s">
        <v>13248</v>
      </c>
      <c r="C1142" t="s">
        <v>13248</v>
      </c>
      <c r="D1142">
        <v>2305</v>
      </c>
      <c r="E1142">
        <v>2305</v>
      </c>
      <c r="F1142">
        <v>0</v>
      </c>
      <c r="G1142" s="13">
        <v>0.99099999999999999</v>
      </c>
      <c r="H1142" t="s">
        <v>25</v>
      </c>
      <c r="I1142">
        <v>1</v>
      </c>
      <c r="J1142">
        <v>424</v>
      </c>
      <c r="K1142" t="str">
        <f t="shared" si="17"/>
        <v>Retained</v>
      </c>
    </row>
    <row r="1143" spans="1:11" x14ac:dyDescent="0.2">
      <c r="A1143" t="s">
        <v>14487</v>
      </c>
      <c r="B1143" t="s">
        <v>13295</v>
      </c>
      <c r="C1143" t="s">
        <v>13266</v>
      </c>
      <c r="D1143">
        <v>844</v>
      </c>
      <c r="E1143">
        <v>1075</v>
      </c>
      <c r="F1143">
        <v>-21</v>
      </c>
      <c r="G1143" s="13">
        <v>0.95699999999999996</v>
      </c>
      <c r="H1143" t="s">
        <v>25</v>
      </c>
      <c r="I1143">
        <v>1</v>
      </c>
      <c r="J1143">
        <v>128</v>
      </c>
      <c r="K1143" t="str">
        <f t="shared" si="17"/>
        <v>Filtered out</v>
      </c>
    </row>
    <row r="1144" spans="1:11" x14ac:dyDescent="0.2">
      <c r="A1144" t="s">
        <v>14488</v>
      </c>
      <c r="B1144" t="s">
        <v>13703</v>
      </c>
      <c r="C1144" t="s">
        <v>13246</v>
      </c>
      <c r="D1144">
        <v>196</v>
      </c>
      <c r="E1144">
        <v>475</v>
      </c>
      <c r="F1144">
        <v>-58</v>
      </c>
      <c r="G1144" s="13">
        <v>0.93799999999999994</v>
      </c>
      <c r="H1144" t="s">
        <v>70</v>
      </c>
      <c r="I1144">
        <v>0</v>
      </c>
      <c r="J1144" t="s">
        <v>190</v>
      </c>
      <c r="K1144" t="str">
        <f t="shared" si="17"/>
        <v>Filtered out</v>
      </c>
    </row>
    <row r="1145" spans="1:11" x14ac:dyDescent="0.2">
      <c r="A1145" t="s">
        <v>14489</v>
      </c>
      <c r="B1145" t="s">
        <v>13246</v>
      </c>
      <c r="C1145" t="s">
        <v>13265</v>
      </c>
      <c r="D1145">
        <v>175</v>
      </c>
      <c r="E1145">
        <v>223</v>
      </c>
      <c r="F1145">
        <v>-21</v>
      </c>
      <c r="G1145" s="13">
        <v>1</v>
      </c>
      <c r="H1145" t="s">
        <v>70</v>
      </c>
      <c r="I1145">
        <v>0</v>
      </c>
      <c r="J1145" t="s">
        <v>190</v>
      </c>
      <c r="K1145" t="str">
        <f t="shared" si="17"/>
        <v>Filtered out</v>
      </c>
    </row>
    <row r="1146" spans="1:11" x14ac:dyDescent="0.2">
      <c r="A1146" t="s">
        <v>14490</v>
      </c>
      <c r="B1146" t="s">
        <v>13252</v>
      </c>
      <c r="C1146" t="s">
        <v>14491</v>
      </c>
      <c r="D1146">
        <v>4936</v>
      </c>
      <c r="E1146">
        <v>4051</v>
      </c>
      <c r="F1146">
        <v>21</v>
      </c>
      <c r="G1146" s="13">
        <v>0.92400000000000004</v>
      </c>
      <c r="H1146" t="s">
        <v>25</v>
      </c>
      <c r="I1146">
        <v>3</v>
      </c>
      <c r="J1146">
        <v>291</v>
      </c>
      <c r="K1146" t="str">
        <f t="shared" si="17"/>
        <v>Filtered out</v>
      </c>
    </row>
    <row r="1147" spans="1:11" x14ac:dyDescent="0.2">
      <c r="A1147" t="s">
        <v>14492</v>
      </c>
      <c r="B1147" t="s">
        <v>13295</v>
      </c>
      <c r="C1147" t="s">
        <v>13369</v>
      </c>
      <c r="D1147">
        <v>259</v>
      </c>
      <c r="E1147">
        <v>676</v>
      </c>
      <c r="F1147">
        <v>-61</v>
      </c>
      <c r="G1147" s="13">
        <v>1</v>
      </c>
      <c r="H1147" t="s">
        <v>70</v>
      </c>
      <c r="I1147">
        <v>0</v>
      </c>
      <c r="J1147" t="s">
        <v>190</v>
      </c>
      <c r="K1147" t="str">
        <f t="shared" si="17"/>
        <v>Filtered out</v>
      </c>
    </row>
    <row r="1148" spans="1:11" x14ac:dyDescent="0.2">
      <c r="A1148" t="s">
        <v>14493</v>
      </c>
      <c r="B1148" t="s">
        <v>13385</v>
      </c>
      <c r="C1148" t="s">
        <v>13246</v>
      </c>
      <c r="D1148">
        <v>793</v>
      </c>
      <c r="E1148">
        <v>817</v>
      </c>
      <c r="F1148">
        <v>-2</v>
      </c>
      <c r="G1148" s="13">
        <v>0.99199999999999999</v>
      </c>
      <c r="H1148" t="s">
        <v>25</v>
      </c>
      <c r="I1148">
        <v>1</v>
      </c>
      <c r="J1148">
        <v>9</v>
      </c>
      <c r="K1148" t="str">
        <f t="shared" si="17"/>
        <v>Filtered out</v>
      </c>
    </row>
    <row r="1149" spans="1:11" x14ac:dyDescent="0.2">
      <c r="A1149" t="s">
        <v>14494</v>
      </c>
      <c r="B1149" t="s">
        <v>13703</v>
      </c>
      <c r="C1149" t="s">
        <v>13442</v>
      </c>
      <c r="D1149">
        <v>1189</v>
      </c>
      <c r="E1149">
        <v>1321</v>
      </c>
      <c r="F1149">
        <v>-9</v>
      </c>
      <c r="G1149" s="13">
        <v>0.997</v>
      </c>
      <c r="H1149" t="s">
        <v>25</v>
      </c>
      <c r="I1149">
        <v>1</v>
      </c>
      <c r="J1149">
        <v>2</v>
      </c>
      <c r="K1149" t="str">
        <f t="shared" si="17"/>
        <v>Filtered out</v>
      </c>
    </row>
    <row r="1150" spans="1:11" x14ac:dyDescent="0.2">
      <c r="A1150" t="s">
        <v>14495</v>
      </c>
      <c r="B1150" t="s">
        <v>13533</v>
      </c>
      <c r="C1150" t="s">
        <v>13379</v>
      </c>
      <c r="D1150">
        <v>169</v>
      </c>
      <c r="E1150">
        <v>1070</v>
      </c>
      <c r="F1150">
        <v>-84</v>
      </c>
      <c r="G1150" s="13">
        <v>0.35699999999999998</v>
      </c>
      <c r="H1150" t="s">
        <v>70</v>
      </c>
      <c r="I1150">
        <v>0</v>
      </c>
      <c r="J1150" t="s">
        <v>190</v>
      </c>
      <c r="K1150" t="str">
        <f t="shared" si="17"/>
        <v>Filtered out</v>
      </c>
    </row>
    <row r="1151" spans="1:11" x14ac:dyDescent="0.2">
      <c r="A1151" t="s">
        <v>14496</v>
      </c>
      <c r="B1151" t="s">
        <v>13390</v>
      </c>
      <c r="C1151" t="s">
        <v>13371</v>
      </c>
      <c r="D1151">
        <v>745</v>
      </c>
      <c r="E1151">
        <v>2509</v>
      </c>
      <c r="F1151">
        <v>-70</v>
      </c>
      <c r="G1151" s="13">
        <v>1</v>
      </c>
      <c r="H1151" t="s">
        <v>70</v>
      </c>
      <c r="I1151">
        <v>0</v>
      </c>
      <c r="J1151" t="s">
        <v>190</v>
      </c>
      <c r="K1151" t="str">
        <f t="shared" si="17"/>
        <v>Filtered out</v>
      </c>
    </row>
    <row r="1152" spans="1:11" x14ac:dyDescent="0.2">
      <c r="A1152" t="s">
        <v>14497</v>
      </c>
      <c r="B1152" t="s">
        <v>13293</v>
      </c>
      <c r="C1152" t="s">
        <v>13314</v>
      </c>
      <c r="D1152">
        <v>2671</v>
      </c>
      <c r="E1152">
        <v>2671</v>
      </c>
      <c r="F1152">
        <v>0</v>
      </c>
      <c r="G1152" s="13">
        <v>0.99299999999999999</v>
      </c>
      <c r="H1152" t="s">
        <v>25</v>
      </c>
      <c r="I1152">
        <v>1</v>
      </c>
      <c r="J1152">
        <v>702</v>
      </c>
      <c r="K1152" t="str">
        <f t="shared" si="17"/>
        <v>Filtered out</v>
      </c>
    </row>
    <row r="1153" spans="1:11" x14ac:dyDescent="0.2">
      <c r="A1153" t="s">
        <v>14498</v>
      </c>
      <c r="B1153" t="s">
        <v>13246</v>
      </c>
      <c r="C1153" t="s">
        <v>13246</v>
      </c>
      <c r="D1153">
        <v>2329</v>
      </c>
      <c r="E1153">
        <v>2329</v>
      </c>
      <c r="F1153">
        <v>0</v>
      </c>
      <c r="G1153" s="13">
        <v>0.98599999999999999</v>
      </c>
      <c r="H1153" t="s">
        <v>25</v>
      </c>
      <c r="I1153">
        <v>1</v>
      </c>
      <c r="J1153">
        <v>732</v>
      </c>
      <c r="K1153" t="str">
        <f t="shared" si="17"/>
        <v>Retained</v>
      </c>
    </row>
    <row r="1154" spans="1:11" x14ac:dyDescent="0.2">
      <c r="A1154" t="s">
        <v>14499</v>
      </c>
      <c r="B1154" t="s">
        <v>13308</v>
      </c>
      <c r="C1154" t="s">
        <v>14500</v>
      </c>
      <c r="D1154">
        <v>1078</v>
      </c>
      <c r="E1154">
        <v>1297</v>
      </c>
      <c r="F1154">
        <v>-16</v>
      </c>
      <c r="G1154" s="13">
        <v>0.98499999999999999</v>
      </c>
      <c r="H1154" t="s">
        <v>25</v>
      </c>
      <c r="I1154">
        <v>1</v>
      </c>
      <c r="J1154">
        <v>243</v>
      </c>
      <c r="K1154" t="str">
        <f t="shared" si="17"/>
        <v>Filtered out</v>
      </c>
    </row>
    <row r="1155" spans="1:11" x14ac:dyDescent="0.2">
      <c r="A1155" t="s">
        <v>14501</v>
      </c>
      <c r="B1155" t="s">
        <v>13560</v>
      </c>
      <c r="C1155" t="s">
        <v>13346</v>
      </c>
      <c r="D1155">
        <v>2218</v>
      </c>
      <c r="E1155">
        <v>1642</v>
      </c>
      <c r="F1155">
        <v>35</v>
      </c>
      <c r="G1155" s="13">
        <v>0.95199999999999996</v>
      </c>
      <c r="H1155" t="s">
        <v>25</v>
      </c>
      <c r="I1155">
        <v>1</v>
      </c>
      <c r="J1155">
        <v>315</v>
      </c>
      <c r="K1155" t="str">
        <f t="shared" si="17"/>
        <v>Filtered out</v>
      </c>
    </row>
    <row r="1156" spans="1:11" x14ac:dyDescent="0.2">
      <c r="A1156" t="s">
        <v>14502</v>
      </c>
      <c r="B1156" t="s">
        <v>13543</v>
      </c>
      <c r="C1156" t="s">
        <v>13246</v>
      </c>
      <c r="D1156">
        <v>1072</v>
      </c>
      <c r="E1156">
        <v>2119</v>
      </c>
      <c r="F1156">
        <v>-49</v>
      </c>
      <c r="G1156" s="13">
        <v>0.85799999999999998</v>
      </c>
      <c r="H1156" t="s">
        <v>25</v>
      </c>
      <c r="I1156">
        <v>1</v>
      </c>
      <c r="J1156">
        <v>171</v>
      </c>
      <c r="K1156" t="str">
        <f t="shared" si="17"/>
        <v>Filtered out</v>
      </c>
    </row>
    <row r="1157" spans="1:11" x14ac:dyDescent="0.2">
      <c r="A1157" t="s">
        <v>39</v>
      </c>
      <c r="B1157" t="s">
        <v>13375</v>
      </c>
      <c r="C1157" t="s">
        <v>13375</v>
      </c>
      <c r="D1157">
        <v>241</v>
      </c>
      <c r="E1157">
        <v>337</v>
      </c>
      <c r="F1157">
        <v>-28</v>
      </c>
      <c r="G1157" s="13">
        <v>0.96199999999999997</v>
      </c>
      <c r="H1157" t="s">
        <v>25</v>
      </c>
      <c r="I1157">
        <v>1</v>
      </c>
      <c r="J1157">
        <v>5</v>
      </c>
      <c r="K1157" t="str">
        <f t="shared" si="17"/>
        <v>Filtered out</v>
      </c>
    </row>
    <row r="1158" spans="1:11" x14ac:dyDescent="0.2">
      <c r="A1158" t="s">
        <v>14504</v>
      </c>
      <c r="B1158" t="s">
        <v>13321</v>
      </c>
      <c r="C1158" t="s">
        <v>13246</v>
      </c>
      <c r="D1158">
        <v>130</v>
      </c>
      <c r="E1158">
        <v>781</v>
      </c>
      <c r="F1158">
        <v>-83</v>
      </c>
      <c r="G1158" s="13">
        <v>0.95299999999999996</v>
      </c>
      <c r="H1158" t="s">
        <v>70</v>
      </c>
      <c r="I1158">
        <v>0</v>
      </c>
      <c r="J1158" t="s">
        <v>190</v>
      </c>
      <c r="K1158" t="str">
        <f t="shared" si="17"/>
        <v>Filtered out</v>
      </c>
    </row>
    <row r="1159" spans="1:11" x14ac:dyDescent="0.2">
      <c r="A1159" t="s">
        <v>14505</v>
      </c>
      <c r="B1159" t="s">
        <v>13462</v>
      </c>
      <c r="C1159" t="s">
        <v>13458</v>
      </c>
      <c r="D1159">
        <v>1165</v>
      </c>
      <c r="E1159">
        <v>2230</v>
      </c>
      <c r="F1159">
        <v>-47</v>
      </c>
      <c r="G1159" s="13">
        <v>0.997</v>
      </c>
      <c r="H1159" t="s">
        <v>25</v>
      </c>
      <c r="I1159">
        <v>1</v>
      </c>
      <c r="J1159">
        <v>387</v>
      </c>
      <c r="K1159" t="str">
        <f t="shared" si="17"/>
        <v>Filtered out</v>
      </c>
    </row>
    <row r="1160" spans="1:11" x14ac:dyDescent="0.2">
      <c r="A1160" t="s">
        <v>14506</v>
      </c>
      <c r="B1160" t="s">
        <v>13246</v>
      </c>
      <c r="C1160" t="s">
        <v>13246</v>
      </c>
      <c r="D1160">
        <v>1045</v>
      </c>
      <c r="E1160">
        <v>1045</v>
      </c>
      <c r="F1160">
        <v>0</v>
      </c>
      <c r="G1160" s="13">
        <v>0.94899999999999995</v>
      </c>
      <c r="H1160" t="s">
        <v>25</v>
      </c>
      <c r="I1160">
        <v>1</v>
      </c>
      <c r="J1160">
        <v>182</v>
      </c>
      <c r="K1160" t="str">
        <f t="shared" ref="K1160:K1201" si="18">IF(AND(B1160=C1160,F1160&lt;10,F1160&gt;-10,I1160&gt;0,G1160&gt;90%,G1160&lt;100%),"Retained","Filtered out")</f>
        <v>Retained</v>
      </c>
    </row>
    <row r="1161" spans="1:11" x14ac:dyDescent="0.2">
      <c r="A1161" t="s">
        <v>36</v>
      </c>
      <c r="B1161" t="s">
        <v>13246</v>
      </c>
      <c r="C1161" t="s">
        <v>13246</v>
      </c>
      <c r="D1161">
        <v>4666</v>
      </c>
      <c r="E1161">
        <v>4666</v>
      </c>
      <c r="F1161">
        <v>0</v>
      </c>
      <c r="G1161" s="13">
        <v>0.99299999999999999</v>
      </c>
      <c r="H1161" t="s">
        <v>25</v>
      </c>
      <c r="I1161">
        <v>1</v>
      </c>
      <c r="J1161">
        <v>240</v>
      </c>
      <c r="K1161" t="str">
        <f t="shared" si="18"/>
        <v>Retained</v>
      </c>
    </row>
    <row r="1162" spans="1:11" x14ac:dyDescent="0.2">
      <c r="A1162" t="s">
        <v>14508</v>
      </c>
      <c r="B1162" t="s">
        <v>13246</v>
      </c>
      <c r="C1162" t="s">
        <v>13246</v>
      </c>
      <c r="D1162">
        <v>1948</v>
      </c>
      <c r="E1162">
        <v>3079</v>
      </c>
      <c r="F1162">
        <v>-36</v>
      </c>
      <c r="G1162" s="13">
        <v>0.88900000000000001</v>
      </c>
      <c r="H1162" t="s">
        <v>25</v>
      </c>
      <c r="I1162">
        <v>1</v>
      </c>
      <c r="J1162">
        <v>556</v>
      </c>
      <c r="K1162" t="str">
        <f t="shared" si="18"/>
        <v>Filtered out</v>
      </c>
    </row>
    <row r="1163" spans="1:11" x14ac:dyDescent="0.2">
      <c r="A1163" t="s">
        <v>49</v>
      </c>
      <c r="B1163" t="s">
        <v>13246</v>
      </c>
      <c r="C1163" t="s">
        <v>13246</v>
      </c>
      <c r="D1163">
        <v>805</v>
      </c>
      <c r="E1163">
        <v>805</v>
      </c>
      <c r="F1163">
        <v>0</v>
      </c>
      <c r="G1163" s="13">
        <v>0.98499999999999999</v>
      </c>
      <c r="H1163" t="s">
        <v>25</v>
      </c>
      <c r="I1163">
        <v>1</v>
      </c>
      <c r="J1163">
        <v>118</v>
      </c>
      <c r="K1163" t="str">
        <f t="shared" si="18"/>
        <v>Retained</v>
      </c>
    </row>
    <row r="1164" spans="1:11" x14ac:dyDescent="0.2">
      <c r="A1164" t="s">
        <v>14510</v>
      </c>
      <c r="B1164" t="s">
        <v>13270</v>
      </c>
      <c r="C1164" t="s">
        <v>13263</v>
      </c>
      <c r="D1164">
        <v>2188</v>
      </c>
      <c r="E1164">
        <v>2395</v>
      </c>
      <c r="F1164">
        <v>-8</v>
      </c>
      <c r="G1164" s="13">
        <v>0.90700000000000003</v>
      </c>
      <c r="H1164" t="s">
        <v>25</v>
      </c>
      <c r="I1164">
        <v>1</v>
      </c>
      <c r="J1164">
        <v>446</v>
      </c>
      <c r="K1164" t="str">
        <f t="shared" si="18"/>
        <v>Filtered out</v>
      </c>
    </row>
    <row r="1165" spans="1:11" x14ac:dyDescent="0.2">
      <c r="A1165" t="s">
        <v>14511</v>
      </c>
      <c r="B1165" t="s">
        <v>13385</v>
      </c>
      <c r="C1165" t="s">
        <v>13312</v>
      </c>
      <c r="D1165">
        <v>352</v>
      </c>
      <c r="E1165">
        <v>1122</v>
      </c>
      <c r="F1165">
        <v>-68</v>
      </c>
      <c r="G1165" s="13">
        <v>0.55000000000000004</v>
      </c>
      <c r="H1165" t="s">
        <v>70</v>
      </c>
      <c r="I1165">
        <v>0</v>
      </c>
      <c r="J1165" t="s">
        <v>190</v>
      </c>
      <c r="K1165" t="str">
        <f t="shared" si="18"/>
        <v>Filtered out</v>
      </c>
    </row>
    <row r="1166" spans="1:11" x14ac:dyDescent="0.2">
      <c r="A1166" t="s">
        <v>14512</v>
      </c>
      <c r="B1166" t="s">
        <v>13246</v>
      </c>
      <c r="C1166" t="s">
        <v>13246</v>
      </c>
      <c r="D1166">
        <v>184</v>
      </c>
      <c r="E1166">
        <v>256</v>
      </c>
      <c r="F1166">
        <v>-28</v>
      </c>
      <c r="G1166" s="13">
        <v>1</v>
      </c>
      <c r="H1166" t="s">
        <v>70</v>
      </c>
      <c r="I1166">
        <v>0</v>
      </c>
      <c r="J1166" t="s">
        <v>190</v>
      </c>
      <c r="K1166" t="str">
        <f t="shared" si="18"/>
        <v>Filtered out</v>
      </c>
    </row>
    <row r="1167" spans="1:11" x14ac:dyDescent="0.2">
      <c r="A1167" t="s">
        <v>14513</v>
      </c>
      <c r="B1167" t="s">
        <v>13268</v>
      </c>
      <c r="C1167" t="s">
        <v>13246</v>
      </c>
      <c r="D1167">
        <v>829</v>
      </c>
      <c r="E1167">
        <v>1411</v>
      </c>
      <c r="F1167">
        <v>-41</v>
      </c>
      <c r="G1167" s="13">
        <v>0.96399999999999997</v>
      </c>
      <c r="H1167" t="s">
        <v>25</v>
      </c>
      <c r="I1167">
        <v>1</v>
      </c>
      <c r="J1167">
        <v>273</v>
      </c>
      <c r="K1167" t="str">
        <f t="shared" si="18"/>
        <v>Filtered out</v>
      </c>
    </row>
    <row r="1168" spans="1:11" x14ac:dyDescent="0.2">
      <c r="A1168" t="s">
        <v>14514</v>
      </c>
      <c r="B1168" t="s">
        <v>13246</v>
      </c>
      <c r="C1168" t="s">
        <v>13246</v>
      </c>
      <c r="D1168">
        <v>1597</v>
      </c>
      <c r="E1168">
        <v>1294</v>
      </c>
      <c r="F1168">
        <v>23</v>
      </c>
      <c r="G1168" s="13">
        <v>0.96499999999999997</v>
      </c>
      <c r="H1168" t="s">
        <v>25</v>
      </c>
      <c r="I1168">
        <v>5</v>
      </c>
      <c r="J1168">
        <v>421</v>
      </c>
      <c r="K1168" t="str">
        <f t="shared" si="18"/>
        <v>Filtered out</v>
      </c>
    </row>
    <row r="1169" spans="1:11" x14ac:dyDescent="0.2">
      <c r="A1169" t="s">
        <v>14515</v>
      </c>
      <c r="B1169" t="s">
        <v>13533</v>
      </c>
      <c r="C1169" t="s">
        <v>13246</v>
      </c>
      <c r="D1169">
        <v>910</v>
      </c>
      <c r="E1169">
        <v>919</v>
      </c>
      <c r="F1169">
        <v>0</v>
      </c>
      <c r="G1169" s="13">
        <v>0.98299999999999998</v>
      </c>
      <c r="H1169" t="s">
        <v>25</v>
      </c>
      <c r="I1169">
        <v>1</v>
      </c>
      <c r="J1169">
        <v>234</v>
      </c>
      <c r="K1169" t="str">
        <f t="shared" si="18"/>
        <v>Filtered out</v>
      </c>
    </row>
    <row r="1170" spans="1:11" x14ac:dyDescent="0.2">
      <c r="A1170" t="s">
        <v>14516</v>
      </c>
      <c r="B1170" t="s">
        <v>13246</v>
      </c>
      <c r="C1170" t="s">
        <v>13246</v>
      </c>
      <c r="D1170">
        <v>3682</v>
      </c>
      <c r="E1170">
        <v>2782</v>
      </c>
      <c r="F1170">
        <v>32</v>
      </c>
      <c r="G1170" s="13">
        <v>0.99</v>
      </c>
      <c r="H1170" t="s">
        <v>25</v>
      </c>
      <c r="I1170">
        <v>1</v>
      </c>
      <c r="J1170">
        <v>1094</v>
      </c>
      <c r="K1170" t="str">
        <f t="shared" si="18"/>
        <v>Filtered out</v>
      </c>
    </row>
    <row r="1171" spans="1:11" x14ac:dyDescent="0.2">
      <c r="A1171" t="s">
        <v>14517</v>
      </c>
      <c r="B1171" t="s">
        <v>13417</v>
      </c>
      <c r="C1171" t="s">
        <v>13314</v>
      </c>
      <c r="D1171">
        <v>3286</v>
      </c>
      <c r="E1171">
        <v>3292</v>
      </c>
      <c r="F1171">
        <v>0</v>
      </c>
      <c r="G1171" s="13">
        <v>0.95199999999999996</v>
      </c>
      <c r="H1171" t="s">
        <v>25</v>
      </c>
      <c r="I1171">
        <v>1</v>
      </c>
      <c r="J1171">
        <v>1055</v>
      </c>
      <c r="K1171" t="str">
        <f t="shared" si="18"/>
        <v>Filtered out</v>
      </c>
    </row>
    <row r="1172" spans="1:11" x14ac:dyDescent="0.2">
      <c r="A1172" t="s">
        <v>14518</v>
      </c>
      <c r="B1172" t="s">
        <v>14329</v>
      </c>
      <c r="C1172" t="s">
        <v>13368</v>
      </c>
      <c r="D1172">
        <v>1048</v>
      </c>
      <c r="E1172">
        <v>1090</v>
      </c>
      <c r="F1172">
        <v>-3</v>
      </c>
      <c r="G1172" s="13">
        <v>0.95699999999999996</v>
      </c>
      <c r="H1172" t="s">
        <v>25</v>
      </c>
      <c r="I1172">
        <v>1</v>
      </c>
      <c r="J1172">
        <v>16</v>
      </c>
      <c r="K1172" t="str">
        <f t="shared" si="18"/>
        <v>Filtered out</v>
      </c>
    </row>
    <row r="1173" spans="1:11" x14ac:dyDescent="0.2">
      <c r="A1173" t="s">
        <v>14519</v>
      </c>
      <c r="B1173" t="s">
        <v>13831</v>
      </c>
      <c r="C1173" t="s">
        <v>13333</v>
      </c>
      <c r="D1173">
        <v>154</v>
      </c>
      <c r="E1173">
        <v>292</v>
      </c>
      <c r="F1173">
        <v>-47</v>
      </c>
      <c r="G1173" s="13">
        <v>1</v>
      </c>
      <c r="H1173" t="s">
        <v>70</v>
      </c>
      <c r="I1173">
        <v>0</v>
      </c>
      <c r="J1173" t="s">
        <v>190</v>
      </c>
      <c r="K1173" t="str">
        <f t="shared" si="18"/>
        <v>Filtered out</v>
      </c>
    </row>
    <row r="1174" spans="1:11" x14ac:dyDescent="0.2">
      <c r="A1174" t="s">
        <v>14520</v>
      </c>
      <c r="B1174" t="s">
        <v>13405</v>
      </c>
      <c r="C1174" t="s">
        <v>13246</v>
      </c>
      <c r="D1174">
        <v>175</v>
      </c>
      <c r="E1174">
        <v>229</v>
      </c>
      <c r="F1174">
        <v>-23</v>
      </c>
      <c r="G1174" s="13">
        <v>1</v>
      </c>
      <c r="H1174" t="s">
        <v>70</v>
      </c>
      <c r="I1174">
        <v>0</v>
      </c>
      <c r="J1174" t="s">
        <v>190</v>
      </c>
      <c r="K1174" t="str">
        <f t="shared" si="18"/>
        <v>Filtered out</v>
      </c>
    </row>
    <row r="1175" spans="1:11" x14ac:dyDescent="0.2">
      <c r="A1175" t="s">
        <v>14521</v>
      </c>
      <c r="B1175" t="s">
        <v>13297</v>
      </c>
      <c r="C1175" t="s">
        <v>13246</v>
      </c>
      <c r="D1175">
        <v>154</v>
      </c>
      <c r="E1175">
        <v>550</v>
      </c>
      <c r="F1175">
        <v>-72</v>
      </c>
      <c r="G1175" s="13">
        <v>0.627</v>
      </c>
      <c r="H1175" t="s">
        <v>70</v>
      </c>
      <c r="I1175">
        <v>0</v>
      </c>
      <c r="J1175" t="s">
        <v>190</v>
      </c>
      <c r="K1175" t="str">
        <f t="shared" si="18"/>
        <v>Filtered out</v>
      </c>
    </row>
    <row r="1176" spans="1:11" x14ac:dyDescent="0.2">
      <c r="A1176" t="s">
        <v>14522</v>
      </c>
      <c r="B1176" t="s">
        <v>13246</v>
      </c>
      <c r="C1176" t="s">
        <v>13246</v>
      </c>
      <c r="D1176">
        <v>106</v>
      </c>
      <c r="E1176">
        <v>298</v>
      </c>
      <c r="F1176">
        <v>-64</v>
      </c>
      <c r="G1176" s="13">
        <v>0.94299999999999995</v>
      </c>
      <c r="H1176" t="s">
        <v>70</v>
      </c>
      <c r="I1176">
        <v>0</v>
      </c>
      <c r="J1176" t="s">
        <v>190</v>
      </c>
      <c r="K1176" t="str">
        <f t="shared" si="18"/>
        <v>Filtered out</v>
      </c>
    </row>
    <row r="1177" spans="1:11" x14ac:dyDescent="0.2">
      <c r="A1177" t="s">
        <v>14523</v>
      </c>
      <c r="B1177" t="s">
        <v>13385</v>
      </c>
      <c r="C1177" t="s">
        <v>13385</v>
      </c>
      <c r="D1177">
        <v>379</v>
      </c>
      <c r="E1177">
        <v>379</v>
      </c>
      <c r="F1177">
        <v>0</v>
      </c>
      <c r="G1177" s="13">
        <v>0.97599999999999998</v>
      </c>
      <c r="H1177" t="s">
        <v>25</v>
      </c>
      <c r="I1177">
        <v>4</v>
      </c>
      <c r="J1177">
        <v>23</v>
      </c>
      <c r="K1177" t="str">
        <f t="shared" si="18"/>
        <v>Retained</v>
      </c>
    </row>
    <row r="1178" spans="1:11" x14ac:dyDescent="0.2">
      <c r="A1178" t="s">
        <v>14524</v>
      </c>
      <c r="B1178" t="s">
        <v>13246</v>
      </c>
      <c r="C1178" t="s">
        <v>13246</v>
      </c>
      <c r="D1178">
        <v>2194</v>
      </c>
      <c r="E1178">
        <v>2194</v>
      </c>
      <c r="F1178">
        <v>0</v>
      </c>
      <c r="G1178" s="13">
        <v>0.97099999999999997</v>
      </c>
      <c r="H1178" t="s">
        <v>25</v>
      </c>
      <c r="I1178">
        <v>1</v>
      </c>
      <c r="J1178">
        <v>548</v>
      </c>
      <c r="K1178" t="str">
        <f t="shared" si="18"/>
        <v>Retained</v>
      </c>
    </row>
    <row r="1179" spans="1:11" x14ac:dyDescent="0.2">
      <c r="A1179" t="s">
        <v>14525</v>
      </c>
      <c r="B1179" t="s">
        <v>13466</v>
      </c>
      <c r="C1179" t="s">
        <v>13246</v>
      </c>
      <c r="D1179">
        <v>91</v>
      </c>
      <c r="E1179">
        <v>226</v>
      </c>
      <c r="F1179">
        <v>-59</v>
      </c>
      <c r="G1179" s="13">
        <v>0.375</v>
      </c>
      <c r="H1179" t="s">
        <v>70</v>
      </c>
      <c r="I1179">
        <v>0</v>
      </c>
      <c r="J1179" t="s">
        <v>190</v>
      </c>
      <c r="K1179" t="str">
        <f t="shared" si="18"/>
        <v>Filtered out</v>
      </c>
    </row>
    <row r="1180" spans="1:11" x14ac:dyDescent="0.2">
      <c r="A1180" t="s">
        <v>14526</v>
      </c>
      <c r="B1180" t="s">
        <v>13711</v>
      </c>
      <c r="C1180" t="s">
        <v>13711</v>
      </c>
      <c r="D1180">
        <v>193</v>
      </c>
      <c r="E1180">
        <v>193</v>
      </c>
      <c r="F1180">
        <v>0</v>
      </c>
      <c r="G1180" s="13">
        <v>0.79700000000000004</v>
      </c>
      <c r="H1180" t="s">
        <v>70</v>
      </c>
      <c r="I1180">
        <v>0</v>
      </c>
      <c r="J1180" t="s">
        <v>190</v>
      </c>
      <c r="K1180" t="str">
        <f t="shared" si="18"/>
        <v>Filtered out</v>
      </c>
    </row>
    <row r="1181" spans="1:11" x14ac:dyDescent="0.2">
      <c r="A1181" t="s">
        <v>14527</v>
      </c>
      <c r="B1181" t="s">
        <v>13248</v>
      </c>
      <c r="C1181" t="s">
        <v>14528</v>
      </c>
      <c r="D1181">
        <v>1345</v>
      </c>
      <c r="E1181">
        <v>3118</v>
      </c>
      <c r="F1181">
        <v>-56</v>
      </c>
      <c r="G1181" s="13">
        <v>0.63600000000000001</v>
      </c>
      <c r="H1181" t="s">
        <v>25</v>
      </c>
      <c r="I1181">
        <v>6</v>
      </c>
      <c r="J1181">
        <v>76</v>
      </c>
      <c r="K1181" t="str">
        <f t="shared" si="18"/>
        <v>Filtered out</v>
      </c>
    </row>
    <row r="1182" spans="1:11" x14ac:dyDescent="0.2">
      <c r="A1182" t="s">
        <v>14529</v>
      </c>
      <c r="B1182" t="s">
        <v>13246</v>
      </c>
      <c r="C1182" t="s">
        <v>13246</v>
      </c>
      <c r="D1182">
        <v>2146</v>
      </c>
      <c r="E1182">
        <v>3079</v>
      </c>
      <c r="F1182">
        <v>-30</v>
      </c>
      <c r="G1182" s="13">
        <v>0.95699999999999996</v>
      </c>
      <c r="H1182" t="s">
        <v>25</v>
      </c>
      <c r="I1182">
        <v>1</v>
      </c>
      <c r="J1182">
        <v>403</v>
      </c>
      <c r="K1182" t="str">
        <f t="shared" si="18"/>
        <v>Filtered out</v>
      </c>
    </row>
    <row r="1183" spans="1:11" x14ac:dyDescent="0.2">
      <c r="A1183" t="s">
        <v>14530</v>
      </c>
      <c r="B1183" t="s">
        <v>13246</v>
      </c>
      <c r="C1183" t="s">
        <v>13246</v>
      </c>
      <c r="D1183">
        <v>187</v>
      </c>
      <c r="E1183">
        <v>259</v>
      </c>
      <c r="F1183">
        <v>-27</v>
      </c>
      <c r="G1183" s="13">
        <v>0.98399999999999999</v>
      </c>
      <c r="H1183" t="s">
        <v>70</v>
      </c>
      <c r="I1183">
        <v>0</v>
      </c>
      <c r="J1183" t="s">
        <v>190</v>
      </c>
      <c r="K1183" t="str">
        <f t="shared" si="18"/>
        <v>Filtered out</v>
      </c>
    </row>
    <row r="1184" spans="1:11" x14ac:dyDescent="0.2">
      <c r="A1184" t="s">
        <v>14531</v>
      </c>
      <c r="B1184" t="s">
        <v>13418</v>
      </c>
      <c r="C1184" t="s">
        <v>13618</v>
      </c>
      <c r="D1184">
        <v>580</v>
      </c>
      <c r="E1184">
        <v>823</v>
      </c>
      <c r="F1184">
        <v>-29</v>
      </c>
      <c r="G1184" s="13">
        <v>0.63900000000000001</v>
      </c>
      <c r="H1184" t="s">
        <v>25</v>
      </c>
      <c r="I1184">
        <v>2</v>
      </c>
      <c r="J1184">
        <v>2</v>
      </c>
      <c r="K1184" t="str">
        <f t="shared" si="18"/>
        <v>Filtered out</v>
      </c>
    </row>
    <row r="1185" spans="1:11" x14ac:dyDescent="0.2">
      <c r="A1185" t="s">
        <v>14532</v>
      </c>
      <c r="B1185" t="s">
        <v>13266</v>
      </c>
      <c r="C1185" t="s">
        <v>13266</v>
      </c>
      <c r="D1185">
        <v>748</v>
      </c>
      <c r="E1185">
        <v>748</v>
      </c>
      <c r="F1185">
        <v>0</v>
      </c>
      <c r="G1185" s="13">
        <v>0.98799999999999999</v>
      </c>
      <c r="H1185" t="s">
        <v>25</v>
      </c>
      <c r="I1185">
        <v>1</v>
      </c>
      <c r="J1185">
        <v>36</v>
      </c>
      <c r="K1185" t="str">
        <f t="shared" si="18"/>
        <v>Retained</v>
      </c>
    </row>
    <row r="1186" spans="1:11" x14ac:dyDescent="0.2">
      <c r="A1186" t="s">
        <v>14533</v>
      </c>
      <c r="B1186" t="s">
        <v>13543</v>
      </c>
      <c r="C1186" t="s">
        <v>14534</v>
      </c>
      <c r="D1186">
        <v>190</v>
      </c>
      <c r="E1186">
        <v>337</v>
      </c>
      <c r="F1186">
        <v>-43</v>
      </c>
      <c r="G1186" s="13">
        <v>0.92100000000000004</v>
      </c>
      <c r="H1186" t="s">
        <v>70</v>
      </c>
      <c r="I1186">
        <v>0</v>
      </c>
      <c r="J1186" t="s">
        <v>190</v>
      </c>
      <c r="K1186" t="str">
        <f t="shared" si="18"/>
        <v>Filtered out</v>
      </c>
    </row>
    <row r="1187" spans="1:11" x14ac:dyDescent="0.2">
      <c r="A1187" t="s">
        <v>14535</v>
      </c>
      <c r="B1187" t="s">
        <v>13246</v>
      </c>
      <c r="C1187" t="s">
        <v>13246</v>
      </c>
      <c r="D1187">
        <v>115</v>
      </c>
      <c r="E1187">
        <v>658</v>
      </c>
      <c r="F1187">
        <v>-82</v>
      </c>
      <c r="G1187" s="13">
        <v>1</v>
      </c>
      <c r="H1187" t="s">
        <v>70</v>
      </c>
      <c r="I1187">
        <v>0</v>
      </c>
      <c r="J1187" t="s">
        <v>190</v>
      </c>
      <c r="K1187" t="str">
        <f t="shared" si="18"/>
        <v>Filtered out</v>
      </c>
    </row>
    <row r="1188" spans="1:11" x14ac:dyDescent="0.2">
      <c r="A1188" t="s">
        <v>14536</v>
      </c>
      <c r="B1188" t="s">
        <v>13369</v>
      </c>
      <c r="C1188" t="s">
        <v>13246</v>
      </c>
      <c r="D1188">
        <v>169</v>
      </c>
      <c r="E1188">
        <v>220</v>
      </c>
      <c r="F1188">
        <v>-23</v>
      </c>
      <c r="G1188" s="13">
        <v>1</v>
      </c>
      <c r="H1188" t="s">
        <v>70</v>
      </c>
      <c r="I1188">
        <v>0</v>
      </c>
      <c r="J1188" t="s">
        <v>190</v>
      </c>
      <c r="K1188" t="str">
        <f t="shared" si="18"/>
        <v>Filtered out</v>
      </c>
    </row>
    <row r="1189" spans="1:11" x14ac:dyDescent="0.2">
      <c r="A1189" t="s">
        <v>14537</v>
      </c>
      <c r="B1189" t="s">
        <v>13385</v>
      </c>
      <c r="C1189" t="s">
        <v>14534</v>
      </c>
      <c r="D1189">
        <v>271</v>
      </c>
      <c r="E1189">
        <v>397</v>
      </c>
      <c r="F1189">
        <v>-31</v>
      </c>
      <c r="G1189" s="13">
        <v>0.72199999999999998</v>
      </c>
      <c r="H1189" t="s">
        <v>70</v>
      </c>
      <c r="I1189">
        <v>0</v>
      </c>
      <c r="J1189" t="s">
        <v>190</v>
      </c>
      <c r="K1189" t="str">
        <f t="shared" si="18"/>
        <v>Filtered out</v>
      </c>
    </row>
    <row r="1190" spans="1:11" x14ac:dyDescent="0.2">
      <c r="A1190" t="s">
        <v>14538</v>
      </c>
      <c r="B1190" t="s">
        <v>13401</v>
      </c>
      <c r="C1190" t="s">
        <v>13246</v>
      </c>
      <c r="D1190">
        <v>916</v>
      </c>
      <c r="E1190">
        <v>991</v>
      </c>
      <c r="F1190">
        <v>-7</v>
      </c>
      <c r="G1190" s="13">
        <v>1</v>
      </c>
      <c r="H1190" t="s">
        <v>25</v>
      </c>
      <c r="I1190">
        <v>1</v>
      </c>
      <c r="J1190">
        <v>2</v>
      </c>
      <c r="K1190" t="str">
        <f t="shared" si="18"/>
        <v>Filtered out</v>
      </c>
    </row>
    <row r="1191" spans="1:11" x14ac:dyDescent="0.2">
      <c r="A1191" t="s">
        <v>14539</v>
      </c>
      <c r="B1191" t="s">
        <v>13484</v>
      </c>
      <c r="C1191" t="s">
        <v>13246</v>
      </c>
      <c r="D1191">
        <v>586</v>
      </c>
      <c r="E1191">
        <v>1201</v>
      </c>
      <c r="F1191">
        <v>-51</v>
      </c>
      <c r="G1191" s="13">
        <v>0.995</v>
      </c>
      <c r="H1191" t="s">
        <v>25</v>
      </c>
      <c r="I1191">
        <v>1</v>
      </c>
      <c r="J1191">
        <v>4</v>
      </c>
      <c r="K1191" t="str">
        <f t="shared" si="18"/>
        <v>Filtered out</v>
      </c>
    </row>
    <row r="1192" spans="1:11" x14ac:dyDescent="0.2">
      <c r="A1192" t="s">
        <v>14540</v>
      </c>
      <c r="B1192" t="s">
        <v>13246</v>
      </c>
      <c r="C1192" t="s">
        <v>13246</v>
      </c>
      <c r="D1192">
        <v>1240</v>
      </c>
      <c r="E1192">
        <v>1429</v>
      </c>
      <c r="F1192">
        <v>-13</v>
      </c>
      <c r="G1192" s="13">
        <v>0.88</v>
      </c>
      <c r="H1192" t="s">
        <v>25</v>
      </c>
      <c r="I1192">
        <v>2</v>
      </c>
      <c r="J1192">
        <v>246</v>
      </c>
      <c r="K1192" t="str">
        <f t="shared" si="18"/>
        <v>Filtered out</v>
      </c>
    </row>
    <row r="1193" spans="1:11" x14ac:dyDescent="0.2">
      <c r="A1193" t="s">
        <v>14541</v>
      </c>
      <c r="B1193" t="s">
        <v>13418</v>
      </c>
      <c r="C1193" t="s">
        <v>13418</v>
      </c>
      <c r="D1193">
        <v>1060</v>
      </c>
      <c r="E1193">
        <v>1069</v>
      </c>
      <c r="F1193">
        <v>0</v>
      </c>
      <c r="G1193" s="13">
        <v>0.76900000000000002</v>
      </c>
      <c r="H1193" t="s">
        <v>25</v>
      </c>
      <c r="I1193">
        <v>2</v>
      </c>
      <c r="J1193">
        <v>234</v>
      </c>
      <c r="K1193" t="str">
        <f t="shared" si="18"/>
        <v>Filtered out</v>
      </c>
    </row>
    <row r="1194" spans="1:11" x14ac:dyDescent="0.2">
      <c r="A1194" t="s">
        <v>14542</v>
      </c>
      <c r="B1194" t="s">
        <v>13321</v>
      </c>
      <c r="C1194" t="s">
        <v>13321</v>
      </c>
      <c r="D1194">
        <v>1759</v>
      </c>
      <c r="E1194">
        <v>1759</v>
      </c>
      <c r="F1194">
        <v>0</v>
      </c>
      <c r="G1194" s="13">
        <v>0.97799999999999998</v>
      </c>
      <c r="H1194" t="s">
        <v>25</v>
      </c>
      <c r="I1194">
        <v>2</v>
      </c>
      <c r="J1194">
        <v>4</v>
      </c>
      <c r="K1194" t="str">
        <f t="shared" si="18"/>
        <v>Retained</v>
      </c>
    </row>
    <row r="1195" spans="1:11" x14ac:dyDescent="0.2">
      <c r="A1195" t="s">
        <v>14543</v>
      </c>
      <c r="B1195" t="s">
        <v>13246</v>
      </c>
      <c r="C1195" t="s">
        <v>13246</v>
      </c>
      <c r="D1195">
        <v>1642</v>
      </c>
      <c r="E1195">
        <v>1642</v>
      </c>
      <c r="F1195">
        <v>0</v>
      </c>
      <c r="G1195" s="13">
        <v>0.98199999999999998</v>
      </c>
      <c r="H1195" t="s">
        <v>25</v>
      </c>
      <c r="I1195">
        <v>1</v>
      </c>
      <c r="J1195">
        <v>460</v>
      </c>
      <c r="K1195" t="str">
        <f t="shared" si="18"/>
        <v>Retained</v>
      </c>
    </row>
    <row r="1196" spans="1:11" x14ac:dyDescent="0.2">
      <c r="A1196" t="s">
        <v>14544</v>
      </c>
      <c r="B1196" t="s">
        <v>13246</v>
      </c>
      <c r="C1196" t="s">
        <v>13246</v>
      </c>
      <c r="D1196">
        <v>1159</v>
      </c>
      <c r="E1196">
        <v>1159</v>
      </c>
      <c r="F1196">
        <v>0</v>
      </c>
      <c r="G1196" s="13">
        <v>0.96099999999999997</v>
      </c>
      <c r="H1196" t="s">
        <v>25</v>
      </c>
      <c r="I1196">
        <v>1</v>
      </c>
      <c r="J1196">
        <v>384</v>
      </c>
      <c r="K1196" t="str">
        <f t="shared" si="18"/>
        <v>Retained</v>
      </c>
    </row>
    <row r="1197" spans="1:11" x14ac:dyDescent="0.2">
      <c r="A1197" t="s">
        <v>14545</v>
      </c>
      <c r="B1197" t="s">
        <v>13246</v>
      </c>
      <c r="C1197" t="s">
        <v>13246</v>
      </c>
      <c r="D1197">
        <v>1642</v>
      </c>
      <c r="E1197">
        <v>1642</v>
      </c>
      <c r="F1197">
        <v>0</v>
      </c>
      <c r="G1197" s="13">
        <v>0.98199999999999998</v>
      </c>
      <c r="H1197" t="s">
        <v>25</v>
      </c>
      <c r="I1197">
        <v>1</v>
      </c>
      <c r="J1197">
        <v>460</v>
      </c>
      <c r="K1197" t="str">
        <f t="shared" si="18"/>
        <v>Retained</v>
      </c>
    </row>
    <row r="1198" spans="1:11" x14ac:dyDescent="0.2">
      <c r="A1198" t="s">
        <v>14546</v>
      </c>
      <c r="B1198" t="s">
        <v>13314</v>
      </c>
      <c r="C1198" t="s">
        <v>13314</v>
      </c>
      <c r="D1198">
        <v>2206</v>
      </c>
      <c r="E1198">
        <v>2203</v>
      </c>
      <c r="F1198">
        <v>0</v>
      </c>
      <c r="G1198" s="13">
        <v>0.95299999999999996</v>
      </c>
      <c r="H1198" t="s">
        <v>25</v>
      </c>
      <c r="I1198">
        <v>1</v>
      </c>
      <c r="J1198">
        <v>594</v>
      </c>
      <c r="K1198" t="str">
        <f t="shared" si="18"/>
        <v>Retained</v>
      </c>
    </row>
    <row r="1199" spans="1:11" x14ac:dyDescent="0.2">
      <c r="A1199" t="s">
        <v>14547</v>
      </c>
      <c r="B1199" t="s">
        <v>13263</v>
      </c>
      <c r="C1199" t="s">
        <v>13263</v>
      </c>
      <c r="D1199">
        <v>934</v>
      </c>
      <c r="E1199">
        <v>934</v>
      </c>
      <c r="F1199">
        <v>0</v>
      </c>
      <c r="G1199" s="13">
        <v>0.95799999999999996</v>
      </c>
      <c r="H1199" t="s">
        <v>25</v>
      </c>
      <c r="I1199">
        <v>1</v>
      </c>
      <c r="J1199">
        <v>162</v>
      </c>
      <c r="K1199" t="str">
        <f t="shared" si="18"/>
        <v>Retained</v>
      </c>
    </row>
    <row r="1200" spans="1:11" x14ac:dyDescent="0.2">
      <c r="A1200" t="s">
        <v>14548</v>
      </c>
      <c r="B1200" t="s">
        <v>13373</v>
      </c>
      <c r="C1200" t="s">
        <v>13246</v>
      </c>
      <c r="D1200">
        <v>304</v>
      </c>
      <c r="E1200">
        <v>877</v>
      </c>
      <c r="F1200">
        <v>-65</v>
      </c>
      <c r="G1200" s="13">
        <v>0.378</v>
      </c>
      <c r="H1200" t="s">
        <v>70</v>
      </c>
      <c r="I1200">
        <v>0</v>
      </c>
      <c r="J1200" t="s">
        <v>190</v>
      </c>
      <c r="K1200" t="str">
        <f t="shared" si="18"/>
        <v>Filtered out</v>
      </c>
    </row>
    <row r="1201" spans="1:11" x14ac:dyDescent="0.2">
      <c r="A1201" t="s">
        <v>14549</v>
      </c>
      <c r="B1201" t="s">
        <v>13246</v>
      </c>
      <c r="C1201" t="s">
        <v>13246</v>
      </c>
      <c r="D1201">
        <v>139</v>
      </c>
      <c r="E1201">
        <v>493</v>
      </c>
      <c r="F1201">
        <v>-71</v>
      </c>
      <c r="G1201" s="13">
        <v>0.95699999999999996</v>
      </c>
      <c r="H1201" t="s">
        <v>70</v>
      </c>
      <c r="I1201">
        <v>0</v>
      </c>
      <c r="J1201" t="s">
        <v>190</v>
      </c>
      <c r="K1201" t="str">
        <f t="shared" si="18"/>
        <v>Filtered out</v>
      </c>
    </row>
  </sheetData>
  <autoFilter ref="K6:K1201" xr:uid="{0BE5CF6E-086A-9842-8C15-AFD09E27B57B}"/>
  <mergeCells count="1">
    <mergeCell ref="A3:P3"/>
  </mergeCells>
  <conditionalFormatting sqref="K1:K2 K4:K1048576">
    <cfRule type="containsText" dxfId="3" priority="1" operator="containsText" text="Keep">
      <formula>NOT(ISERROR(SEARCH("Keep",K1)))</formula>
    </cfRule>
  </conditionalFormatting>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7124-3E20-514F-B602-F7947C063685}">
  <dimension ref="A1:O25"/>
  <sheetViews>
    <sheetView workbookViewId="0"/>
  </sheetViews>
  <sheetFormatPr baseColWidth="10" defaultRowHeight="16" x14ac:dyDescent="0.2"/>
  <cols>
    <col min="1" max="1" width="34.6640625" customWidth="1"/>
    <col min="2" max="2" width="20.6640625" bestFit="1" customWidth="1"/>
    <col min="3" max="3" width="32.5" bestFit="1" customWidth="1"/>
    <col min="4" max="4" width="31.33203125" bestFit="1" customWidth="1"/>
  </cols>
  <sheetData>
    <row r="1" spans="1:15" ht="21" x14ac:dyDescent="0.25">
      <c r="A1" s="26" t="s">
        <v>15155</v>
      </c>
    </row>
    <row r="2" spans="1:15" ht="21" x14ac:dyDescent="0.25">
      <c r="A2" s="26" t="s">
        <v>15067</v>
      </c>
    </row>
    <row r="3" spans="1:15" x14ac:dyDescent="0.2">
      <c r="A3" t="s">
        <v>15115</v>
      </c>
    </row>
    <row r="4" spans="1:15" ht="108" customHeight="1" x14ac:dyDescent="0.2">
      <c r="A4" s="33" t="s">
        <v>15116</v>
      </c>
      <c r="B4" s="33"/>
      <c r="C4" s="33"/>
      <c r="D4" s="33"/>
      <c r="E4" s="33"/>
      <c r="F4" s="33"/>
      <c r="G4" s="33"/>
      <c r="H4" s="33"/>
      <c r="I4" s="33"/>
      <c r="J4" s="33"/>
      <c r="K4" s="33"/>
      <c r="L4" s="33"/>
      <c r="M4" s="33"/>
      <c r="N4" s="33"/>
      <c r="O4" s="33"/>
    </row>
    <row r="6" spans="1:15" ht="19" x14ac:dyDescent="0.25">
      <c r="A6" s="12" t="s">
        <v>14552</v>
      </c>
      <c r="B6" s="3" t="s">
        <v>15068</v>
      </c>
      <c r="C6" s="12" t="s">
        <v>15069</v>
      </c>
      <c r="D6" s="21" t="s">
        <v>15070</v>
      </c>
    </row>
    <row r="7" spans="1:15" x14ac:dyDescent="0.2">
      <c r="A7" t="s">
        <v>13846</v>
      </c>
      <c r="B7" s="1" t="s">
        <v>70</v>
      </c>
      <c r="C7" t="s">
        <v>70</v>
      </c>
      <c r="D7" t="s">
        <v>14816</v>
      </c>
    </row>
    <row r="8" spans="1:15" x14ac:dyDescent="0.2">
      <c r="A8" t="s">
        <v>14923</v>
      </c>
      <c r="B8" s="1" t="s">
        <v>70</v>
      </c>
      <c r="C8" t="s">
        <v>70</v>
      </c>
      <c r="D8" t="s">
        <v>14815</v>
      </c>
    </row>
    <row r="9" spans="1:15" x14ac:dyDescent="0.2">
      <c r="A9" t="s">
        <v>13742</v>
      </c>
      <c r="B9" s="1" t="s">
        <v>25</v>
      </c>
      <c r="C9" t="s">
        <v>70</v>
      </c>
      <c r="D9" t="s">
        <v>15059</v>
      </c>
    </row>
    <row r="10" spans="1:15" x14ac:dyDescent="0.2">
      <c r="A10" t="s">
        <v>14924</v>
      </c>
      <c r="B10" s="1" t="s">
        <v>70</v>
      </c>
      <c r="C10" t="s">
        <v>70</v>
      </c>
      <c r="D10" t="s">
        <v>14929</v>
      </c>
    </row>
    <row r="11" spans="1:15" x14ac:dyDescent="0.2">
      <c r="A11" t="s">
        <v>13993</v>
      </c>
      <c r="B11" s="1" t="s">
        <v>25</v>
      </c>
      <c r="C11" t="s">
        <v>70</v>
      </c>
      <c r="D11" t="s">
        <v>15059</v>
      </c>
    </row>
    <row r="12" spans="1:15" x14ac:dyDescent="0.2">
      <c r="A12" t="s">
        <v>40</v>
      </c>
      <c r="B12" s="1" t="s">
        <v>25</v>
      </c>
      <c r="C12" t="s">
        <v>25</v>
      </c>
      <c r="D12" t="s">
        <v>14818</v>
      </c>
    </row>
    <row r="13" spans="1:15" x14ac:dyDescent="0.2">
      <c r="A13" t="s">
        <v>14284</v>
      </c>
      <c r="B13" s="1" t="s">
        <v>70</v>
      </c>
      <c r="C13" t="s">
        <v>70</v>
      </c>
      <c r="D13" t="s">
        <v>14817</v>
      </c>
    </row>
    <row r="14" spans="1:15" x14ac:dyDescent="0.2">
      <c r="A14" t="s">
        <v>14925</v>
      </c>
      <c r="B14" s="1" t="s">
        <v>70</v>
      </c>
      <c r="C14" t="s">
        <v>70</v>
      </c>
      <c r="D14" t="s">
        <v>14815</v>
      </c>
    </row>
    <row r="15" spans="1:15" x14ac:dyDescent="0.2">
      <c r="A15" t="s">
        <v>14155</v>
      </c>
      <c r="B15" s="1" t="s">
        <v>70</v>
      </c>
      <c r="C15" t="s">
        <v>70</v>
      </c>
      <c r="D15" t="s">
        <v>14816</v>
      </c>
    </row>
    <row r="16" spans="1:15" x14ac:dyDescent="0.2">
      <c r="A16" t="s">
        <v>14544</v>
      </c>
      <c r="B16" s="1" t="s">
        <v>70</v>
      </c>
      <c r="C16" t="s">
        <v>70</v>
      </c>
      <c r="D16" t="s">
        <v>14815</v>
      </c>
    </row>
    <row r="17" spans="1:4" x14ac:dyDescent="0.2">
      <c r="A17" t="s">
        <v>14532</v>
      </c>
      <c r="B17" s="1" t="s">
        <v>70</v>
      </c>
      <c r="C17" t="s">
        <v>70</v>
      </c>
      <c r="D17" t="s">
        <v>14816</v>
      </c>
    </row>
    <row r="18" spans="1:4" x14ac:dyDescent="0.2">
      <c r="A18" t="s">
        <v>13292</v>
      </c>
      <c r="B18" s="1" t="s">
        <v>70</v>
      </c>
      <c r="C18" t="s">
        <v>70</v>
      </c>
      <c r="D18" t="s">
        <v>14817</v>
      </c>
    </row>
    <row r="19" spans="1:4" x14ac:dyDescent="0.2">
      <c r="A19" t="s">
        <v>14926</v>
      </c>
      <c r="B19" s="1" t="s">
        <v>70</v>
      </c>
      <c r="C19" t="s">
        <v>70</v>
      </c>
      <c r="D19" t="s">
        <v>14817</v>
      </c>
    </row>
    <row r="20" spans="1:4" x14ac:dyDescent="0.2">
      <c r="A20" t="s">
        <v>14927</v>
      </c>
      <c r="B20" s="1" t="s">
        <v>70</v>
      </c>
      <c r="C20" t="s">
        <v>70</v>
      </c>
      <c r="D20" t="s">
        <v>14817</v>
      </c>
    </row>
    <row r="21" spans="1:4" x14ac:dyDescent="0.2">
      <c r="A21" t="s">
        <v>13342</v>
      </c>
      <c r="B21" s="1" t="s">
        <v>25</v>
      </c>
      <c r="C21" t="s">
        <v>70</v>
      </c>
      <c r="D21" t="s">
        <v>15059</v>
      </c>
    </row>
    <row r="22" spans="1:4" x14ac:dyDescent="0.2">
      <c r="A22" t="s">
        <v>14523</v>
      </c>
      <c r="B22" s="1" t="s">
        <v>70</v>
      </c>
      <c r="C22" t="s">
        <v>70</v>
      </c>
      <c r="D22" t="s">
        <v>14816</v>
      </c>
    </row>
    <row r="23" spans="1:4" x14ac:dyDescent="0.2">
      <c r="A23" t="s">
        <v>14928</v>
      </c>
      <c r="B23" s="1" t="s">
        <v>70</v>
      </c>
      <c r="C23" t="s">
        <v>70</v>
      </c>
      <c r="D23" t="s">
        <v>14815</v>
      </c>
    </row>
    <row r="24" spans="1:4" x14ac:dyDescent="0.2">
      <c r="A24" t="s">
        <v>14322</v>
      </c>
      <c r="B24" s="1" t="s">
        <v>70</v>
      </c>
      <c r="C24" t="s">
        <v>70</v>
      </c>
      <c r="D24" t="s">
        <v>14816</v>
      </c>
    </row>
    <row r="25" spans="1:4" x14ac:dyDescent="0.2">
      <c r="A25" t="s">
        <v>13790</v>
      </c>
      <c r="B25" s="1" t="s">
        <v>70</v>
      </c>
      <c r="C25" t="s">
        <v>70</v>
      </c>
      <c r="D25" t="s">
        <v>14817</v>
      </c>
    </row>
  </sheetData>
  <mergeCells count="1">
    <mergeCell ref="A4:O4"/>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439E-C124-C442-A61F-FF48F5B7839F}">
  <dimension ref="A1:N361"/>
  <sheetViews>
    <sheetView topLeftCell="A6" workbookViewId="0"/>
  </sheetViews>
  <sheetFormatPr baseColWidth="10" defaultRowHeight="19" x14ac:dyDescent="0.25"/>
  <cols>
    <col min="1" max="1" width="21" style="19" customWidth="1"/>
    <col min="2" max="2" width="12.5" style="1" bestFit="1" customWidth="1"/>
    <col min="3" max="3" width="13.83203125" style="1" bestFit="1" customWidth="1"/>
    <col min="4" max="4" width="19.6640625" style="2" customWidth="1"/>
    <col min="5" max="5" width="27.5" bestFit="1" customWidth="1"/>
    <col min="6" max="6" width="30.83203125" style="1" customWidth="1"/>
    <col min="7" max="7" width="8.83203125" customWidth="1"/>
    <col min="8" max="8" width="11.5" customWidth="1"/>
    <col min="9" max="9" width="8.5" customWidth="1"/>
    <col min="10" max="10" width="10.1640625" customWidth="1"/>
    <col min="11" max="11" width="43.6640625" bestFit="1" customWidth="1"/>
    <col min="14" max="14" width="27.1640625" bestFit="1" customWidth="1"/>
  </cols>
  <sheetData>
    <row r="1" spans="1:14" ht="21" x14ac:dyDescent="0.25">
      <c r="A1" s="25" t="s">
        <v>15054</v>
      </c>
    </row>
    <row r="2" spans="1:14" ht="21" x14ac:dyDescent="0.25">
      <c r="A2" s="26" t="s">
        <v>15113</v>
      </c>
    </row>
    <row r="3" spans="1:14" ht="38" customHeight="1" x14ac:dyDescent="0.2">
      <c r="A3" s="33" t="s">
        <v>15114</v>
      </c>
      <c r="B3" s="33"/>
      <c r="C3" s="33"/>
      <c r="D3" s="33"/>
      <c r="E3" s="33"/>
      <c r="F3" s="33"/>
      <c r="G3" s="33"/>
      <c r="H3" s="33"/>
      <c r="I3" s="33"/>
      <c r="J3" s="33"/>
      <c r="K3" s="33"/>
      <c r="L3" s="33"/>
      <c r="M3" s="33"/>
      <c r="N3" s="33"/>
    </row>
    <row r="6" spans="1:14" ht="16" x14ac:dyDescent="0.2">
      <c r="A6" s="9" t="s">
        <v>13243</v>
      </c>
      <c r="B6" s="21" t="s">
        <v>15046</v>
      </c>
      <c r="C6" s="21" t="s">
        <v>15045</v>
      </c>
      <c r="D6" s="3" t="s">
        <v>15047</v>
      </c>
      <c r="E6" s="9" t="s">
        <v>15057</v>
      </c>
      <c r="F6" s="3" t="s">
        <v>15058</v>
      </c>
      <c r="G6" s="9" t="s">
        <v>15044</v>
      </c>
      <c r="H6" s="9" t="s">
        <v>15043</v>
      </c>
      <c r="I6" s="9" t="s">
        <v>15042</v>
      </c>
      <c r="J6" s="9" t="s">
        <v>15041</v>
      </c>
      <c r="K6" s="9" t="s">
        <v>183</v>
      </c>
      <c r="L6" s="9"/>
    </row>
    <row r="7" spans="1:14" x14ac:dyDescent="0.25">
      <c r="A7" s="19" t="s">
        <v>14472</v>
      </c>
      <c r="B7" s="1">
        <v>558</v>
      </c>
      <c r="C7" s="1">
        <v>1</v>
      </c>
      <c r="D7" s="2">
        <v>307</v>
      </c>
      <c r="E7" t="s">
        <v>14556</v>
      </c>
      <c r="F7" s="1" t="s">
        <v>14560</v>
      </c>
      <c r="G7">
        <v>98.7</v>
      </c>
      <c r="H7">
        <v>98.3</v>
      </c>
      <c r="I7">
        <v>100</v>
      </c>
      <c r="J7">
        <v>95</v>
      </c>
      <c r="K7" t="s">
        <v>15059</v>
      </c>
    </row>
    <row r="8" spans="1:14" x14ac:dyDescent="0.25">
      <c r="A8" s="19" t="s">
        <v>13435</v>
      </c>
      <c r="B8" s="1">
        <v>384</v>
      </c>
      <c r="C8" s="1">
        <v>1</v>
      </c>
      <c r="D8" s="2">
        <v>152</v>
      </c>
      <c r="E8" t="s">
        <v>14556</v>
      </c>
      <c r="F8" s="1" t="s">
        <v>14560</v>
      </c>
      <c r="G8">
        <v>100</v>
      </c>
      <c r="H8">
        <v>100</v>
      </c>
      <c r="I8">
        <v>99.5</v>
      </c>
      <c r="J8">
        <v>99.7</v>
      </c>
      <c r="K8" t="s">
        <v>15059</v>
      </c>
    </row>
    <row r="9" spans="1:14" x14ac:dyDescent="0.25">
      <c r="A9" s="19" t="s">
        <v>13506</v>
      </c>
      <c r="B9" s="1">
        <v>1236</v>
      </c>
      <c r="C9" s="1">
        <v>1</v>
      </c>
      <c r="D9" s="2">
        <v>99</v>
      </c>
      <c r="E9" t="s">
        <v>14556</v>
      </c>
      <c r="F9" s="1" t="s">
        <v>14560</v>
      </c>
      <c r="G9">
        <v>98.9</v>
      </c>
      <c r="H9">
        <v>99.6</v>
      </c>
      <c r="I9">
        <v>97.1</v>
      </c>
      <c r="J9">
        <v>96.5</v>
      </c>
      <c r="K9" t="s">
        <v>15059</v>
      </c>
    </row>
    <row r="10" spans="1:14" x14ac:dyDescent="0.25">
      <c r="A10" s="19" t="s">
        <v>26</v>
      </c>
      <c r="B10" s="1">
        <v>309</v>
      </c>
      <c r="C10" s="1">
        <v>1</v>
      </c>
      <c r="D10" s="2">
        <v>111</v>
      </c>
      <c r="E10" t="s">
        <v>14556</v>
      </c>
      <c r="F10" s="1" t="s">
        <v>14560</v>
      </c>
      <c r="G10">
        <v>100</v>
      </c>
      <c r="H10">
        <v>99.7</v>
      </c>
      <c r="I10">
        <v>98.9</v>
      </c>
      <c r="J10">
        <v>99.6</v>
      </c>
      <c r="K10" t="s">
        <v>15060</v>
      </c>
      <c r="L10" s="18"/>
    </row>
    <row r="11" spans="1:14" x14ac:dyDescent="0.25">
      <c r="A11" s="19" t="s">
        <v>13810</v>
      </c>
      <c r="B11" s="1">
        <v>519</v>
      </c>
      <c r="C11" s="1">
        <v>1</v>
      </c>
      <c r="D11" s="2">
        <v>199</v>
      </c>
      <c r="E11" t="s">
        <v>14556</v>
      </c>
      <c r="F11" s="1" t="s">
        <v>14560</v>
      </c>
      <c r="G11">
        <v>100</v>
      </c>
      <c r="H11">
        <v>99.8</v>
      </c>
      <c r="I11">
        <v>99.7</v>
      </c>
      <c r="J11">
        <v>99.9</v>
      </c>
      <c r="K11" t="s">
        <v>15059</v>
      </c>
    </row>
    <row r="12" spans="1:14" x14ac:dyDescent="0.25">
      <c r="A12" s="19" t="s">
        <v>27</v>
      </c>
      <c r="B12" s="1">
        <v>281</v>
      </c>
      <c r="C12" s="1">
        <v>1</v>
      </c>
      <c r="D12" s="2">
        <v>270</v>
      </c>
      <c r="E12" t="s">
        <v>14556</v>
      </c>
      <c r="F12" s="1" t="s">
        <v>14560</v>
      </c>
      <c r="G12">
        <v>100</v>
      </c>
      <c r="H12">
        <v>99.6</v>
      </c>
      <c r="I12">
        <v>100</v>
      </c>
      <c r="J12">
        <v>100</v>
      </c>
      <c r="K12" s="18" t="s">
        <v>15060</v>
      </c>
    </row>
    <row r="13" spans="1:14" x14ac:dyDescent="0.25">
      <c r="A13" s="19" t="s">
        <v>14103</v>
      </c>
      <c r="B13" s="1">
        <v>347</v>
      </c>
      <c r="C13" s="1">
        <v>1</v>
      </c>
      <c r="D13" s="2">
        <v>71</v>
      </c>
      <c r="E13" t="s">
        <v>14556</v>
      </c>
      <c r="F13" s="1" t="s">
        <v>14560</v>
      </c>
      <c r="G13">
        <v>98.4</v>
      </c>
      <c r="H13">
        <v>98.9</v>
      </c>
      <c r="I13">
        <v>99.6</v>
      </c>
      <c r="J13">
        <v>98.1</v>
      </c>
      <c r="K13" t="s">
        <v>15059</v>
      </c>
    </row>
    <row r="14" spans="1:14" x14ac:dyDescent="0.25">
      <c r="A14" s="19" t="s">
        <v>28</v>
      </c>
      <c r="B14" s="1">
        <v>316</v>
      </c>
      <c r="C14" s="1">
        <v>1</v>
      </c>
      <c r="D14" s="2">
        <v>171</v>
      </c>
      <c r="E14" t="s">
        <v>14556</v>
      </c>
      <c r="F14" s="1" t="s">
        <v>14560</v>
      </c>
      <c r="G14">
        <v>99.4</v>
      </c>
      <c r="H14">
        <v>99.6</v>
      </c>
      <c r="I14">
        <v>99.3</v>
      </c>
      <c r="J14">
        <v>99.8</v>
      </c>
      <c r="K14" t="s">
        <v>15060</v>
      </c>
    </row>
    <row r="15" spans="1:14" x14ac:dyDescent="0.25">
      <c r="A15" s="19" t="s">
        <v>24</v>
      </c>
      <c r="B15" s="1">
        <v>757</v>
      </c>
      <c r="C15" s="1">
        <v>1</v>
      </c>
      <c r="D15" s="2">
        <v>429</v>
      </c>
      <c r="E15" t="s">
        <v>14556</v>
      </c>
      <c r="F15" s="1" t="s">
        <v>14560</v>
      </c>
      <c r="G15">
        <v>100</v>
      </c>
      <c r="H15">
        <v>99.4</v>
      </c>
      <c r="I15">
        <v>97.2</v>
      </c>
      <c r="J15">
        <v>98.7</v>
      </c>
      <c r="K15" t="s">
        <v>15060</v>
      </c>
    </row>
    <row r="16" spans="1:14" x14ac:dyDescent="0.25">
      <c r="A16" s="19" t="s">
        <v>14469</v>
      </c>
      <c r="B16" s="1">
        <v>731</v>
      </c>
      <c r="C16" s="1">
        <v>3</v>
      </c>
      <c r="D16" s="27">
        <v>547548549</v>
      </c>
      <c r="E16" t="s">
        <v>14556</v>
      </c>
      <c r="F16" s="1" t="s">
        <v>14560</v>
      </c>
      <c r="G16">
        <v>98.1</v>
      </c>
      <c r="H16">
        <v>99.2</v>
      </c>
      <c r="I16">
        <v>100</v>
      </c>
      <c r="J16">
        <v>100</v>
      </c>
      <c r="K16" t="s">
        <v>15059</v>
      </c>
    </row>
    <row r="17" spans="1:11" x14ac:dyDescent="0.25">
      <c r="A17" s="19" t="s">
        <v>5</v>
      </c>
      <c r="B17" s="1">
        <v>164</v>
      </c>
      <c r="C17" s="1">
        <v>1</v>
      </c>
      <c r="D17" s="2">
        <v>61</v>
      </c>
      <c r="E17" t="s">
        <v>14556</v>
      </c>
      <c r="F17" s="1" t="s">
        <v>14560</v>
      </c>
      <c r="G17">
        <v>100</v>
      </c>
      <c r="H17">
        <v>99.3</v>
      </c>
      <c r="I17">
        <v>100</v>
      </c>
      <c r="J17">
        <v>100</v>
      </c>
      <c r="K17" t="s">
        <v>15060</v>
      </c>
    </row>
    <row r="18" spans="1:11" x14ac:dyDescent="0.25">
      <c r="A18" s="19" t="s">
        <v>13962</v>
      </c>
      <c r="B18" s="1">
        <v>438</v>
      </c>
      <c r="C18" s="1">
        <v>1</v>
      </c>
      <c r="D18" s="2">
        <v>410</v>
      </c>
      <c r="E18" t="s">
        <v>14930</v>
      </c>
      <c r="F18" s="1" t="s">
        <v>14560</v>
      </c>
      <c r="G18">
        <v>93.5</v>
      </c>
      <c r="H18">
        <v>92.5</v>
      </c>
      <c r="I18" t="s">
        <v>190</v>
      </c>
      <c r="J18" t="s">
        <v>190</v>
      </c>
      <c r="K18" t="s">
        <v>15065</v>
      </c>
    </row>
    <row r="19" spans="1:11" x14ac:dyDescent="0.25">
      <c r="A19" s="19" t="s">
        <v>14358</v>
      </c>
      <c r="B19" s="1">
        <v>827</v>
      </c>
      <c r="C19" s="1">
        <v>2</v>
      </c>
      <c r="D19" s="2" t="s">
        <v>15040</v>
      </c>
      <c r="E19" t="s">
        <v>14556</v>
      </c>
      <c r="F19" s="1" t="s">
        <v>14560</v>
      </c>
      <c r="G19">
        <v>97.2</v>
      </c>
      <c r="H19">
        <v>97.8</v>
      </c>
      <c r="I19">
        <v>97.6</v>
      </c>
      <c r="J19">
        <v>97.7</v>
      </c>
      <c r="K19" t="s">
        <v>15059</v>
      </c>
    </row>
    <row r="20" spans="1:11" x14ac:dyDescent="0.25">
      <c r="A20" s="19" t="s">
        <v>13448</v>
      </c>
      <c r="B20" s="1">
        <v>795</v>
      </c>
      <c r="C20" s="1">
        <v>1</v>
      </c>
      <c r="D20" s="2">
        <v>254</v>
      </c>
      <c r="E20" t="s">
        <v>14556</v>
      </c>
      <c r="F20" s="1" t="s">
        <v>14560</v>
      </c>
      <c r="G20">
        <v>100</v>
      </c>
      <c r="H20">
        <v>100</v>
      </c>
      <c r="I20">
        <v>97</v>
      </c>
      <c r="J20">
        <v>98.1</v>
      </c>
      <c r="K20" t="s">
        <v>15059</v>
      </c>
    </row>
    <row r="21" spans="1:11" x14ac:dyDescent="0.25">
      <c r="A21" s="19" t="s">
        <v>13329</v>
      </c>
      <c r="B21" s="1">
        <v>419</v>
      </c>
      <c r="C21" s="1">
        <v>1</v>
      </c>
      <c r="D21" s="2">
        <v>30</v>
      </c>
      <c r="E21" t="s">
        <v>14556</v>
      </c>
      <c r="F21" s="1" t="s">
        <v>14560</v>
      </c>
      <c r="G21">
        <v>100</v>
      </c>
      <c r="H21">
        <v>100</v>
      </c>
      <c r="I21">
        <v>97.4</v>
      </c>
      <c r="J21">
        <v>97.9</v>
      </c>
      <c r="K21" t="s">
        <v>15059</v>
      </c>
    </row>
    <row r="22" spans="1:11" x14ac:dyDescent="0.25">
      <c r="A22" s="19" t="s">
        <v>29</v>
      </c>
      <c r="B22" s="1">
        <v>407</v>
      </c>
      <c r="C22" s="1">
        <v>1</v>
      </c>
      <c r="D22" s="2" t="s">
        <v>190</v>
      </c>
      <c r="E22" t="s">
        <v>14556</v>
      </c>
      <c r="F22" s="1" t="s">
        <v>14560</v>
      </c>
      <c r="G22">
        <v>96.1</v>
      </c>
      <c r="H22">
        <v>95.7</v>
      </c>
      <c r="I22" t="s">
        <v>14570</v>
      </c>
      <c r="J22" t="s">
        <v>12438</v>
      </c>
      <c r="K22" t="s">
        <v>15060</v>
      </c>
    </row>
    <row r="23" spans="1:11" x14ac:dyDescent="0.25">
      <c r="A23" s="19" t="s">
        <v>14242</v>
      </c>
      <c r="B23" s="1">
        <v>1037</v>
      </c>
      <c r="C23" s="1">
        <v>1</v>
      </c>
      <c r="D23" s="2">
        <v>689</v>
      </c>
      <c r="E23" t="s">
        <v>14556</v>
      </c>
      <c r="F23" s="1" t="s">
        <v>14560</v>
      </c>
      <c r="G23">
        <v>100</v>
      </c>
      <c r="H23">
        <v>99.9</v>
      </c>
      <c r="I23">
        <v>99.1</v>
      </c>
      <c r="J23">
        <v>99.7</v>
      </c>
      <c r="K23" t="s">
        <v>15059</v>
      </c>
    </row>
    <row r="24" spans="1:11" x14ac:dyDescent="0.25">
      <c r="A24" s="19" t="s">
        <v>63</v>
      </c>
      <c r="B24" s="1">
        <v>612</v>
      </c>
      <c r="C24" s="1">
        <v>1</v>
      </c>
      <c r="D24" s="2">
        <v>41</v>
      </c>
      <c r="E24" t="s">
        <v>14556</v>
      </c>
      <c r="F24" s="1" t="s">
        <v>14560</v>
      </c>
      <c r="G24">
        <v>100</v>
      </c>
      <c r="H24">
        <v>98.9</v>
      </c>
      <c r="I24">
        <v>98.8</v>
      </c>
      <c r="J24">
        <v>99.3</v>
      </c>
      <c r="K24" t="s">
        <v>15060</v>
      </c>
    </row>
    <row r="25" spans="1:11" x14ac:dyDescent="0.25">
      <c r="A25" s="19" t="s">
        <v>13909</v>
      </c>
      <c r="B25" s="1">
        <v>514</v>
      </c>
      <c r="C25" s="1">
        <v>1</v>
      </c>
      <c r="D25" s="2">
        <v>304</v>
      </c>
      <c r="E25" t="s">
        <v>14556</v>
      </c>
      <c r="F25" s="1" t="s">
        <v>14560</v>
      </c>
      <c r="G25">
        <v>99.3</v>
      </c>
      <c r="H25">
        <v>99.4</v>
      </c>
      <c r="I25">
        <v>98.5</v>
      </c>
      <c r="J25">
        <v>99.2</v>
      </c>
      <c r="K25" t="s">
        <v>15059</v>
      </c>
    </row>
    <row r="26" spans="1:11" x14ac:dyDescent="0.25">
      <c r="A26" s="19" t="s">
        <v>14235</v>
      </c>
      <c r="B26" s="1">
        <v>419</v>
      </c>
      <c r="C26" s="1">
        <v>1</v>
      </c>
      <c r="D26" s="2">
        <v>274</v>
      </c>
      <c r="E26" t="s">
        <v>14556</v>
      </c>
      <c r="F26" s="1" t="s">
        <v>14560</v>
      </c>
      <c r="G26">
        <v>100</v>
      </c>
      <c r="H26">
        <v>98.6</v>
      </c>
      <c r="I26">
        <v>98.5</v>
      </c>
      <c r="J26">
        <v>99.5</v>
      </c>
      <c r="K26" t="s">
        <v>15059</v>
      </c>
    </row>
    <row r="27" spans="1:11" x14ac:dyDescent="0.25">
      <c r="A27" s="19" t="s">
        <v>13620</v>
      </c>
      <c r="B27" s="1">
        <v>683</v>
      </c>
      <c r="C27" s="1">
        <v>1</v>
      </c>
      <c r="D27" s="2">
        <v>324</v>
      </c>
      <c r="E27" t="s">
        <v>14556</v>
      </c>
      <c r="F27" s="1" t="s">
        <v>14560</v>
      </c>
      <c r="G27">
        <v>97.1</v>
      </c>
      <c r="H27">
        <v>98.4</v>
      </c>
      <c r="I27">
        <v>95.7</v>
      </c>
      <c r="J27">
        <v>97.7</v>
      </c>
      <c r="K27" t="s">
        <v>15059</v>
      </c>
    </row>
    <row r="28" spans="1:11" x14ac:dyDescent="0.25">
      <c r="A28" s="19" t="s">
        <v>13258</v>
      </c>
      <c r="B28" s="1">
        <v>825</v>
      </c>
      <c r="C28" s="1">
        <v>1</v>
      </c>
      <c r="D28" s="2">
        <v>758</v>
      </c>
      <c r="E28" t="s">
        <v>14556</v>
      </c>
      <c r="F28" s="1" t="s">
        <v>14560</v>
      </c>
      <c r="G28">
        <v>97.9</v>
      </c>
      <c r="H28">
        <v>98.1</v>
      </c>
      <c r="I28">
        <v>100</v>
      </c>
      <c r="J28">
        <v>100</v>
      </c>
      <c r="K28" t="s">
        <v>15059</v>
      </c>
    </row>
    <row r="29" spans="1:11" x14ac:dyDescent="0.25">
      <c r="A29" s="19" t="s">
        <v>13997</v>
      </c>
      <c r="B29" s="1">
        <v>984</v>
      </c>
      <c r="C29" s="1">
        <v>2</v>
      </c>
      <c r="D29" s="27">
        <v>863867</v>
      </c>
      <c r="E29" t="s">
        <v>14556</v>
      </c>
      <c r="F29" s="1" t="s">
        <v>14560</v>
      </c>
      <c r="G29">
        <v>99.6</v>
      </c>
      <c r="H29">
        <v>99.5</v>
      </c>
      <c r="I29">
        <v>100</v>
      </c>
      <c r="J29">
        <v>99.1</v>
      </c>
      <c r="K29" t="s">
        <v>15059</v>
      </c>
    </row>
    <row r="30" spans="1:11" x14ac:dyDescent="0.25">
      <c r="A30" s="19" t="s">
        <v>10</v>
      </c>
      <c r="B30" s="1">
        <v>643</v>
      </c>
      <c r="C30" s="1">
        <v>1</v>
      </c>
      <c r="D30" s="2">
        <v>443</v>
      </c>
      <c r="E30" t="s">
        <v>14556</v>
      </c>
      <c r="F30" s="1" t="s">
        <v>14560</v>
      </c>
      <c r="G30">
        <v>99.8</v>
      </c>
      <c r="H30">
        <v>99.6</v>
      </c>
      <c r="I30">
        <v>99.5</v>
      </c>
      <c r="J30">
        <v>99.8</v>
      </c>
      <c r="K30" t="s">
        <v>15060</v>
      </c>
    </row>
    <row r="31" spans="1:11" x14ac:dyDescent="0.25">
      <c r="A31" s="19" t="s">
        <v>13940</v>
      </c>
      <c r="B31" s="1">
        <v>1137</v>
      </c>
      <c r="C31" s="1">
        <v>1</v>
      </c>
      <c r="D31" s="2">
        <v>41</v>
      </c>
      <c r="E31" t="s">
        <v>14556</v>
      </c>
      <c r="F31" s="1" t="s">
        <v>14560</v>
      </c>
      <c r="G31">
        <v>93.5</v>
      </c>
      <c r="H31">
        <v>96.7</v>
      </c>
      <c r="I31">
        <v>98.9</v>
      </c>
      <c r="J31">
        <v>99.6</v>
      </c>
      <c r="K31" t="s">
        <v>15059</v>
      </c>
    </row>
    <row r="32" spans="1:11" x14ac:dyDescent="0.25">
      <c r="A32" s="19" t="s">
        <v>30</v>
      </c>
      <c r="B32" s="1">
        <v>500</v>
      </c>
      <c r="C32" s="1">
        <v>1</v>
      </c>
      <c r="D32" s="2">
        <v>291</v>
      </c>
      <c r="E32" t="s">
        <v>14556</v>
      </c>
      <c r="F32" s="1" t="s">
        <v>14560</v>
      </c>
      <c r="G32">
        <v>100</v>
      </c>
      <c r="H32">
        <v>99.9</v>
      </c>
      <c r="I32">
        <v>99</v>
      </c>
      <c r="J32">
        <v>99.5</v>
      </c>
      <c r="K32" t="s">
        <v>15060</v>
      </c>
    </row>
    <row r="33" spans="1:11" x14ac:dyDescent="0.25">
      <c r="A33" s="19" t="s">
        <v>14081</v>
      </c>
      <c r="B33" s="1">
        <v>490</v>
      </c>
      <c r="C33" s="1">
        <v>1</v>
      </c>
      <c r="D33" s="2">
        <v>397</v>
      </c>
      <c r="E33" t="s">
        <v>14556</v>
      </c>
      <c r="F33" s="1" t="s">
        <v>14560</v>
      </c>
      <c r="G33">
        <v>97.4</v>
      </c>
      <c r="H33">
        <v>98.4</v>
      </c>
      <c r="I33">
        <v>100</v>
      </c>
      <c r="J33">
        <v>92.1</v>
      </c>
      <c r="K33" t="s">
        <v>15059</v>
      </c>
    </row>
    <row r="34" spans="1:11" x14ac:dyDescent="0.25">
      <c r="A34" s="19" t="s">
        <v>31</v>
      </c>
      <c r="B34" s="1">
        <v>692</v>
      </c>
      <c r="C34" s="1">
        <v>1</v>
      </c>
      <c r="D34" s="2">
        <v>524</v>
      </c>
      <c r="E34" t="s">
        <v>14556</v>
      </c>
      <c r="F34" s="1" t="s">
        <v>14560</v>
      </c>
      <c r="G34">
        <v>98.2</v>
      </c>
      <c r="H34">
        <v>98.9</v>
      </c>
      <c r="I34">
        <v>97.5</v>
      </c>
      <c r="J34">
        <v>99.2</v>
      </c>
      <c r="K34" t="s">
        <v>15060</v>
      </c>
    </row>
    <row r="35" spans="1:11" x14ac:dyDescent="0.25">
      <c r="A35" s="19" t="s">
        <v>14020</v>
      </c>
      <c r="B35" s="1">
        <v>494</v>
      </c>
      <c r="C35" s="1">
        <v>2</v>
      </c>
      <c r="D35" s="2" t="s">
        <v>15039</v>
      </c>
      <c r="E35" t="s">
        <v>14556</v>
      </c>
      <c r="F35" s="1" t="s">
        <v>14560</v>
      </c>
      <c r="G35">
        <v>100</v>
      </c>
      <c r="H35">
        <v>99.8</v>
      </c>
      <c r="I35">
        <v>98.4</v>
      </c>
      <c r="J35">
        <v>94.3</v>
      </c>
      <c r="K35" t="s">
        <v>15059</v>
      </c>
    </row>
    <row r="36" spans="1:11" x14ac:dyDescent="0.25">
      <c r="A36" s="19" t="s">
        <v>14423</v>
      </c>
      <c r="B36" s="1">
        <v>896</v>
      </c>
      <c r="C36" s="1">
        <v>1</v>
      </c>
      <c r="D36" s="2">
        <v>133</v>
      </c>
      <c r="E36" t="s">
        <v>14556</v>
      </c>
      <c r="F36" s="1" t="s">
        <v>14560</v>
      </c>
      <c r="G36">
        <v>100</v>
      </c>
      <c r="H36">
        <v>100</v>
      </c>
      <c r="I36">
        <v>99.5</v>
      </c>
      <c r="J36">
        <v>98.6</v>
      </c>
      <c r="K36" t="s">
        <v>15059</v>
      </c>
    </row>
    <row r="37" spans="1:11" x14ac:dyDescent="0.25">
      <c r="A37" s="19" t="s">
        <v>13341</v>
      </c>
      <c r="B37" s="1">
        <v>1723</v>
      </c>
      <c r="C37" s="1">
        <v>1</v>
      </c>
      <c r="D37" s="2">
        <v>304</v>
      </c>
      <c r="E37" t="s">
        <v>14556</v>
      </c>
      <c r="F37" s="1" t="s">
        <v>14560</v>
      </c>
      <c r="G37">
        <v>98.3</v>
      </c>
      <c r="H37">
        <v>98.9</v>
      </c>
      <c r="I37">
        <v>98.6</v>
      </c>
      <c r="J37">
        <v>98.6</v>
      </c>
      <c r="K37" t="s">
        <v>15059</v>
      </c>
    </row>
    <row r="38" spans="1:11" x14ac:dyDescent="0.25">
      <c r="A38" s="19" t="s">
        <v>13587</v>
      </c>
      <c r="B38" s="1">
        <v>830</v>
      </c>
      <c r="C38" s="1">
        <v>1</v>
      </c>
      <c r="D38" s="2">
        <v>805</v>
      </c>
      <c r="E38" t="s">
        <v>14556</v>
      </c>
      <c r="F38" s="1" t="s">
        <v>14560</v>
      </c>
      <c r="G38">
        <v>98.4</v>
      </c>
      <c r="H38">
        <v>98.8</v>
      </c>
      <c r="I38" t="s">
        <v>190</v>
      </c>
      <c r="J38" t="s">
        <v>190</v>
      </c>
      <c r="K38" t="s">
        <v>15059</v>
      </c>
    </row>
    <row r="39" spans="1:11" x14ac:dyDescent="0.25">
      <c r="A39" s="19" t="s">
        <v>14260</v>
      </c>
      <c r="B39" s="1">
        <v>1718</v>
      </c>
      <c r="C39" s="1">
        <v>1</v>
      </c>
      <c r="D39" s="2">
        <v>546</v>
      </c>
      <c r="E39" t="s">
        <v>14556</v>
      </c>
      <c r="F39" s="1" t="s">
        <v>14560</v>
      </c>
      <c r="G39">
        <v>100</v>
      </c>
      <c r="H39">
        <v>99.9</v>
      </c>
      <c r="I39">
        <v>99.2</v>
      </c>
      <c r="J39">
        <v>99.7</v>
      </c>
      <c r="K39" t="s">
        <v>15059</v>
      </c>
    </row>
    <row r="40" spans="1:11" x14ac:dyDescent="0.25">
      <c r="A40" s="19" t="s">
        <v>13904</v>
      </c>
      <c r="B40" s="1">
        <v>557</v>
      </c>
      <c r="C40" s="1">
        <v>1</v>
      </c>
      <c r="D40" s="2">
        <v>408</v>
      </c>
      <c r="E40" t="s">
        <v>14556</v>
      </c>
      <c r="F40" s="1" t="s">
        <v>14560</v>
      </c>
      <c r="G40">
        <v>99.2</v>
      </c>
      <c r="H40">
        <v>99.3</v>
      </c>
      <c r="I40">
        <v>99.3</v>
      </c>
      <c r="J40">
        <v>99.5</v>
      </c>
      <c r="K40" t="s">
        <v>15059</v>
      </c>
    </row>
    <row r="41" spans="1:11" x14ac:dyDescent="0.25">
      <c r="A41" s="19" t="s">
        <v>13251</v>
      </c>
      <c r="B41" s="1">
        <v>405</v>
      </c>
      <c r="C41" s="1">
        <v>1</v>
      </c>
      <c r="D41" s="2">
        <v>373</v>
      </c>
      <c r="E41" t="s">
        <v>14556</v>
      </c>
      <c r="F41" s="1" t="s">
        <v>14560</v>
      </c>
      <c r="G41">
        <v>98.6</v>
      </c>
      <c r="H41">
        <v>98.5</v>
      </c>
      <c r="I41" t="s">
        <v>190</v>
      </c>
      <c r="J41" t="s">
        <v>190</v>
      </c>
      <c r="K41" t="s">
        <v>15059</v>
      </c>
    </row>
    <row r="42" spans="1:11" x14ac:dyDescent="0.25">
      <c r="A42" s="19" t="s">
        <v>14041</v>
      </c>
      <c r="B42" s="1">
        <v>1350</v>
      </c>
      <c r="C42" s="1">
        <v>2</v>
      </c>
      <c r="D42" s="27">
        <v>419423</v>
      </c>
      <c r="E42" t="s">
        <v>14556</v>
      </c>
      <c r="F42" s="1" t="s">
        <v>14560</v>
      </c>
      <c r="G42">
        <v>100</v>
      </c>
      <c r="H42">
        <v>99.6</v>
      </c>
      <c r="I42">
        <v>99</v>
      </c>
      <c r="J42">
        <v>99.4</v>
      </c>
      <c r="K42" t="s">
        <v>15059</v>
      </c>
    </row>
    <row r="43" spans="1:11" x14ac:dyDescent="0.25">
      <c r="A43" s="19" t="s">
        <v>13953</v>
      </c>
      <c r="B43" s="1">
        <v>1600</v>
      </c>
      <c r="C43" s="1">
        <v>1</v>
      </c>
      <c r="D43" s="2">
        <v>1513</v>
      </c>
      <c r="E43" t="s">
        <v>14556</v>
      </c>
      <c r="F43" s="1" t="s">
        <v>14560</v>
      </c>
      <c r="G43">
        <v>99.8</v>
      </c>
      <c r="H43">
        <v>99.5</v>
      </c>
      <c r="I43">
        <v>98.7</v>
      </c>
      <c r="J43">
        <v>99.6</v>
      </c>
      <c r="K43" t="s">
        <v>15059</v>
      </c>
    </row>
    <row r="44" spans="1:11" x14ac:dyDescent="0.25">
      <c r="A44" s="19" t="s">
        <v>14411</v>
      </c>
      <c r="B44" s="1">
        <v>229</v>
      </c>
      <c r="C44" s="1">
        <v>1</v>
      </c>
      <c r="D44" s="2" t="s">
        <v>190</v>
      </c>
      <c r="E44" t="s">
        <v>14556</v>
      </c>
      <c r="F44" s="1" t="s">
        <v>14560</v>
      </c>
      <c r="G44">
        <v>99.1</v>
      </c>
      <c r="H44">
        <v>99.1</v>
      </c>
      <c r="I44" t="s">
        <v>14570</v>
      </c>
      <c r="J44" t="s">
        <v>12438</v>
      </c>
      <c r="K44" t="s">
        <v>15059</v>
      </c>
    </row>
    <row r="45" spans="1:11" x14ac:dyDescent="0.25">
      <c r="A45" s="19" t="s">
        <v>32</v>
      </c>
      <c r="B45" s="1">
        <v>529</v>
      </c>
      <c r="C45" s="1">
        <v>1</v>
      </c>
      <c r="D45" s="2">
        <v>478</v>
      </c>
      <c r="E45" t="s">
        <v>14556</v>
      </c>
      <c r="F45" s="1" t="s">
        <v>14560</v>
      </c>
      <c r="G45">
        <v>99.6</v>
      </c>
      <c r="H45">
        <v>99.8</v>
      </c>
      <c r="I45">
        <v>97.6</v>
      </c>
      <c r="J45">
        <v>99.2</v>
      </c>
      <c r="K45" t="s">
        <v>15060</v>
      </c>
    </row>
    <row r="46" spans="1:11" x14ac:dyDescent="0.25">
      <c r="A46" s="19" t="s">
        <v>14441</v>
      </c>
      <c r="B46" s="1">
        <v>1688</v>
      </c>
      <c r="C46" s="1">
        <v>1</v>
      </c>
      <c r="D46" s="2">
        <v>619</v>
      </c>
      <c r="E46" t="s">
        <v>14556</v>
      </c>
      <c r="F46" s="1" t="s">
        <v>14560</v>
      </c>
      <c r="G46">
        <v>99.8</v>
      </c>
      <c r="H46">
        <v>99.7</v>
      </c>
      <c r="I46">
        <v>99</v>
      </c>
      <c r="J46">
        <v>99.6</v>
      </c>
      <c r="K46" t="s">
        <v>15059</v>
      </c>
    </row>
    <row r="47" spans="1:11" x14ac:dyDescent="0.25">
      <c r="A47" s="19" t="s">
        <v>13982</v>
      </c>
      <c r="B47" s="1">
        <v>1119</v>
      </c>
      <c r="C47" s="1">
        <v>1</v>
      </c>
      <c r="D47" s="2">
        <v>432</v>
      </c>
      <c r="E47" t="s">
        <v>14556</v>
      </c>
      <c r="F47" s="1" t="s">
        <v>14560</v>
      </c>
      <c r="G47">
        <v>97.1</v>
      </c>
      <c r="H47">
        <v>95</v>
      </c>
      <c r="I47">
        <v>98.8</v>
      </c>
      <c r="J47">
        <v>99.4</v>
      </c>
      <c r="K47" t="s">
        <v>15059</v>
      </c>
    </row>
    <row r="48" spans="1:11" x14ac:dyDescent="0.25">
      <c r="A48" s="19" t="s">
        <v>13712</v>
      </c>
      <c r="B48" s="1">
        <v>1290</v>
      </c>
      <c r="C48" s="1">
        <v>1</v>
      </c>
      <c r="D48" s="2">
        <v>472</v>
      </c>
      <c r="E48" t="s">
        <v>14556</v>
      </c>
      <c r="F48" s="1" t="s">
        <v>14560</v>
      </c>
      <c r="G48">
        <v>99.8</v>
      </c>
      <c r="H48">
        <v>98.7</v>
      </c>
      <c r="I48">
        <v>98.4</v>
      </c>
      <c r="J48">
        <v>98.8</v>
      </c>
      <c r="K48" t="s">
        <v>15059</v>
      </c>
    </row>
    <row r="49" spans="1:11" x14ac:dyDescent="0.25">
      <c r="A49" s="19" t="s">
        <v>13980</v>
      </c>
      <c r="B49" s="1">
        <v>1103</v>
      </c>
      <c r="C49" s="1">
        <v>2</v>
      </c>
      <c r="D49" s="2" t="s">
        <v>15038</v>
      </c>
      <c r="E49" t="s">
        <v>14556</v>
      </c>
      <c r="F49" s="1" t="s">
        <v>14560</v>
      </c>
      <c r="G49">
        <v>100</v>
      </c>
      <c r="H49">
        <v>98.5</v>
      </c>
      <c r="I49">
        <v>97.6</v>
      </c>
      <c r="J49">
        <v>98.2</v>
      </c>
      <c r="K49" t="s">
        <v>15059</v>
      </c>
    </row>
    <row r="50" spans="1:11" x14ac:dyDescent="0.25">
      <c r="A50" s="19" t="s">
        <v>33</v>
      </c>
      <c r="B50" s="1">
        <v>306</v>
      </c>
      <c r="C50" s="1">
        <v>1</v>
      </c>
      <c r="D50" s="2">
        <v>284</v>
      </c>
      <c r="E50" t="s">
        <v>14556</v>
      </c>
      <c r="F50" s="1" t="s">
        <v>14560</v>
      </c>
      <c r="G50">
        <v>92.3</v>
      </c>
      <c r="H50">
        <v>95.6</v>
      </c>
      <c r="I50">
        <v>100</v>
      </c>
      <c r="J50">
        <v>100</v>
      </c>
      <c r="K50" t="s">
        <v>15060</v>
      </c>
    </row>
    <row r="51" spans="1:11" x14ac:dyDescent="0.25">
      <c r="A51" s="19" t="s">
        <v>34</v>
      </c>
      <c r="B51" s="1">
        <v>904</v>
      </c>
      <c r="C51" s="1">
        <v>1</v>
      </c>
      <c r="D51" s="2">
        <v>270</v>
      </c>
      <c r="E51" t="s">
        <v>14556</v>
      </c>
      <c r="F51" s="1" t="s">
        <v>14560</v>
      </c>
      <c r="G51">
        <v>100</v>
      </c>
      <c r="H51">
        <v>99.7</v>
      </c>
      <c r="I51">
        <v>98.9</v>
      </c>
      <c r="J51">
        <v>99.6</v>
      </c>
      <c r="K51" t="s">
        <v>15060</v>
      </c>
    </row>
    <row r="52" spans="1:11" x14ac:dyDescent="0.25">
      <c r="A52" s="19" t="s">
        <v>13</v>
      </c>
      <c r="B52" s="1">
        <v>249</v>
      </c>
      <c r="C52" s="1">
        <v>1</v>
      </c>
      <c r="D52" s="2">
        <v>67</v>
      </c>
      <c r="E52" t="s">
        <v>14556</v>
      </c>
      <c r="F52" s="1" t="s">
        <v>14560</v>
      </c>
      <c r="G52">
        <v>100</v>
      </c>
      <c r="H52">
        <v>99.4</v>
      </c>
      <c r="I52">
        <v>100</v>
      </c>
      <c r="J52">
        <v>100</v>
      </c>
      <c r="K52" t="s">
        <v>15060</v>
      </c>
    </row>
    <row r="53" spans="1:11" x14ac:dyDescent="0.25">
      <c r="A53" s="19" t="s">
        <v>35</v>
      </c>
      <c r="B53" s="1">
        <v>193</v>
      </c>
      <c r="C53" s="1">
        <v>1</v>
      </c>
      <c r="D53" s="2">
        <v>72</v>
      </c>
      <c r="E53" t="s">
        <v>14556</v>
      </c>
      <c r="F53" s="1" t="s">
        <v>14560</v>
      </c>
      <c r="G53">
        <v>96.8</v>
      </c>
      <c r="H53">
        <v>98.9</v>
      </c>
      <c r="I53">
        <v>97.3</v>
      </c>
      <c r="J53">
        <v>98.8</v>
      </c>
      <c r="K53" t="s">
        <v>15060</v>
      </c>
    </row>
    <row r="54" spans="1:11" x14ac:dyDescent="0.25">
      <c r="A54" s="19" t="s">
        <v>13565</v>
      </c>
      <c r="B54" s="1">
        <v>2371</v>
      </c>
      <c r="C54" s="1">
        <v>1</v>
      </c>
      <c r="D54" s="2">
        <v>1087</v>
      </c>
      <c r="E54" t="s">
        <v>14556</v>
      </c>
      <c r="F54" s="1" t="s">
        <v>14560</v>
      </c>
      <c r="G54">
        <v>99.2</v>
      </c>
      <c r="H54">
        <v>99.2</v>
      </c>
      <c r="I54">
        <v>98.4</v>
      </c>
      <c r="J54">
        <v>98.9</v>
      </c>
      <c r="K54" t="s">
        <v>15059</v>
      </c>
    </row>
    <row r="55" spans="1:11" x14ac:dyDescent="0.25">
      <c r="A55" s="19" t="s">
        <v>13873</v>
      </c>
      <c r="B55" s="1">
        <v>933</v>
      </c>
      <c r="C55" s="1">
        <v>1</v>
      </c>
      <c r="D55" s="2">
        <v>827</v>
      </c>
      <c r="E55" t="s">
        <v>14556</v>
      </c>
      <c r="F55" s="1" t="s">
        <v>14560</v>
      </c>
      <c r="G55">
        <v>100</v>
      </c>
      <c r="H55">
        <v>99.7</v>
      </c>
      <c r="I55">
        <v>96.9</v>
      </c>
      <c r="J55">
        <v>99</v>
      </c>
      <c r="K55" t="s">
        <v>15059</v>
      </c>
    </row>
    <row r="56" spans="1:11" x14ac:dyDescent="0.25">
      <c r="A56" s="19" t="s">
        <v>14405</v>
      </c>
      <c r="B56" s="1">
        <v>428</v>
      </c>
      <c r="C56" s="1">
        <v>1</v>
      </c>
      <c r="D56" s="2">
        <v>115</v>
      </c>
      <c r="E56" t="s">
        <v>14556</v>
      </c>
      <c r="F56" s="1" t="s">
        <v>14560</v>
      </c>
      <c r="G56">
        <v>99</v>
      </c>
      <c r="H56">
        <v>99</v>
      </c>
      <c r="I56">
        <v>98.3</v>
      </c>
      <c r="J56">
        <v>98.6</v>
      </c>
      <c r="K56" t="s">
        <v>15059</v>
      </c>
    </row>
    <row r="57" spans="1:11" x14ac:dyDescent="0.25">
      <c r="A57" s="19" t="s">
        <v>14055</v>
      </c>
      <c r="B57" s="1">
        <v>1422</v>
      </c>
      <c r="C57" s="1">
        <v>1</v>
      </c>
      <c r="D57" s="2">
        <v>762</v>
      </c>
      <c r="E57" t="s">
        <v>14556</v>
      </c>
      <c r="F57" s="1" t="s">
        <v>14560</v>
      </c>
      <c r="G57">
        <v>99.9</v>
      </c>
      <c r="H57">
        <v>99.8</v>
      </c>
      <c r="I57">
        <v>98</v>
      </c>
      <c r="J57">
        <v>98.6</v>
      </c>
      <c r="K57" t="s">
        <v>15059</v>
      </c>
    </row>
    <row r="58" spans="1:11" x14ac:dyDescent="0.25">
      <c r="A58" s="19" t="s">
        <v>13382</v>
      </c>
      <c r="B58" s="1">
        <v>283</v>
      </c>
      <c r="C58" s="1">
        <v>1</v>
      </c>
      <c r="D58" s="2" t="s">
        <v>190</v>
      </c>
      <c r="E58" t="s">
        <v>14556</v>
      </c>
      <c r="F58" s="1" t="s">
        <v>14560</v>
      </c>
      <c r="G58">
        <v>96.3</v>
      </c>
      <c r="H58">
        <v>98.6</v>
      </c>
      <c r="I58" t="s">
        <v>14570</v>
      </c>
      <c r="J58" t="s">
        <v>12438</v>
      </c>
      <c r="K58" t="s">
        <v>15062</v>
      </c>
    </row>
    <row r="59" spans="1:11" x14ac:dyDescent="0.25">
      <c r="A59" s="19" t="s">
        <v>3</v>
      </c>
      <c r="B59" s="1">
        <v>606</v>
      </c>
      <c r="C59" s="1">
        <v>1</v>
      </c>
      <c r="D59" s="2">
        <v>351</v>
      </c>
      <c r="E59" t="s">
        <v>14556</v>
      </c>
      <c r="F59" s="1" t="s">
        <v>14560</v>
      </c>
      <c r="G59">
        <v>100</v>
      </c>
      <c r="H59">
        <v>99.7</v>
      </c>
      <c r="I59">
        <v>94.5</v>
      </c>
      <c r="J59">
        <v>95.4</v>
      </c>
      <c r="K59" t="s">
        <v>15060</v>
      </c>
    </row>
    <row r="60" spans="1:11" x14ac:dyDescent="0.25">
      <c r="A60" s="19" t="s">
        <v>14297</v>
      </c>
      <c r="B60" s="1">
        <v>454</v>
      </c>
      <c r="C60" s="1">
        <v>1</v>
      </c>
      <c r="D60" s="2">
        <v>179</v>
      </c>
      <c r="E60" t="s">
        <v>14556</v>
      </c>
      <c r="F60" s="1" t="s">
        <v>14560</v>
      </c>
      <c r="G60">
        <v>100</v>
      </c>
      <c r="H60">
        <v>100</v>
      </c>
      <c r="I60">
        <v>98.1</v>
      </c>
      <c r="J60">
        <v>99.4</v>
      </c>
      <c r="K60" t="s">
        <v>15059</v>
      </c>
    </row>
    <row r="61" spans="1:11" x14ac:dyDescent="0.25">
      <c r="A61" s="19" t="s">
        <v>13842</v>
      </c>
      <c r="B61" s="1">
        <v>105</v>
      </c>
      <c r="C61" s="1">
        <v>1</v>
      </c>
      <c r="D61" s="2">
        <v>67</v>
      </c>
      <c r="E61" t="s">
        <v>14556</v>
      </c>
      <c r="F61" s="1" t="s">
        <v>14560</v>
      </c>
      <c r="G61">
        <v>100</v>
      </c>
      <c r="H61">
        <v>100</v>
      </c>
      <c r="I61">
        <v>100</v>
      </c>
      <c r="J61">
        <v>100</v>
      </c>
      <c r="K61" t="s">
        <v>15059</v>
      </c>
    </row>
    <row r="62" spans="1:11" x14ac:dyDescent="0.25">
      <c r="A62" s="19" t="s">
        <v>13494</v>
      </c>
      <c r="B62" s="1">
        <v>665</v>
      </c>
      <c r="C62" s="1">
        <v>1</v>
      </c>
      <c r="D62" s="2">
        <v>469</v>
      </c>
      <c r="E62" t="s">
        <v>14556</v>
      </c>
      <c r="F62" s="1" t="s">
        <v>14560</v>
      </c>
      <c r="G62">
        <v>99.1</v>
      </c>
      <c r="H62">
        <v>99.3</v>
      </c>
      <c r="I62">
        <v>96.7</v>
      </c>
      <c r="J62">
        <v>98.9</v>
      </c>
      <c r="K62" t="s">
        <v>15059</v>
      </c>
    </row>
    <row r="63" spans="1:11" x14ac:dyDescent="0.25">
      <c r="A63" s="19" t="s">
        <v>13526</v>
      </c>
      <c r="B63" s="1">
        <v>743</v>
      </c>
      <c r="C63" s="1">
        <v>2</v>
      </c>
      <c r="D63" s="2" t="s">
        <v>15037</v>
      </c>
      <c r="E63" t="s">
        <v>14556</v>
      </c>
      <c r="F63" s="1" t="s">
        <v>14560</v>
      </c>
      <c r="G63">
        <v>100</v>
      </c>
      <c r="H63">
        <v>99.7</v>
      </c>
      <c r="I63">
        <v>99.1</v>
      </c>
      <c r="J63">
        <v>99.7</v>
      </c>
      <c r="K63" t="s">
        <v>15059</v>
      </c>
    </row>
    <row r="64" spans="1:11" x14ac:dyDescent="0.25">
      <c r="A64" s="19" t="s">
        <v>14458</v>
      </c>
      <c r="B64" s="1">
        <v>537</v>
      </c>
      <c r="C64" s="1">
        <v>1</v>
      </c>
      <c r="D64" s="2">
        <v>260</v>
      </c>
      <c r="E64" t="s">
        <v>14556</v>
      </c>
      <c r="F64" s="1" t="s">
        <v>14560</v>
      </c>
      <c r="G64">
        <v>98.8</v>
      </c>
      <c r="H64">
        <v>99.3</v>
      </c>
      <c r="I64">
        <v>98.1</v>
      </c>
      <c r="J64">
        <v>98.9</v>
      </c>
      <c r="K64" t="s">
        <v>15059</v>
      </c>
    </row>
    <row r="65" spans="1:11" x14ac:dyDescent="0.25">
      <c r="A65" s="19" t="s">
        <v>2</v>
      </c>
      <c r="B65" s="1">
        <v>856</v>
      </c>
      <c r="C65" s="1">
        <v>1</v>
      </c>
      <c r="D65" s="2">
        <v>585</v>
      </c>
      <c r="E65" t="s">
        <v>14556</v>
      </c>
      <c r="F65" s="1" t="s">
        <v>14560</v>
      </c>
      <c r="G65">
        <v>98.6</v>
      </c>
      <c r="H65">
        <v>99.1</v>
      </c>
      <c r="I65">
        <v>97.7</v>
      </c>
      <c r="J65">
        <v>99.2</v>
      </c>
      <c r="K65" t="s">
        <v>15060</v>
      </c>
    </row>
    <row r="66" spans="1:11" x14ac:dyDescent="0.25">
      <c r="A66" s="19" t="s">
        <v>4</v>
      </c>
      <c r="B66" s="1">
        <v>765</v>
      </c>
      <c r="C66" s="1">
        <v>2</v>
      </c>
      <c r="D66" s="2" t="s">
        <v>15036</v>
      </c>
      <c r="E66" t="s">
        <v>14556</v>
      </c>
      <c r="F66" s="1" t="s">
        <v>14560</v>
      </c>
      <c r="G66">
        <v>100</v>
      </c>
      <c r="H66">
        <v>99.9</v>
      </c>
      <c r="I66">
        <v>98.9</v>
      </c>
      <c r="J66">
        <v>99.2</v>
      </c>
      <c r="K66" t="s">
        <v>15060</v>
      </c>
    </row>
    <row r="67" spans="1:11" x14ac:dyDescent="0.25">
      <c r="A67" s="19" t="s">
        <v>14395</v>
      </c>
      <c r="B67" s="1">
        <v>1460</v>
      </c>
      <c r="C67" s="1">
        <v>2</v>
      </c>
      <c r="D67" s="27">
        <v>10351045</v>
      </c>
      <c r="E67" t="s">
        <v>14556</v>
      </c>
      <c r="F67" s="1" t="s">
        <v>14560</v>
      </c>
      <c r="G67">
        <v>100</v>
      </c>
      <c r="H67">
        <v>100</v>
      </c>
      <c r="I67">
        <v>99</v>
      </c>
      <c r="J67">
        <v>99.5</v>
      </c>
      <c r="K67" t="s">
        <v>15059</v>
      </c>
    </row>
    <row r="68" spans="1:11" x14ac:dyDescent="0.25">
      <c r="A68" s="19" t="s">
        <v>36</v>
      </c>
      <c r="B68" s="1">
        <v>1555</v>
      </c>
      <c r="C68" s="1">
        <v>1</v>
      </c>
      <c r="D68" s="2">
        <v>240</v>
      </c>
      <c r="E68" t="s">
        <v>14556</v>
      </c>
      <c r="F68" s="1" t="s">
        <v>14560</v>
      </c>
      <c r="G68">
        <v>100</v>
      </c>
      <c r="H68">
        <v>100</v>
      </c>
      <c r="I68">
        <v>98.9</v>
      </c>
      <c r="J68">
        <v>99.6</v>
      </c>
      <c r="K68" t="s">
        <v>15060</v>
      </c>
    </row>
    <row r="69" spans="1:11" x14ac:dyDescent="0.25">
      <c r="A69" s="19" t="s">
        <v>14444</v>
      </c>
      <c r="B69" s="1">
        <v>307</v>
      </c>
      <c r="C69" s="1">
        <v>1</v>
      </c>
      <c r="D69" s="2">
        <v>230</v>
      </c>
      <c r="E69" t="s">
        <v>14556</v>
      </c>
      <c r="F69" s="1" t="s">
        <v>14560</v>
      </c>
      <c r="G69">
        <v>100</v>
      </c>
      <c r="H69">
        <v>99.7</v>
      </c>
      <c r="I69">
        <v>100</v>
      </c>
      <c r="J69">
        <v>100</v>
      </c>
      <c r="K69" t="s">
        <v>15059</v>
      </c>
    </row>
    <row r="70" spans="1:11" x14ac:dyDescent="0.25">
      <c r="A70" s="19" t="s">
        <v>14169</v>
      </c>
      <c r="B70" s="1">
        <v>563</v>
      </c>
      <c r="C70" s="1">
        <v>1</v>
      </c>
      <c r="D70" s="2">
        <v>495</v>
      </c>
      <c r="E70" t="s">
        <v>14556</v>
      </c>
      <c r="F70" s="1" t="s">
        <v>14560</v>
      </c>
      <c r="G70">
        <v>99.2</v>
      </c>
      <c r="H70">
        <v>98.9</v>
      </c>
      <c r="I70">
        <v>84.6</v>
      </c>
      <c r="J70">
        <v>77.8</v>
      </c>
      <c r="K70" t="s">
        <v>15066</v>
      </c>
    </row>
    <row r="71" spans="1:11" x14ac:dyDescent="0.25">
      <c r="A71" s="19" t="s">
        <v>14471</v>
      </c>
      <c r="B71" s="1">
        <v>105</v>
      </c>
      <c r="C71" s="1">
        <v>1</v>
      </c>
      <c r="D71" s="2" t="s">
        <v>190</v>
      </c>
      <c r="E71" t="s">
        <v>15021</v>
      </c>
      <c r="F71" s="1" t="s">
        <v>14560</v>
      </c>
      <c r="G71">
        <v>100</v>
      </c>
      <c r="H71">
        <v>100</v>
      </c>
      <c r="I71" t="s">
        <v>14570</v>
      </c>
      <c r="J71" t="s">
        <v>12438</v>
      </c>
      <c r="K71" t="s">
        <v>15062</v>
      </c>
    </row>
    <row r="72" spans="1:11" x14ac:dyDescent="0.25">
      <c r="A72" s="19" t="s">
        <v>14336</v>
      </c>
      <c r="B72" s="1">
        <v>1142</v>
      </c>
      <c r="C72" s="1">
        <v>1</v>
      </c>
      <c r="D72" s="2">
        <v>1121</v>
      </c>
      <c r="E72" t="s">
        <v>14556</v>
      </c>
      <c r="F72" s="1" t="s">
        <v>14560</v>
      </c>
      <c r="G72">
        <v>99.5</v>
      </c>
      <c r="H72">
        <v>99.7</v>
      </c>
      <c r="I72" t="s">
        <v>190</v>
      </c>
      <c r="J72" t="s">
        <v>190</v>
      </c>
      <c r="K72" s="2" t="s">
        <v>15059</v>
      </c>
    </row>
    <row r="73" spans="1:11" x14ac:dyDescent="0.25">
      <c r="A73" s="19" t="s">
        <v>13481</v>
      </c>
      <c r="B73" s="1">
        <v>739</v>
      </c>
      <c r="C73" s="1">
        <v>1</v>
      </c>
      <c r="D73" s="2" t="s">
        <v>190</v>
      </c>
      <c r="E73" t="s">
        <v>14556</v>
      </c>
      <c r="F73" s="1" t="s">
        <v>14560</v>
      </c>
      <c r="G73">
        <v>99.2</v>
      </c>
      <c r="H73">
        <v>99.3</v>
      </c>
      <c r="I73" t="s">
        <v>14570</v>
      </c>
      <c r="J73" t="s">
        <v>12438</v>
      </c>
      <c r="K73" t="s">
        <v>15066</v>
      </c>
    </row>
    <row r="74" spans="1:11" x14ac:dyDescent="0.25">
      <c r="A74" s="19" t="s">
        <v>13611</v>
      </c>
      <c r="B74" s="1">
        <v>937</v>
      </c>
      <c r="C74" s="1">
        <v>1</v>
      </c>
      <c r="D74" s="2">
        <v>669</v>
      </c>
      <c r="E74" t="s">
        <v>14556</v>
      </c>
      <c r="F74" s="1" t="s">
        <v>14560</v>
      </c>
      <c r="G74">
        <v>98.5</v>
      </c>
      <c r="H74">
        <v>98.8</v>
      </c>
      <c r="I74">
        <v>99.2</v>
      </c>
      <c r="J74">
        <v>99.7</v>
      </c>
      <c r="K74" t="s">
        <v>15059</v>
      </c>
    </row>
    <row r="75" spans="1:11" x14ac:dyDescent="0.25">
      <c r="A75" s="19" t="s">
        <v>8</v>
      </c>
      <c r="B75" s="1">
        <v>799</v>
      </c>
      <c r="C75" s="1">
        <v>2</v>
      </c>
      <c r="D75" s="2" t="s">
        <v>15035</v>
      </c>
      <c r="E75" t="s">
        <v>14556</v>
      </c>
      <c r="F75" s="1" t="s">
        <v>14560</v>
      </c>
      <c r="G75">
        <v>97.3</v>
      </c>
      <c r="H75">
        <v>98</v>
      </c>
      <c r="I75">
        <v>96.8</v>
      </c>
      <c r="J75">
        <v>98.1</v>
      </c>
      <c r="K75" t="s">
        <v>15060</v>
      </c>
    </row>
    <row r="76" spans="1:11" x14ac:dyDescent="0.25">
      <c r="A76" s="19" t="s">
        <v>37</v>
      </c>
      <c r="B76" s="1">
        <v>270</v>
      </c>
      <c r="C76" s="1">
        <v>1</v>
      </c>
      <c r="D76" s="2">
        <v>83</v>
      </c>
      <c r="E76" t="s">
        <v>14556</v>
      </c>
      <c r="F76" s="1" t="s">
        <v>14560</v>
      </c>
      <c r="G76">
        <v>98.6</v>
      </c>
      <c r="H76">
        <v>99.5</v>
      </c>
      <c r="I76">
        <v>99.4</v>
      </c>
      <c r="J76">
        <v>99.8</v>
      </c>
      <c r="K76" t="s">
        <v>15060</v>
      </c>
    </row>
    <row r="77" spans="1:11" x14ac:dyDescent="0.25">
      <c r="A77" s="19" t="s">
        <v>38</v>
      </c>
      <c r="B77" s="1">
        <v>378</v>
      </c>
      <c r="C77" s="1">
        <v>1</v>
      </c>
      <c r="D77" s="2">
        <v>319</v>
      </c>
      <c r="E77" t="s">
        <v>14556</v>
      </c>
      <c r="F77" s="1" t="s">
        <v>14560</v>
      </c>
      <c r="G77">
        <v>95.1</v>
      </c>
      <c r="H77">
        <v>91.3</v>
      </c>
      <c r="I77">
        <v>100</v>
      </c>
      <c r="J77">
        <v>100</v>
      </c>
      <c r="K77" t="s">
        <v>15060</v>
      </c>
    </row>
    <row r="78" spans="1:11" x14ac:dyDescent="0.25">
      <c r="A78" s="19" t="s">
        <v>13774</v>
      </c>
      <c r="B78" s="1">
        <v>1043</v>
      </c>
      <c r="C78" s="1">
        <v>3</v>
      </c>
      <c r="D78" s="2" t="s">
        <v>15034</v>
      </c>
      <c r="E78" t="s">
        <v>14556</v>
      </c>
      <c r="F78" s="1" t="s">
        <v>14560</v>
      </c>
      <c r="G78">
        <v>98.4</v>
      </c>
      <c r="H78">
        <v>98.8</v>
      </c>
      <c r="I78">
        <v>97.7</v>
      </c>
      <c r="J78">
        <v>97.1</v>
      </c>
      <c r="K78" t="s">
        <v>15059</v>
      </c>
    </row>
    <row r="79" spans="1:11" x14ac:dyDescent="0.25">
      <c r="A79" s="19" t="s">
        <v>13538</v>
      </c>
      <c r="B79" s="1">
        <v>697</v>
      </c>
      <c r="C79" s="1">
        <v>1</v>
      </c>
      <c r="D79" s="2">
        <v>226</v>
      </c>
      <c r="E79" t="s">
        <v>14556</v>
      </c>
      <c r="F79" s="1" t="s">
        <v>14560</v>
      </c>
      <c r="G79">
        <v>99.5</v>
      </c>
      <c r="H79">
        <v>99.8</v>
      </c>
      <c r="I79">
        <v>98.9</v>
      </c>
      <c r="J79">
        <v>99.5</v>
      </c>
      <c r="K79" t="s">
        <v>15059</v>
      </c>
    </row>
    <row r="80" spans="1:11" x14ac:dyDescent="0.25">
      <c r="A80" s="19" t="s">
        <v>13898</v>
      </c>
      <c r="B80" s="1">
        <v>795</v>
      </c>
      <c r="C80" s="1">
        <v>2</v>
      </c>
      <c r="D80" s="27">
        <v>213221</v>
      </c>
      <c r="E80" t="s">
        <v>14556</v>
      </c>
      <c r="F80" s="1" t="s">
        <v>14560</v>
      </c>
      <c r="G80">
        <v>96.6</v>
      </c>
      <c r="H80">
        <v>99</v>
      </c>
      <c r="I80">
        <v>97.9</v>
      </c>
      <c r="J80">
        <v>99.1</v>
      </c>
      <c r="K80" t="s">
        <v>15059</v>
      </c>
    </row>
    <row r="81" spans="1:11" x14ac:dyDescent="0.25">
      <c r="A81" s="19" t="s">
        <v>13651</v>
      </c>
      <c r="B81" s="1">
        <v>158</v>
      </c>
      <c r="C81" s="1">
        <v>1</v>
      </c>
      <c r="D81" s="2" t="s">
        <v>190</v>
      </c>
      <c r="E81" t="s">
        <v>14930</v>
      </c>
      <c r="F81" s="1" t="s">
        <v>14560</v>
      </c>
      <c r="G81">
        <v>99.3</v>
      </c>
      <c r="H81">
        <v>99.8</v>
      </c>
      <c r="I81" t="s">
        <v>14570</v>
      </c>
      <c r="J81" t="s">
        <v>12438</v>
      </c>
      <c r="K81" t="s">
        <v>15062</v>
      </c>
    </row>
    <row r="82" spans="1:11" x14ac:dyDescent="0.25">
      <c r="A82" s="19" t="s">
        <v>39</v>
      </c>
      <c r="B82" s="1">
        <v>80</v>
      </c>
      <c r="C82" s="1">
        <v>1</v>
      </c>
      <c r="D82" s="2">
        <v>5</v>
      </c>
      <c r="E82" t="s">
        <v>14930</v>
      </c>
      <c r="F82" s="1" t="s">
        <v>14560</v>
      </c>
      <c r="G82" t="s">
        <v>14570</v>
      </c>
      <c r="H82" t="s">
        <v>14570</v>
      </c>
      <c r="I82">
        <v>96.9</v>
      </c>
      <c r="J82">
        <v>98</v>
      </c>
      <c r="K82" t="s">
        <v>15060</v>
      </c>
    </row>
    <row r="83" spans="1:11" x14ac:dyDescent="0.25">
      <c r="A83" s="19" t="s">
        <v>14137</v>
      </c>
      <c r="B83" s="1">
        <v>549</v>
      </c>
      <c r="C83" s="1">
        <v>1</v>
      </c>
      <c r="D83" s="2">
        <v>87</v>
      </c>
      <c r="E83" t="s">
        <v>14556</v>
      </c>
      <c r="F83" s="1" t="s">
        <v>14560</v>
      </c>
      <c r="G83">
        <v>98.7</v>
      </c>
      <c r="H83">
        <v>99.6</v>
      </c>
      <c r="I83">
        <v>99.1</v>
      </c>
      <c r="J83">
        <v>99.7</v>
      </c>
      <c r="K83" t="s">
        <v>15059</v>
      </c>
    </row>
    <row r="84" spans="1:11" x14ac:dyDescent="0.25">
      <c r="A84" s="19" t="s">
        <v>13974</v>
      </c>
      <c r="B84" s="1">
        <v>853</v>
      </c>
      <c r="C84" s="1">
        <v>1</v>
      </c>
      <c r="D84" s="2">
        <v>366</v>
      </c>
      <c r="E84" t="s">
        <v>14556</v>
      </c>
      <c r="F84" s="1" t="s">
        <v>14560</v>
      </c>
      <c r="G84">
        <v>100</v>
      </c>
      <c r="H84">
        <v>99.5</v>
      </c>
      <c r="I84">
        <v>99</v>
      </c>
      <c r="J84">
        <v>99.7</v>
      </c>
      <c r="K84" t="s">
        <v>15059</v>
      </c>
    </row>
    <row r="85" spans="1:11" x14ac:dyDescent="0.25">
      <c r="A85" s="19" t="s">
        <v>14016</v>
      </c>
      <c r="B85" s="1">
        <v>933</v>
      </c>
      <c r="C85" s="1">
        <v>2</v>
      </c>
      <c r="D85" s="27">
        <v>820828</v>
      </c>
      <c r="E85" t="s">
        <v>14556</v>
      </c>
      <c r="F85" s="1" t="s">
        <v>14560</v>
      </c>
      <c r="G85">
        <v>99.6</v>
      </c>
      <c r="H85">
        <v>99.7</v>
      </c>
      <c r="I85">
        <v>100</v>
      </c>
      <c r="J85">
        <v>95.5</v>
      </c>
      <c r="K85" t="s">
        <v>15059</v>
      </c>
    </row>
    <row r="86" spans="1:11" x14ac:dyDescent="0.25">
      <c r="A86" s="19" t="s">
        <v>13820</v>
      </c>
      <c r="B86" s="1">
        <v>451</v>
      </c>
      <c r="C86" s="1">
        <v>1</v>
      </c>
      <c r="D86" s="2">
        <v>179</v>
      </c>
      <c r="E86" t="s">
        <v>14556</v>
      </c>
      <c r="F86" s="1" t="s">
        <v>14560</v>
      </c>
      <c r="G86">
        <v>100</v>
      </c>
      <c r="H86">
        <v>99.8</v>
      </c>
      <c r="I86">
        <v>99.2</v>
      </c>
      <c r="J86">
        <v>99</v>
      </c>
      <c r="K86" t="s">
        <v>15059</v>
      </c>
    </row>
    <row r="87" spans="1:11" x14ac:dyDescent="0.25">
      <c r="A87" s="19" t="s">
        <v>14403</v>
      </c>
      <c r="B87" s="1">
        <v>880</v>
      </c>
      <c r="C87" s="1">
        <v>2</v>
      </c>
      <c r="D87" s="2" t="s">
        <v>15033</v>
      </c>
      <c r="E87" t="s">
        <v>14556</v>
      </c>
      <c r="F87" s="1" t="s">
        <v>14560</v>
      </c>
      <c r="G87">
        <v>98.9</v>
      </c>
      <c r="H87">
        <v>99.5</v>
      </c>
      <c r="I87">
        <v>92.1</v>
      </c>
      <c r="J87">
        <v>94.2</v>
      </c>
      <c r="K87" t="s">
        <v>15059</v>
      </c>
    </row>
    <row r="88" spans="1:11" x14ac:dyDescent="0.25">
      <c r="A88" s="19" t="s">
        <v>14066</v>
      </c>
      <c r="B88" s="1">
        <v>980</v>
      </c>
      <c r="C88" s="1">
        <v>1</v>
      </c>
      <c r="D88" s="2">
        <v>234</v>
      </c>
      <c r="E88" t="s">
        <v>14556</v>
      </c>
      <c r="F88" s="1" t="s">
        <v>14560</v>
      </c>
      <c r="G88">
        <v>100</v>
      </c>
      <c r="H88">
        <v>99.1</v>
      </c>
      <c r="I88">
        <v>98.2</v>
      </c>
      <c r="J88">
        <v>99.2</v>
      </c>
      <c r="K88" t="s">
        <v>15059</v>
      </c>
    </row>
    <row r="89" spans="1:11" x14ac:dyDescent="0.25">
      <c r="A89" s="19" t="s">
        <v>13977</v>
      </c>
      <c r="B89" s="1">
        <v>751</v>
      </c>
      <c r="C89" s="1">
        <v>3</v>
      </c>
      <c r="D89" s="2" t="s">
        <v>15032</v>
      </c>
      <c r="E89" t="s">
        <v>14556</v>
      </c>
      <c r="F89" s="1" t="s">
        <v>14560</v>
      </c>
      <c r="G89">
        <v>99.6</v>
      </c>
      <c r="H89">
        <v>99.1</v>
      </c>
      <c r="I89">
        <v>95.2</v>
      </c>
      <c r="J89">
        <v>97.8</v>
      </c>
      <c r="K89" t="s">
        <v>15059</v>
      </c>
    </row>
    <row r="90" spans="1:11" x14ac:dyDescent="0.25">
      <c r="A90" s="19" t="s">
        <v>14547</v>
      </c>
      <c r="B90" s="1">
        <v>311</v>
      </c>
      <c r="C90" s="1">
        <v>1</v>
      </c>
      <c r="D90" s="2">
        <v>162</v>
      </c>
      <c r="E90" t="s">
        <v>14556</v>
      </c>
      <c r="F90" s="1" t="s">
        <v>14560</v>
      </c>
      <c r="G90">
        <v>100</v>
      </c>
      <c r="H90">
        <v>99.3</v>
      </c>
      <c r="I90">
        <v>99.3</v>
      </c>
      <c r="J90">
        <v>99.8</v>
      </c>
      <c r="K90" t="s">
        <v>15059</v>
      </c>
    </row>
    <row r="91" spans="1:11" x14ac:dyDescent="0.25">
      <c r="A91" s="19" t="s">
        <v>14048</v>
      </c>
      <c r="B91" s="1">
        <v>449</v>
      </c>
      <c r="C91" s="1">
        <v>1</v>
      </c>
      <c r="D91" s="2">
        <v>186</v>
      </c>
      <c r="E91" t="s">
        <v>14556</v>
      </c>
      <c r="F91" s="1" t="s">
        <v>14560</v>
      </c>
      <c r="G91">
        <v>97.2</v>
      </c>
      <c r="H91">
        <v>98.7</v>
      </c>
      <c r="I91">
        <v>96.8</v>
      </c>
      <c r="J91">
        <v>98.7</v>
      </c>
      <c r="K91" t="s">
        <v>15059</v>
      </c>
    </row>
    <row r="92" spans="1:11" x14ac:dyDescent="0.25">
      <c r="A92" s="19" t="s">
        <v>11</v>
      </c>
      <c r="B92" s="1">
        <v>1405</v>
      </c>
      <c r="C92" s="1">
        <v>1</v>
      </c>
      <c r="D92" s="2">
        <v>1335</v>
      </c>
      <c r="E92" t="s">
        <v>14556</v>
      </c>
      <c r="F92" s="1" t="s">
        <v>14560</v>
      </c>
      <c r="G92">
        <v>99.6</v>
      </c>
      <c r="H92">
        <v>99.7</v>
      </c>
      <c r="I92">
        <v>100</v>
      </c>
      <c r="J92">
        <v>100</v>
      </c>
      <c r="K92" t="s">
        <v>15060</v>
      </c>
    </row>
    <row r="93" spans="1:11" x14ac:dyDescent="0.25">
      <c r="A93" s="19" t="s">
        <v>14426</v>
      </c>
      <c r="B93" s="1">
        <v>1388</v>
      </c>
      <c r="C93" s="1">
        <v>2</v>
      </c>
      <c r="D93" s="2" t="s">
        <v>15031</v>
      </c>
      <c r="E93" t="s">
        <v>14556</v>
      </c>
      <c r="F93" s="1" t="s">
        <v>14560</v>
      </c>
      <c r="G93">
        <v>99.8</v>
      </c>
      <c r="H93">
        <v>99.6</v>
      </c>
      <c r="I93">
        <v>99.5</v>
      </c>
      <c r="J93">
        <v>99.8</v>
      </c>
      <c r="K93" t="s">
        <v>15059</v>
      </c>
    </row>
    <row r="94" spans="1:11" x14ac:dyDescent="0.25">
      <c r="A94" s="19" t="s">
        <v>16</v>
      </c>
      <c r="B94" s="1">
        <v>284</v>
      </c>
      <c r="C94" s="1">
        <v>1</v>
      </c>
      <c r="D94" s="2">
        <v>134</v>
      </c>
      <c r="E94" t="s">
        <v>14556</v>
      </c>
      <c r="F94" s="1" t="s">
        <v>14560</v>
      </c>
      <c r="G94">
        <v>100</v>
      </c>
      <c r="H94">
        <v>99.7</v>
      </c>
      <c r="I94">
        <v>99.3</v>
      </c>
      <c r="J94">
        <v>99.5</v>
      </c>
      <c r="K94" t="s">
        <v>15060</v>
      </c>
    </row>
    <row r="95" spans="1:11" x14ac:dyDescent="0.25">
      <c r="A95" s="19" t="s">
        <v>41</v>
      </c>
      <c r="B95" s="1">
        <v>383</v>
      </c>
      <c r="C95" s="1">
        <v>1</v>
      </c>
      <c r="D95" s="2">
        <v>267</v>
      </c>
      <c r="E95" t="s">
        <v>14556</v>
      </c>
      <c r="F95" s="1" t="s">
        <v>14560</v>
      </c>
      <c r="G95">
        <v>100</v>
      </c>
      <c r="H95">
        <v>99.7</v>
      </c>
      <c r="I95">
        <v>99.1</v>
      </c>
      <c r="J95">
        <v>99.7</v>
      </c>
      <c r="K95" t="s">
        <v>15060</v>
      </c>
    </row>
    <row r="96" spans="1:11" x14ac:dyDescent="0.25">
      <c r="A96" s="19" t="s">
        <v>13480</v>
      </c>
      <c r="B96" s="1">
        <v>275</v>
      </c>
      <c r="C96" s="1">
        <v>1</v>
      </c>
      <c r="D96" s="2">
        <v>30</v>
      </c>
      <c r="E96" t="s">
        <v>14556</v>
      </c>
      <c r="F96" s="1" t="s">
        <v>14560</v>
      </c>
      <c r="G96">
        <v>95</v>
      </c>
      <c r="H96">
        <v>96.7</v>
      </c>
      <c r="I96">
        <v>98.7</v>
      </c>
      <c r="J96">
        <v>99.6</v>
      </c>
      <c r="K96" t="s">
        <v>15059</v>
      </c>
    </row>
    <row r="97" spans="1:11" x14ac:dyDescent="0.25">
      <c r="A97" s="19" t="s">
        <v>42</v>
      </c>
      <c r="B97" s="1">
        <v>202</v>
      </c>
      <c r="C97" s="1">
        <v>1</v>
      </c>
      <c r="D97" s="2">
        <v>58</v>
      </c>
      <c r="E97" t="s">
        <v>14556</v>
      </c>
      <c r="F97" s="1" t="s">
        <v>14560</v>
      </c>
      <c r="G97">
        <v>95.1</v>
      </c>
      <c r="H97">
        <v>98.4</v>
      </c>
      <c r="I97">
        <v>100</v>
      </c>
      <c r="J97">
        <v>100</v>
      </c>
      <c r="K97" t="s">
        <v>15060</v>
      </c>
    </row>
    <row r="98" spans="1:11" x14ac:dyDescent="0.25">
      <c r="A98" s="19" t="s">
        <v>43</v>
      </c>
      <c r="B98" s="1">
        <v>283</v>
      </c>
      <c r="C98" s="1">
        <v>1</v>
      </c>
      <c r="D98" s="2">
        <v>263</v>
      </c>
      <c r="E98" t="s">
        <v>14930</v>
      </c>
      <c r="F98" s="1" t="s">
        <v>14560</v>
      </c>
      <c r="G98">
        <v>98.4</v>
      </c>
      <c r="H98">
        <v>99.2</v>
      </c>
      <c r="I98">
        <v>100</v>
      </c>
      <c r="J98">
        <v>100</v>
      </c>
      <c r="K98" t="s">
        <v>15060</v>
      </c>
    </row>
    <row r="99" spans="1:11" x14ac:dyDescent="0.25">
      <c r="A99" s="19" t="s">
        <v>13866</v>
      </c>
      <c r="B99" s="1">
        <v>437</v>
      </c>
      <c r="C99" s="1">
        <v>1</v>
      </c>
      <c r="D99" s="2">
        <v>241</v>
      </c>
      <c r="E99" t="s">
        <v>14556</v>
      </c>
      <c r="F99" s="1" t="s">
        <v>14560</v>
      </c>
      <c r="G99">
        <v>100</v>
      </c>
      <c r="H99">
        <v>98.7</v>
      </c>
      <c r="I99">
        <v>98.9</v>
      </c>
      <c r="J99">
        <v>99.3</v>
      </c>
      <c r="K99" t="s">
        <v>15059</v>
      </c>
    </row>
    <row r="100" spans="1:11" x14ac:dyDescent="0.25">
      <c r="A100" s="19" t="s">
        <v>13722</v>
      </c>
      <c r="B100" s="1">
        <v>487</v>
      </c>
      <c r="C100" s="1">
        <v>1</v>
      </c>
      <c r="D100" s="2">
        <v>288</v>
      </c>
      <c r="E100" t="s">
        <v>14930</v>
      </c>
      <c r="F100" s="1" t="s">
        <v>14560</v>
      </c>
      <c r="G100">
        <v>98.9</v>
      </c>
      <c r="H100">
        <v>99.5</v>
      </c>
      <c r="I100">
        <v>97.4</v>
      </c>
      <c r="J100">
        <v>98.9</v>
      </c>
      <c r="K100" t="s">
        <v>15059</v>
      </c>
    </row>
    <row r="101" spans="1:11" x14ac:dyDescent="0.25">
      <c r="A101" s="19" t="s">
        <v>13347</v>
      </c>
      <c r="B101" s="1">
        <v>291</v>
      </c>
      <c r="C101" s="1">
        <v>2</v>
      </c>
      <c r="D101" s="2" t="s">
        <v>15030</v>
      </c>
      <c r="E101" s="18" t="s">
        <v>14556</v>
      </c>
      <c r="F101" s="1" t="s">
        <v>14560</v>
      </c>
      <c r="G101">
        <v>100</v>
      </c>
      <c r="H101">
        <v>98.1</v>
      </c>
      <c r="I101">
        <v>99.5</v>
      </c>
      <c r="J101">
        <v>99.7</v>
      </c>
      <c r="K101" t="s">
        <v>15059</v>
      </c>
    </row>
    <row r="102" spans="1:11" x14ac:dyDescent="0.25">
      <c r="A102" s="19" t="s">
        <v>44</v>
      </c>
      <c r="B102" s="1">
        <v>164</v>
      </c>
      <c r="C102" s="1">
        <v>1</v>
      </c>
      <c r="D102" s="2">
        <v>56</v>
      </c>
      <c r="E102" s="18" t="s">
        <v>14556</v>
      </c>
      <c r="F102" s="1" t="s">
        <v>14560</v>
      </c>
      <c r="G102">
        <v>100</v>
      </c>
      <c r="H102">
        <v>100</v>
      </c>
      <c r="I102">
        <v>100</v>
      </c>
      <c r="J102">
        <v>99.7</v>
      </c>
      <c r="K102" t="s">
        <v>15060</v>
      </c>
    </row>
    <row r="103" spans="1:11" x14ac:dyDescent="0.25">
      <c r="A103" s="19" t="s">
        <v>45</v>
      </c>
      <c r="B103" s="1">
        <v>1204</v>
      </c>
      <c r="C103" s="1">
        <v>2</v>
      </c>
      <c r="D103" s="2">
        <v>675</v>
      </c>
      <c r="E103" s="18" t="s">
        <v>14556</v>
      </c>
      <c r="F103" s="1" t="s">
        <v>14560</v>
      </c>
      <c r="G103">
        <v>98.3</v>
      </c>
      <c r="H103">
        <v>97.5</v>
      </c>
      <c r="I103">
        <v>98.2</v>
      </c>
      <c r="J103">
        <v>98.4</v>
      </c>
      <c r="K103" t="s">
        <v>15060</v>
      </c>
    </row>
    <row r="104" spans="1:11" x14ac:dyDescent="0.25">
      <c r="A104" s="19" t="s">
        <v>14435</v>
      </c>
      <c r="B104" s="1">
        <v>1061</v>
      </c>
      <c r="C104" s="1">
        <v>2</v>
      </c>
      <c r="D104" s="2" t="s">
        <v>15029</v>
      </c>
      <c r="E104" s="18" t="s">
        <v>14556</v>
      </c>
      <c r="F104" s="1" t="s">
        <v>14560</v>
      </c>
      <c r="G104">
        <v>100</v>
      </c>
      <c r="H104">
        <v>99.9</v>
      </c>
      <c r="I104">
        <v>98.9</v>
      </c>
      <c r="J104">
        <v>97.6</v>
      </c>
      <c r="K104" t="s">
        <v>15059</v>
      </c>
    </row>
    <row r="105" spans="1:11" x14ac:dyDescent="0.25">
      <c r="A105" s="19" t="s">
        <v>14</v>
      </c>
      <c r="B105" s="1">
        <v>835</v>
      </c>
      <c r="C105" s="1">
        <v>1</v>
      </c>
      <c r="D105" s="2">
        <v>66</v>
      </c>
      <c r="E105" s="18" t="s">
        <v>14556</v>
      </c>
      <c r="F105" s="1" t="s">
        <v>14560</v>
      </c>
      <c r="G105">
        <v>98.2</v>
      </c>
      <c r="H105">
        <v>99.4</v>
      </c>
      <c r="I105">
        <v>98.6</v>
      </c>
      <c r="J105">
        <v>99.4</v>
      </c>
      <c r="K105" t="s">
        <v>15060</v>
      </c>
    </row>
    <row r="106" spans="1:11" x14ac:dyDescent="0.25">
      <c r="A106" s="19" t="s">
        <v>14195</v>
      </c>
      <c r="B106" s="1">
        <v>74</v>
      </c>
      <c r="C106" s="1">
        <v>1</v>
      </c>
      <c r="D106" s="2" t="s">
        <v>190</v>
      </c>
      <c r="E106" s="18" t="s">
        <v>14556</v>
      </c>
      <c r="F106" s="1" t="s">
        <v>14560</v>
      </c>
      <c r="G106">
        <v>100</v>
      </c>
      <c r="H106">
        <v>100</v>
      </c>
      <c r="I106" t="s">
        <v>14570</v>
      </c>
      <c r="J106" t="s">
        <v>12438</v>
      </c>
      <c r="K106" t="s">
        <v>15062</v>
      </c>
    </row>
    <row r="107" spans="1:11" x14ac:dyDescent="0.25">
      <c r="A107" s="19" t="s">
        <v>13897</v>
      </c>
      <c r="B107" s="1">
        <v>691</v>
      </c>
      <c r="C107" s="1">
        <v>1</v>
      </c>
      <c r="D107" s="2">
        <v>315</v>
      </c>
      <c r="E107" s="18" t="s">
        <v>14556</v>
      </c>
      <c r="F107" s="1" t="s">
        <v>14560</v>
      </c>
      <c r="G107">
        <v>99.3</v>
      </c>
      <c r="H107">
        <v>99.5</v>
      </c>
      <c r="I107">
        <v>97.8</v>
      </c>
      <c r="J107">
        <v>99.2</v>
      </c>
      <c r="K107" t="s">
        <v>15059</v>
      </c>
    </row>
    <row r="108" spans="1:11" x14ac:dyDescent="0.25">
      <c r="A108" s="19" t="s">
        <v>20</v>
      </c>
      <c r="B108" s="1">
        <v>215</v>
      </c>
      <c r="C108" s="1">
        <v>1</v>
      </c>
      <c r="D108" s="2">
        <v>24</v>
      </c>
      <c r="E108" s="18" t="s">
        <v>14556</v>
      </c>
      <c r="F108" s="1" t="s">
        <v>14560</v>
      </c>
      <c r="G108">
        <v>100</v>
      </c>
      <c r="H108">
        <v>100</v>
      </c>
      <c r="I108">
        <v>98.9</v>
      </c>
      <c r="J108">
        <v>99.6</v>
      </c>
      <c r="K108" t="s">
        <v>15060</v>
      </c>
    </row>
    <row r="109" spans="1:11" x14ac:dyDescent="0.25">
      <c r="A109" s="19" t="s">
        <v>13857</v>
      </c>
      <c r="B109" s="1">
        <v>98</v>
      </c>
      <c r="C109" s="1">
        <v>1</v>
      </c>
      <c r="D109" s="2">
        <v>64</v>
      </c>
      <c r="E109" s="18" t="s">
        <v>14556</v>
      </c>
      <c r="F109" s="1" t="s">
        <v>14560</v>
      </c>
      <c r="G109">
        <v>100</v>
      </c>
      <c r="H109">
        <v>100</v>
      </c>
      <c r="I109">
        <v>100</v>
      </c>
      <c r="J109">
        <v>100</v>
      </c>
      <c r="K109" t="s">
        <v>15059</v>
      </c>
    </row>
    <row r="110" spans="1:11" x14ac:dyDescent="0.25">
      <c r="A110" s="19" t="s">
        <v>14357</v>
      </c>
      <c r="B110" s="1">
        <v>824</v>
      </c>
      <c r="C110" s="1">
        <v>2</v>
      </c>
      <c r="D110" s="2" t="s">
        <v>15028</v>
      </c>
      <c r="E110" s="18" t="s">
        <v>14556</v>
      </c>
      <c r="F110" s="1" t="s">
        <v>14560</v>
      </c>
      <c r="G110">
        <v>100</v>
      </c>
      <c r="H110">
        <v>99.1</v>
      </c>
      <c r="I110">
        <v>97.8</v>
      </c>
      <c r="J110">
        <v>98.7</v>
      </c>
      <c r="K110" t="s">
        <v>15059</v>
      </c>
    </row>
    <row r="111" spans="1:11" x14ac:dyDescent="0.25">
      <c r="A111" s="19" t="s">
        <v>13648</v>
      </c>
      <c r="B111" s="1">
        <v>577</v>
      </c>
      <c r="C111" s="1">
        <v>3</v>
      </c>
      <c r="D111" s="2" t="s">
        <v>15027</v>
      </c>
      <c r="E111" s="18" t="s">
        <v>14556</v>
      </c>
      <c r="F111" s="1" t="s">
        <v>14560</v>
      </c>
      <c r="G111">
        <v>99.5</v>
      </c>
      <c r="H111">
        <v>99.5</v>
      </c>
      <c r="I111">
        <v>100</v>
      </c>
      <c r="J111">
        <v>100</v>
      </c>
      <c r="K111" t="s">
        <v>15059</v>
      </c>
    </row>
    <row r="112" spans="1:11" x14ac:dyDescent="0.25">
      <c r="A112" s="19" t="s">
        <v>14253</v>
      </c>
      <c r="B112" s="1">
        <v>339</v>
      </c>
      <c r="C112" s="1">
        <v>1</v>
      </c>
      <c r="D112" s="2">
        <v>206</v>
      </c>
      <c r="E112" s="18" t="s">
        <v>14556</v>
      </c>
      <c r="F112" s="1" t="s">
        <v>14560</v>
      </c>
      <c r="G112">
        <v>100</v>
      </c>
      <c r="H112">
        <v>100</v>
      </c>
      <c r="I112">
        <v>100</v>
      </c>
      <c r="J112">
        <v>100</v>
      </c>
      <c r="K112" t="s">
        <v>15059</v>
      </c>
    </row>
    <row r="113" spans="1:11" x14ac:dyDescent="0.25">
      <c r="A113" s="19" t="s">
        <v>14092</v>
      </c>
      <c r="B113" s="1">
        <v>333</v>
      </c>
      <c r="C113" s="1">
        <v>2</v>
      </c>
      <c r="D113" s="27">
        <v>195204</v>
      </c>
      <c r="E113" s="18" t="s">
        <v>14556</v>
      </c>
      <c r="F113" s="1" t="s">
        <v>14560</v>
      </c>
      <c r="G113">
        <v>98.9</v>
      </c>
      <c r="H113">
        <v>98.5</v>
      </c>
      <c r="I113">
        <v>98.4</v>
      </c>
      <c r="J113">
        <v>99.5</v>
      </c>
      <c r="K113" t="s">
        <v>15059</v>
      </c>
    </row>
    <row r="114" spans="1:11" x14ac:dyDescent="0.25">
      <c r="A114" s="19" t="s">
        <v>13764</v>
      </c>
      <c r="B114" s="1">
        <v>964</v>
      </c>
      <c r="C114" s="1">
        <v>1</v>
      </c>
      <c r="D114" s="2">
        <v>745</v>
      </c>
      <c r="E114" s="18" t="s">
        <v>14556</v>
      </c>
      <c r="F114" s="1" t="s">
        <v>14560</v>
      </c>
      <c r="G114">
        <v>100</v>
      </c>
      <c r="H114">
        <v>99.6</v>
      </c>
      <c r="I114">
        <v>95.7</v>
      </c>
      <c r="J114">
        <v>96.8</v>
      </c>
      <c r="K114" t="s">
        <v>15059</v>
      </c>
    </row>
    <row r="115" spans="1:11" x14ac:dyDescent="0.25">
      <c r="A115" s="19" t="s">
        <v>14470</v>
      </c>
      <c r="B115" s="1">
        <v>780</v>
      </c>
      <c r="C115" s="1">
        <v>1</v>
      </c>
      <c r="D115" s="2">
        <v>751</v>
      </c>
      <c r="E115" s="18" t="s">
        <v>14556</v>
      </c>
      <c r="F115" s="1" t="s">
        <v>14560</v>
      </c>
      <c r="G115">
        <v>98.9</v>
      </c>
      <c r="H115">
        <v>99</v>
      </c>
      <c r="I115">
        <v>100</v>
      </c>
      <c r="J115">
        <v>100</v>
      </c>
      <c r="K115" t="s">
        <v>15059</v>
      </c>
    </row>
    <row r="116" spans="1:11" x14ac:dyDescent="0.25">
      <c r="A116" s="19" t="s">
        <v>14194</v>
      </c>
      <c r="B116" s="1">
        <v>296</v>
      </c>
      <c r="C116" s="1">
        <v>1</v>
      </c>
      <c r="D116" s="2">
        <v>222</v>
      </c>
      <c r="E116" s="18" t="s">
        <v>14556</v>
      </c>
      <c r="F116" s="1" t="s">
        <v>14560</v>
      </c>
      <c r="G116">
        <v>100</v>
      </c>
      <c r="H116">
        <v>99.2</v>
      </c>
      <c r="I116">
        <v>90.2</v>
      </c>
      <c r="J116">
        <v>93.8</v>
      </c>
      <c r="K116" t="s">
        <v>15059</v>
      </c>
    </row>
    <row r="117" spans="1:11" x14ac:dyDescent="0.25">
      <c r="A117" s="19" t="s">
        <v>13576</v>
      </c>
      <c r="B117" s="1">
        <v>910</v>
      </c>
      <c r="C117" s="1">
        <v>1</v>
      </c>
      <c r="D117" s="2">
        <v>264</v>
      </c>
      <c r="E117" s="18" t="s">
        <v>14556</v>
      </c>
      <c r="F117" s="1" t="s">
        <v>14560</v>
      </c>
      <c r="G117">
        <v>99.6</v>
      </c>
      <c r="H117">
        <v>99.6</v>
      </c>
      <c r="I117">
        <v>98.9</v>
      </c>
      <c r="J117">
        <v>99.3</v>
      </c>
      <c r="K117" t="s">
        <v>15059</v>
      </c>
    </row>
    <row r="118" spans="1:11" x14ac:dyDescent="0.25">
      <c r="A118" s="19" t="s">
        <v>13544</v>
      </c>
      <c r="B118" s="1">
        <v>465</v>
      </c>
      <c r="C118" s="1">
        <v>1</v>
      </c>
      <c r="D118" s="2">
        <v>125</v>
      </c>
      <c r="E118" s="18" t="s">
        <v>14556</v>
      </c>
      <c r="F118" s="1" t="s">
        <v>14560</v>
      </c>
      <c r="G118">
        <v>99.1</v>
      </c>
      <c r="H118">
        <v>99.4</v>
      </c>
      <c r="I118">
        <v>97.9</v>
      </c>
      <c r="J118">
        <v>99</v>
      </c>
      <c r="K118" t="s">
        <v>15059</v>
      </c>
    </row>
    <row r="119" spans="1:11" x14ac:dyDescent="0.25">
      <c r="A119" s="19" t="s">
        <v>13250</v>
      </c>
      <c r="B119" s="1">
        <v>1484</v>
      </c>
      <c r="C119" s="1">
        <v>1</v>
      </c>
      <c r="D119" s="2">
        <v>1316</v>
      </c>
      <c r="E119" s="18" t="s">
        <v>14556</v>
      </c>
      <c r="F119" s="1" t="s">
        <v>14560</v>
      </c>
      <c r="G119">
        <v>99.3</v>
      </c>
      <c r="H119">
        <v>99.6</v>
      </c>
      <c r="I119">
        <v>98.1</v>
      </c>
      <c r="J119">
        <v>98.7</v>
      </c>
      <c r="K119" t="s">
        <v>15059</v>
      </c>
    </row>
    <row r="120" spans="1:11" x14ac:dyDescent="0.25">
      <c r="A120" s="19" t="s">
        <v>46</v>
      </c>
      <c r="B120" s="1">
        <v>676</v>
      </c>
      <c r="C120" s="1">
        <v>1</v>
      </c>
      <c r="D120" s="2">
        <v>62</v>
      </c>
      <c r="E120" s="18" t="s">
        <v>14556</v>
      </c>
      <c r="F120" s="1" t="s">
        <v>14560</v>
      </c>
      <c r="G120">
        <v>100</v>
      </c>
      <c r="H120">
        <v>100</v>
      </c>
      <c r="I120">
        <v>98.8</v>
      </c>
      <c r="J120">
        <v>99.6</v>
      </c>
      <c r="K120" t="s">
        <v>15060</v>
      </c>
    </row>
    <row r="121" spans="1:11" x14ac:dyDescent="0.25">
      <c r="A121" s="19" t="s">
        <v>13938</v>
      </c>
      <c r="B121" s="1">
        <v>1957</v>
      </c>
      <c r="C121" s="1">
        <v>3</v>
      </c>
      <c r="D121" s="2" t="s">
        <v>15026</v>
      </c>
      <c r="E121" s="18" t="s">
        <v>14556</v>
      </c>
      <c r="F121" s="1" t="s">
        <v>14560</v>
      </c>
      <c r="G121">
        <v>100</v>
      </c>
      <c r="H121">
        <v>99</v>
      </c>
      <c r="I121">
        <v>98.8</v>
      </c>
      <c r="J121">
        <v>99.6</v>
      </c>
      <c r="K121" t="s">
        <v>15059</v>
      </c>
    </row>
    <row r="122" spans="1:11" x14ac:dyDescent="0.25">
      <c r="A122" s="19" t="s">
        <v>47</v>
      </c>
      <c r="B122" s="1">
        <v>400</v>
      </c>
      <c r="C122" s="1">
        <v>1</v>
      </c>
      <c r="D122" s="2">
        <v>130</v>
      </c>
      <c r="E122" t="s">
        <v>15021</v>
      </c>
      <c r="F122" s="1" t="s">
        <v>190</v>
      </c>
      <c r="G122">
        <v>97.5</v>
      </c>
      <c r="H122">
        <v>98.3</v>
      </c>
      <c r="I122">
        <v>96.9</v>
      </c>
      <c r="J122">
        <v>98.6</v>
      </c>
      <c r="K122" t="s">
        <v>15060</v>
      </c>
    </row>
    <row r="123" spans="1:11" x14ac:dyDescent="0.25">
      <c r="A123" s="19" t="s">
        <v>13863</v>
      </c>
      <c r="B123" s="1">
        <v>639</v>
      </c>
      <c r="C123" s="1">
        <v>1</v>
      </c>
      <c r="D123" s="2">
        <v>306</v>
      </c>
      <c r="E123" s="18" t="s">
        <v>14556</v>
      </c>
      <c r="F123" s="1" t="s">
        <v>14560</v>
      </c>
      <c r="G123">
        <v>100</v>
      </c>
      <c r="H123">
        <v>99.7</v>
      </c>
      <c r="I123">
        <v>99.4</v>
      </c>
      <c r="J123">
        <v>99.8</v>
      </c>
      <c r="K123" t="s">
        <v>15059</v>
      </c>
    </row>
    <row r="124" spans="1:11" x14ac:dyDescent="0.25">
      <c r="A124" s="19" t="s">
        <v>13853</v>
      </c>
      <c r="B124" s="1">
        <v>814</v>
      </c>
      <c r="C124" s="1">
        <v>1</v>
      </c>
      <c r="D124" s="2">
        <v>65</v>
      </c>
      <c r="E124" s="18" t="s">
        <v>14556</v>
      </c>
      <c r="F124" s="1" t="s">
        <v>14560</v>
      </c>
      <c r="G124">
        <v>98.2</v>
      </c>
      <c r="H124">
        <v>98.2</v>
      </c>
      <c r="I124">
        <v>97.4</v>
      </c>
      <c r="J124">
        <v>99</v>
      </c>
      <c r="K124" t="s">
        <v>15059</v>
      </c>
    </row>
    <row r="125" spans="1:11" x14ac:dyDescent="0.25">
      <c r="A125" s="19" t="s">
        <v>48</v>
      </c>
      <c r="B125" s="1">
        <v>155</v>
      </c>
      <c r="C125" s="1">
        <v>1</v>
      </c>
      <c r="D125" s="2" t="s">
        <v>190</v>
      </c>
      <c r="E125" t="s">
        <v>14930</v>
      </c>
      <c r="F125" s="1" t="s">
        <v>14560</v>
      </c>
      <c r="G125">
        <v>99.3</v>
      </c>
      <c r="H125">
        <v>99.8</v>
      </c>
      <c r="I125" t="s">
        <v>14570</v>
      </c>
      <c r="J125" t="s">
        <v>12438</v>
      </c>
      <c r="K125" t="s">
        <v>15060</v>
      </c>
    </row>
    <row r="126" spans="1:11" x14ac:dyDescent="0.25">
      <c r="A126" s="19" t="s">
        <v>49</v>
      </c>
      <c r="B126" s="1">
        <v>268</v>
      </c>
      <c r="C126" s="1">
        <v>1</v>
      </c>
      <c r="D126" s="2">
        <v>118</v>
      </c>
      <c r="E126" s="18" t="s">
        <v>14556</v>
      </c>
      <c r="F126" s="22" t="s">
        <v>14560</v>
      </c>
      <c r="G126">
        <v>99.1</v>
      </c>
      <c r="H126">
        <v>99.7</v>
      </c>
      <c r="I126">
        <v>99.3</v>
      </c>
      <c r="J126">
        <v>99.5</v>
      </c>
      <c r="K126" t="s">
        <v>15060</v>
      </c>
    </row>
    <row r="127" spans="1:11" x14ac:dyDescent="0.25">
      <c r="A127" s="19" t="s">
        <v>14316</v>
      </c>
      <c r="B127" s="1">
        <v>456</v>
      </c>
      <c r="C127" s="1">
        <v>2</v>
      </c>
      <c r="D127" s="27">
        <v>398402</v>
      </c>
      <c r="E127" s="18" t="s">
        <v>14556</v>
      </c>
      <c r="F127" s="22" t="s">
        <v>14560</v>
      </c>
      <c r="G127">
        <v>99.7</v>
      </c>
      <c r="H127">
        <v>99.7</v>
      </c>
      <c r="I127">
        <v>95.8</v>
      </c>
      <c r="J127">
        <v>98.6</v>
      </c>
      <c r="K127" t="s">
        <v>15059</v>
      </c>
    </row>
    <row r="128" spans="1:11" x14ac:dyDescent="0.25">
      <c r="A128" s="19" t="s">
        <v>14424</v>
      </c>
      <c r="B128" s="1">
        <v>1650</v>
      </c>
      <c r="C128" s="1">
        <v>1</v>
      </c>
      <c r="D128" s="2">
        <v>1163</v>
      </c>
      <c r="E128" s="18" t="s">
        <v>14556</v>
      </c>
      <c r="F128" s="22" t="s">
        <v>14560</v>
      </c>
      <c r="G128">
        <v>99</v>
      </c>
      <c r="H128">
        <v>99.4</v>
      </c>
      <c r="I128">
        <v>99.8</v>
      </c>
      <c r="J128">
        <v>99.8</v>
      </c>
      <c r="K128" t="s">
        <v>15059</v>
      </c>
    </row>
    <row r="129" spans="1:11" x14ac:dyDescent="0.25">
      <c r="A129" s="19" t="s">
        <v>13580</v>
      </c>
      <c r="B129" s="1">
        <v>516</v>
      </c>
      <c r="C129" s="1">
        <v>1</v>
      </c>
      <c r="D129" s="2">
        <v>455</v>
      </c>
      <c r="E129" s="18" t="s">
        <v>14556</v>
      </c>
      <c r="F129" s="22" t="s">
        <v>14560</v>
      </c>
      <c r="G129">
        <v>99.8</v>
      </c>
      <c r="H129">
        <v>99.5</v>
      </c>
      <c r="I129">
        <v>100</v>
      </c>
      <c r="J129">
        <v>100</v>
      </c>
      <c r="K129" t="s">
        <v>15059</v>
      </c>
    </row>
    <row r="130" spans="1:11" x14ac:dyDescent="0.25">
      <c r="A130" s="19" t="s">
        <v>13534</v>
      </c>
      <c r="B130" s="1">
        <v>526</v>
      </c>
      <c r="C130" s="1">
        <v>1</v>
      </c>
      <c r="D130" s="2">
        <v>293</v>
      </c>
      <c r="E130" s="18" t="s">
        <v>14556</v>
      </c>
      <c r="F130" s="22" t="s">
        <v>14560</v>
      </c>
      <c r="G130">
        <v>99.3</v>
      </c>
      <c r="H130">
        <v>99.5</v>
      </c>
      <c r="I130">
        <v>97.8</v>
      </c>
      <c r="J130">
        <v>99.4</v>
      </c>
      <c r="K130" t="s">
        <v>15059</v>
      </c>
    </row>
    <row r="131" spans="1:11" x14ac:dyDescent="0.25">
      <c r="A131" s="19" t="s">
        <v>13386</v>
      </c>
      <c r="B131" s="1">
        <v>201</v>
      </c>
      <c r="C131" s="1">
        <v>1</v>
      </c>
      <c r="D131" s="2">
        <v>131</v>
      </c>
      <c r="E131" s="18" t="s">
        <v>14556</v>
      </c>
      <c r="F131" s="22" t="s">
        <v>14560</v>
      </c>
      <c r="G131">
        <v>99.2</v>
      </c>
      <c r="H131">
        <v>98.3</v>
      </c>
      <c r="I131">
        <v>98.3</v>
      </c>
      <c r="J131">
        <v>98.9</v>
      </c>
      <c r="K131" t="s">
        <v>15059</v>
      </c>
    </row>
    <row r="132" spans="1:11" x14ac:dyDescent="0.25">
      <c r="A132" s="19" t="s">
        <v>22</v>
      </c>
      <c r="B132" s="1">
        <v>400</v>
      </c>
      <c r="C132" s="1">
        <v>1</v>
      </c>
      <c r="D132" s="2">
        <v>260</v>
      </c>
      <c r="E132" s="18" t="s">
        <v>14556</v>
      </c>
      <c r="F132" s="22" t="s">
        <v>14560</v>
      </c>
      <c r="G132">
        <v>100</v>
      </c>
      <c r="H132">
        <v>100</v>
      </c>
      <c r="I132">
        <v>97.7</v>
      </c>
      <c r="J132">
        <v>99</v>
      </c>
      <c r="K132" t="s">
        <v>15060</v>
      </c>
    </row>
    <row r="133" spans="1:11" x14ac:dyDescent="0.25">
      <c r="A133" s="19" t="s">
        <v>13902</v>
      </c>
      <c r="B133" s="1">
        <v>718</v>
      </c>
      <c r="C133" s="1">
        <v>2</v>
      </c>
      <c r="D133" s="27">
        <v>516521</v>
      </c>
      <c r="E133" s="18" t="s">
        <v>14556</v>
      </c>
      <c r="F133" s="1" t="s">
        <v>14560</v>
      </c>
      <c r="G133">
        <v>100</v>
      </c>
      <c r="H133">
        <v>99.8</v>
      </c>
      <c r="I133">
        <v>100</v>
      </c>
      <c r="J133">
        <v>99.8</v>
      </c>
      <c r="K133" t="s">
        <v>15059</v>
      </c>
    </row>
    <row r="134" spans="1:11" x14ac:dyDescent="0.25">
      <c r="A134" s="19" t="s">
        <v>14399</v>
      </c>
      <c r="B134" s="1">
        <v>493</v>
      </c>
      <c r="C134" s="1">
        <v>2</v>
      </c>
      <c r="D134" s="27">
        <v>448450</v>
      </c>
      <c r="E134" s="18" t="s">
        <v>14556</v>
      </c>
      <c r="F134" s="22" t="s">
        <v>14560</v>
      </c>
      <c r="G134">
        <v>98.4</v>
      </c>
      <c r="H134">
        <v>96.4</v>
      </c>
      <c r="I134">
        <v>87</v>
      </c>
      <c r="J134">
        <v>81</v>
      </c>
      <c r="K134" t="s">
        <v>15059</v>
      </c>
    </row>
    <row r="135" spans="1:11" x14ac:dyDescent="0.25">
      <c r="A135" s="19" t="s">
        <v>13598</v>
      </c>
      <c r="B135" s="1">
        <v>600</v>
      </c>
      <c r="C135" s="1">
        <v>1</v>
      </c>
      <c r="D135" s="2" t="s">
        <v>190</v>
      </c>
      <c r="E135" s="18" t="s">
        <v>14556</v>
      </c>
      <c r="F135" s="1" t="s">
        <v>14560</v>
      </c>
      <c r="G135">
        <v>99.7</v>
      </c>
      <c r="H135">
        <v>99.5</v>
      </c>
      <c r="I135" t="s">
        <v>14570</v>
      </c>
      <c r="J135" t="s">
        <v>12438</v>
      </c>
      <c r="K135" t="s">
        <v>15062</v>
      </c>
    </row>
    <row r="136" spans="1:11" x14ac:dyDescent="0.25">
      <c r="A136" s="19" t="s">
        <v>14303</v>
      </c>
      <c r="B136" s="1">
        <v>705</v>
      </c>
      <c r="C136" s="1">
        <v>1</v>
      </c>
      <c r="D136" s="2">
        <v>437</v>
      </c>
      <c r="E136" s="18" t="s">
        <v>14556</v>
      </c>
      <c r="F136" s="22" t="s">
        <v>14560</v>
      </c>
      <c r="G136">
        <v>95.6</v>
      </c>
      <c r="H136">
        <v>97</v>
      </c>
      <c r="I136">
        <v>98.1</v>
      </c>
      <c r="J136">
        <v>99.4</v>
      </c>
      <c r="K136" t="s">
        <v>15059</v>
      </c>
    </row>
    <row r="137" spans="1:11" x14ac:dyDescent="0.25">
      <c r="A137" s="19" t="s">
        <v>14245</v>
      </c>
      <c r="B137" s="1">
        <v>348</v>
      </c>
      <c r="C137" s="1">
        <v>1</v>
      </c>
      <c r="D137" s="2">
        <v>277</v>
      </c>
      <c r="E137" s="18" t="s">
        <v>14556</v>
      </c>
      <c r="F137" s="22" t="s">
        <v>14560</v>
      </c>
      <c r="G137">
        <v>98.9</v>
      </c>
      <c r="H137">
        <v>99.2</v>
      </c>
      <c r="I137">
        <v>95.3</v>
      </c>
      <c r="J137">
        <v>95.3</v>
      </c>
      <c r="K137" t="s">
        <v>15059</v>
      </c>
    </row>
    <row r="138" spans="1:11" x14ac:dyDescent="0.25">
      <c r="A138" s="19" t="s">
        <v>64</v>
      </c>
      <c r="B138" s="1">
        <v>963</v>
      </c>
      <c r="C138" s="1">
        <v>1</v>
      </c>
      <c r="D138" s="2">
        <v>14</v>
      </c>
      <c r="E138" s="18" t="s">
        <v>14556</v>
      </c>
      <c r="F138" s="22" t="s">
        <v>14560</v>
      </c>
      <c r="G138">
        <v>100</v>
      </c>
      <c r="H138">
        <v>100</v>
      </c>
      <c r="I138">
        <v>99.4</v>
      </c>
      <c r="J138">
        <v>99.8</v>
      </c>
      <c r="K138" t="s">
        <v>15060</v>
      </c>
    </row>
    <row r="139" spans="1:11" x14ac:dyDescent="0.25">
      <c r="A139" s="19" t="s">
        <v>6</v>
      </c>
      <c r="B139" s="1">
        <v>379</v>
      </c>
      <c r="C139" s="1">
        <v>1</v>
      </c>
      <c r="D139" s="2">
        <v>263</v>
      </c>
      <c r="E139" s="18" t="s">
        <v>14556</v>
      </c>
      <c r="F139" s="22" t="s">
        <v>14560</v>
      </c>
      <c r="G139">
        <v>98.4</v>
      </c>
      <c r="H139">
        <v>99.2</v>
      </c>
      <c r="I139">
        <v>99.1</v>
      </c>
      <c r="J139">
        <v>99.7</v>
      </c>
      <c r="K139" t="s">
        <v>15060</v>
      </c>
    </row>
    <row r="140" spans="1:11" x14ac:dyDescent="0.25">
      <c r="A140" s="19" t="s">
        <v>14506</v>
      </c>
      <c r="B140" s="1">
        <v>348</v>
      </c>
      <c r="C140" s="1">
        <v>1</v>
      </c>
      <c r="D140" s="2">
        <v>182</v>
      </c>
      <c r="E140" s="18" t="s">
        <v>14556</v>
      </c>
      <c r="F140" s="22" t="s">
        <v>14560</v>
      </c>
      <c r="G140">
        <v>98.8</v>
      </c>
      <c r="H140">
        <v>99.2</v>
      </c>
      <c r="I140">
        <v>98</v>
      </c>
      <c r="J140">
        <v>98.1</v>
      </c>
      <c r="K140" t="s">
        <v>15059</v>
      </c>
    </row>
    <row r="141" spans="1:11" x14ac:dyDescent="0.25">
      <c r="A141" s="19" t="s">
        <v>14214</v>
      </c>
      <c r="B141" s="1">
        <v>265</v>
      </c>
      <c r="C141" s="1">
        <v>2</v>
      </c>
      <c r="D141" s="2" t="s">
        <v>15025</v>
      </c>
      <c r="E141" s="18" t="s">
        <v>14556</v>
      </c>
      <c r="F141" s="22" t="s">
        <v>14560</v>
      </c>
      <c r="G141">
        <v>94.7</v>
      </c>
      <c r="H141">
        <v>98.2</v>
      </c>
      <c r="I141">
        <v>97.8</v>
      </c>
      <c r="J141">
        <v>99.3</v>
      </c>
      <c r="K141" t="s">
        <v>15059</v>
      </c>
    </row>
    <row r="142" spans="1:11" x14ac:dyDescent="0.25">
      <c r="A142" s="19" t="s">
        <v>13939</v>
      </c>
      <c r="B142" s="1">
        <v>784</v>
      </c>
      <c r="C142" s="1">
        <v>1</v>
      </c>
      <c r="D142" s="2">
        <v>350</v>
      </c>
      <c r="E142" s="18" t="s">
        <v>14556</v>
      </c>
      <c r="F142" s="22" t="s">
        <v>14560</v>
      </c>
      <c r="G142">
        <v>100</v>
      </c>
      <c r="H142">
        <v>99.9</v>
      </c>
      <c r="I142">
        <v>99.3</v>
      </c>
      <c r="J142">
        <v>97.7</v>
      </c>
      <c r="K142" t="s">
        <v>15059</v>
      </c>
    </row>
    <row r="143" spans="1:11" x14ac:dyDescent="0.25">
      <c r="A143" s="19" t="s">
        <v>14140</v>
      </c>
      <c r="B143" s="1">
        <v>1094</v>
      </c>
      <c r="C143" s="1">
        <v>2</v>
      </c>
      <c r="D143" s="2" t="s">
        <v>15024</v>
      </c>
      <c r="E143" s="18" t="s">
        <v>14556</v>
      </c>
      <c r="F143" s="22" t="s">
        <v>14560</v>
      </c>
      <c r="G143">
        <v>99.6</v>
      </c>
      <c r="H143">
        <v>99.2</v>
      </c>
      <c r="I143">
        <v>91.8</v>
      </c>
      <c r="J143">
        <v>94.1</v>
      </c>
      <c r="K143" t="s">
        <v>15059</v>
      </c>
    </row>
    <row r="144" spans="1:11" x14ac:dyDescent="0.25">
      <c r="A144" s="19" t="s">
        <v>17</v>
      </c>
      <c r="B144" s="1">
        <v>1580</v>
      </c>
      <c r="C144" s="1">
        <v>1</v>
      </c>
      <c r="D144" s="2">
        <v>1294</v>
      </c>
      <c r="E144" s="18" t="s">
        <v>14556</v>
      </c>
      <c r="F144" s="22" t="s">
        <v>14560</v>
      </c>
      <c r="G144">
        <v>99.1</v>
      </c>
      <c r="H144">
        <v>99.3</v>
      </c>
      <c r="I144">
        <v>99.3</v>
      </c>
      <c r="J144">
        <v>99.8</v>
      </c>
      <c r="K144" t="s">
        <v>15060</v>
      </c>
    </row>
    <row r="145" spans="1:11" x14ac:dyDescent="0.25">
      <c r="A145" s="19" t="s">
        <v>13771</v>
      </c>
      <c r="B145" s="1">
        <v>923</v>
      </c>
      <c r="C145" s="1">
        <v>1</v>
      </c>
      <c r="D145" s="2">
        <v>341</v>
      </c>
      <c r="E145" s="18" t="s">
        <v>14556</v>
      </c>
      <c r="F145" s="22" t="s">
        <v>14560</v>
      </c>
      <c r="G145">
        <v>99.7</v>
      </c>
      <c r="H145">
        <v>99.7</v>
      </c>
      <c r="I145">
        <v>99.5</v>
      </c>
      <c r="J145">
        <v>99.8</v>
      </c>
      <c r="K145" t="s">
        <v>15059</v>
      </c>
    </row>
    <row r="146" spans="1:11" x14ac:dyDescent="0.25">
      <c r="A146" s="19" t="s">
        <v>50</v>
      </c>
      <c r="B146" s="1">
        <v>342</v>
      </c>
      <c r="C146" s="1">
        <v>1</v>
      </c>
      <c r="D146" s="2">
        <v>310</v>
      </c>
      <c r="E146" t="s">
        <v>14930</v>
      </c>
      <c r="F146" s="22" t="s">
        <v>14560</v>
      </c>
      <c r="G146">
        <v>97.3</v>
      </c>
      <c r="H146">
        <v>98.7</v>
      </c>
      <c r="I146">
        <v>86.4</v>
      </c>
      <c r="J146">
        <v>95.5</v>
      </c>
      <c r="K146" t="s">
        <v>15060</v>
      </c>
    </row>
    <row r="147" spans="1:11" x14ac:dyDescent="0.25">
      <c r="A147" s="19" t="s">
        <v>14289</v>
      </c>
      <c r="B147" s="1">
        <v>314</v>
      </c>
      <c r="C147" s="1">
        <v>1</v>
      </c>
      <c r="D147" s="2" t="s">
        <v>190</v>
      </c>
      <c r="E147" t="s">
        <v>14930</v>
      </c>
      <c r="F147" s="22" t="s">
        <v>14560</v>
      </c>
      <c r="G147">
        <v>97.3</v>
      </c>
      <c r="H147">
        <v>98.7</v>
      </c>
      <c r="I147" t="s">
        <v>14570</v>
      </c>
      <c r="J147" t="s">
        <v>12438</v>
      </c>
      <c r="K147" t="s">
        <v>15062</v>
      </c>
    </row>
    <row r="148" spans="1:11" x14ac:dyDescent="0.25">
      <c r="A148" s="19" t="s">
        <v>14420</v>
      </c>
      <c r="B148" s="1">
        <v>505</v>
      </c>
      <c r="C148" s="1">
        <v>1</v>
      </c>
      <c r="D148" s="2">
        <v>106</v>
      </c>
      <c r="E148" s="18" t="s">
        <v>14556</v>
      </c>
      <c r="F148" s="22" t="s">
        <v>14560</v>
      </c>
      <c r="G148">
        <v>90.6</v>
      </c>
      <c r="H148">
        <v>94</v>
      </c>
      <c r="I148">
        <v>97.9</v>
      </c>
      <c r="J148">
        <v>99.1</v>
      </c>
      <c r="K148" t="s">
        <v>15059</v>
      </c>
    </row>
    <row r="149" spans="1:11" x14ac:dyDescent="0.25">
      <c r="A149" s="19" t="s">
        <v>23</v>
      </c>
      <c r="B149" s="1">
        <v>762</v>
      </c>
      <c r="C149" s="1">
        <v>1</v>
      </c>
      <c r="D149" s="2">
        <v>451</v>
      </c>
      <c r="E149" s="18" t="s">
        <v>14556</v>
      </c>
      <c r="F149" s="22" t="s">
        <v>14560</v>
      </c>
      <c r="G149">
        <v>98.9</v>
      </c>
      <c r="H149">
        <v>99.2</v>
      </c>
      <c r="I149">
        <v>100</v>
      </c>
      <c r="J149">
        <v>99.8</v>
      </c>
      <c r="K149" t="s">
        <v>15060</v>
      </c>
    </row>
    <row r="150" spans="1:11" x14ac:dyDescent="0.25">
      <c r="A150" s="19" t="s">
        <v>19</v>
      </c>
      <c r="B150" s="1">
        <v>490</v>
      </c>
      <c r="C150" s="1">
        <v>1</v>
      </c>
      <c r="D150" s="2">
        <v>297</v>
      </c>
      <c r="E150" s="18" t="s">
        <v>14556</v>
      </c>
      <c r="F150" s="22" t="s">
        <v>14560</v>
      </c>
      <c r="G150">
        <v>100</v>
      </c>
      <c r="H150">
        <v>99.5</v>
      </c>
      <c r="I150">
        <v>99.5</v>
      </c>
      <c r="J150">
        <v>99.8</v>
      </c>
      <c r="K150" t="s">
        <v>15060</v>
      </c>
    </row>
    <row r="151" spans="1:11" x14ac:dyDescent="0.25">
      <c r="A151" s="19" t="s">
        <v>7</v>
      </c>
      <c r="B151" s="1">
        <v>358</v>
      </c>
      <c r="C151" s="1">
        <v>1</v>
      </c>
      <c r="D151" s="2">
        <v>161</v>
      </c>
      <c r="E151" s="18" t="s">
        <v>14556</v>
      </c>
      <c r="F151" s="22" t="s">
        <v>14560</v>
      </c>
      <c r="G151">
        <v>99.3</v>
      </c>
      <c r="H151">
        <v>99.3</v>
      </c>
      <c r="I151">
        <v>100</v>
      </c>
      <c r="J151">
        <v>100</v>
      </c>
      <c r="K151" t="s">
        <v>15060</v>
      </c>
    </row>
    <row r="152" spans="1:11" x14ac:dyDescent="0.25">
      <c r="A152" s="19" t="s">
        <v>9</v>
      </c>
      <c r="B152" s="1">
        <v>301</v>
      </c>
      <c r="C152" s="1">
        <v>1</v>
      </c>
      <c r="D152" s="2">
        <v>10</v>
      </c>
      <c r="E152" s="18" t="s">
        <v>14556</v>
      </c>
      <c r="F152" s="22" t="s">
        <v>14560</v>
      </c>
      <c r="G152" t="s">
        <v>14570</v>
      </c>
      <c r="H152" t="s">
        <v>14570</v>
      </c>
      <c r="I152">
        <v>98.6</v>
      </c>
      <c r="J152">
        <v>99.5</v>
      </c>
      <c r="K152" t="s">
        <v>15060</v>
      </c>
    </row>
    <row r="153" spans="1:11" x14ac:dyDescent="0.25">
      <c r="A153" s="19" t="s">
        <v>13819</v>
      </c>
      <c r="B153" s="1">
        <v>402</v>
      </c>
      <c r="C153" s="1">
        <v>2</v>
      </c>
      <c r="D153" s="27">
        <v>163164</v>
      </c>
      <c r="E153" s="18" t="s">
        <v>14556</v>
      </c>
      <c r="F153" s="22" t="s">
        <v>14560</v>
      </c>
      <c r="G153">
        <v>90.2</v>
      </c>
      <c r="H153">
        <v>85.1</v>
      </c>
      <c r="I153">
        <v>98.7</v>
      </c>
      <c r="J153">
        <v>99.6</v>
      </c>
      <c r="K153" t="s">
        <v>15059</v>
      </c>
    </row>
    <row r="154" spans="1:11" x14ac:dyDescent="0.25">
      <c r="A154" s="19" t="s">
        <v>13619</v>
      </c>
      <c r="B154" s="1">
        <v>771</v>
      </c>
      <c r="C154" s="1">
        <v>1</v>
      </c>
      <c r="D154" s="2">
        <v>661</v>
      </c>
      <c r="E154" s="18" t="s">
        <v>14556</v>
      </c>
      <c r="F154" s="22" t="s">
        <v>14560</v>
      </c>
      <c r="G154">
        <v>99.7</v>
      </c>
      <c r="H154">
        <v>99.4</v>
      </c>
      <c r="I154">
        <v>94</v>
      </c>
      <c r="J154">
        <v>94.8</v>
      </c>
      <c r="K154" t="s">
        <v>15059</v>
      </c>
    </row>
    <row r="155" spans="1:11" x14ac:dyDescent="0.25">
      <c r="A155" s="19" t="s">
        <v>13947</v>
      </c>
      <c r="B155" s="1">
        <v>934</v>
      </c>
      <c r="C155" s="1">
        <v>1</v>
      </c>
      <c r="D155" s="2">
        <v>75</v>
      </c>
      <c r="E155" s="18" t="s">
        <v>14556</v>
      </c>
      <c r="F155" s="22" t="s">
        <v>14560</v>
      </c>
      <c r="G155">
        <v>100</v>
      </c>
      <c r="H155">
        <v>100</v>
      </c>
      <c r="I155">
        <v>98.2</v>
      </c>
      <c r="J155">
        <v>97.7</v>
      </c>
      <c r="K155" t="s">
        <v>15059</v>
      </c>
    </row>
    <row r="156" spans="1:11" x14ac:dyDescent="0.25">
      <c r="A156" s="19" t="s">
        <v>13301</v>
      </c>
      <c r="B156" s="1">
        <v>380</v>
      </c>
      <c r="C156" s="1">
        <v>2</v>
      </c>
      <c r="D156" s="2" t="s">
        <v>15023</v>
      </c>
      <c r="E156" s="18" t="s">
        <v>14556</v>
      </c>
      <c r="F156" s="22" t="s">
        <v>14560</v>
      </c>
      <c r="G156">
        <v>95.7</v>
      </c>
      <c r="H156">
        <v>98.6</v>
      </c>
      <c r="I156">
        <v>97.9</v>
      </c>
      <c r="J156">
        <v>99.1</v>
      </c>
      <c r="K156" t="s">
        <v>15059</v>
      </c>
    </row>
    <row r="157" spans="1:11" x14ac:dyDescent="0.25">
      <c r="A157" s="19" t="s">
        <v>13429</v>
      </c>
      <c r="B157" s="1">
        <v>999</v>
      </c>
      <c r="C157" s="1">
        <v>1</v>
      </c>
      <c r="D157" s="2">
        <v>349</v>
      </c>
      <c r="E157" s="18" t="s">
        <v>14556</v>
      </c>
      <c r="F157" s="22" t="s">
        <v>14560</v>
      </c>
      <c r="G157">
        <v>92.9</v>
      </c>
      <c r="H157">
        <v>94.8</v>
      </c>
      <c r="I157">
        <v>98.6</v>
      </c>
      <c r="J157">
        <v>99.5</v>
      </c>
      <c r="K157" t="s">
        <v>15059</v>
      </c>
    </row>
    <row r="158" spans="1:11" x14ac:dyDescent="0.25">
      <c r="A158" s="19" t="s">
        <v>13419</v>
      </c>
      <c r="B158" s="1">
        <v>381</v>
      </c>
      <c r="C158" s="1">
        <v>1</v>
      </c>
      <c r="D158" s="2">
        <v>369</v>
      </c>
      <c r="E158" s="18" t="s">
        <v>14556</v>
      </c>
      <c r="F158" s="22" t="s">
        <v>14560</v>
      </c>
      <c r="G158">
        <v>100</v>
      </c>
      <c r="H158">
        <v>99.6</v>
      </c>
      <c r="I158">
        <v>100</v>
      </c>
      <c r="J158">
        <v>100</v>
      </c>
      <c r="K158" t="s">
        <v>15059</v>
      </c>
    </row>
    <row r="159" spans="1:11" x14ac:dyDescent="0.25">
      <c r="A159" s="19" t="s">
        <v>18</v>
      </c>
      <c r="B159" s="1">
        <v>558</v>
      </c>
      <c r="C159" s="1">
        <v>1</v>
      </c>
      <c r="D159" s="2">
        <v>114</v>
      </c>
      <c r="E159" s="18" t="s">
        <v>14556</v>
      </c>
      <c r="F159" s="22" t="s">
        <v>14560</v>
      </c>
      <c r="G159">
        <v>100</v>
      </c>
      <c r="H159">
        <v>100</v>
      </c>
      <c r="I159">
        <v>95.4</v>
      </c>
      <c r="J159">
        <v>98.2</v>
      </c>
      <c r="K159" t="s">
        <v>15060</v>
      </c>
    </row>
    <row r="160" spans="1:11" x14ac:dyDescent="0.25">
      <c r="A160" s="19" t="s">
        <v>14486</v>
      </c>
      <c r="B160" s="1">
        <v>768</v>
      </c>
      <c r="C160" s="1">
        <v>1</v>
      </c>
      <c r="D160" s="2">
        <v>424</v>
      </c>
      <c r="E160" s="18" t="s">
        <v>14556</v>
      </c>
      <c r="F160" s="22" t="s">
        <v>14560</v>
      </c>
      <c r="G160">
        <v>99.8</v>
      </c>
      <c r="H160">
        <v>99.6</v>
      </c>
      <c r="I160">
        <v>99.7</v>
      </c>
      <c r="J160">
        <v>99.9</v>
      </c>
      <c r="K160" t="s">
        <v>15059</v>
      </c>
    </row>
    <row r="161" spans="1:11" x14ac:dyDescent="0.25">
      <c r="A161" s="19" t="s">
        <v>13994</v>
      </c>
      <c r="B161" s="1">
        <v>622</v>
      </c>
      <c r="C161" s="1">
        <v>1</v>
      </c>
      <c r="D161" s="2">
        <v>51</v>
      </c>
      <c r="E161" s="18" t="s">
        <v>14556</v>
      </c>
      <c r="F161" s="22" t="s">
        <v>14560</v>
      </c>
      <c r="G161">
        <v>100</v>
      </c>
      <c r="H161">
        <v>100</v>
      </c>
      <c r="I161">
        <v>99.3</v>
      </c>
      <c r="J161">
        <v>99.6</v>
      </c>
      <c r="K161" t="s">
        <v>15059</v>
      </c>
    </row>
    <row r="162" spans="1:11" x14ac:dyDescent="0.25">
      <c r="A162" s="19" t="s">
        <v>13995</v>
      </c>
      <c r="B162" s="1">
        <v>165</v>
      </c>
      <c r="C162" s="1">
        <v>1</v>
      </c>
      <c r="D162" s="2">
        <v>51</v>
      </c>
      <c r="E162" s="18" t="s">
        <v>14556</v>
      </c>
      <c r="F162" s="22" t="s">
        <v>14560</v>
      </c>
      <c r="G162">
        <v>100</v>
      </c>
      <c r="H162">
        <v>100</v>
      </c>
      <c r="I162">
        <v>98.1</v>
      </c>
      <c r="J162">
        <v>99.4</v>
      </c>
      <c r="K162" t="s">
        <v>15059</v>
      </c>
    </row>
    <row r="163" spans="1:11" x14ac:dyDescent="0.25">
      <c r="A163" s="19" t="s">
        <v>13867</v>
      </c>
      <c r="B163" s="1">
        <v>872</v>
      </c>
      <c r="C163" s="1">
        <v>2</v>
      </c>
      <c r="D163" s="2" t="s">
        <v>15022</v>
      </c>
      <c r="E163" s="18" t="s">
        <v>14556</v>
      </c>
      <c r="F163" s="22" t="s">
        <v>14560</v>
      </c>
      <c r="G163">
        <v>100</v>
      </c>
      <c r="H163">
        <v>100</v>
      </c>
      <c r="I163">
        <v>98.9</v>
      </c>
      <c r="J163">
        <v>99.6</v>
      </c>
      <c r="K163" t="s">
        <v>15059</v>
      </c>
    </row>
    <row r="164" spans="1:11" x14ac:dyDescent="0.25">
      <c r="A164" s="19" t="s">
        <v>13757</v>
      </c>
      <c r="B164" s="1">
        <v>640</v>
      </c>
      <c r="C164" s="1">
        <v>1</v>
      </c>
      <c r="D164" s="2">
        <v>134</v>
      </c>
      <c r="E164" s="18" t="s">
        <v>14556</v>
      </c>
      <c r="F164" s="22" t="s">
        <v>14560</v>
      </c>
      <c r="G164">
        <v>99.2</v>
      </c>
      <c r="H164">
        <v>99.5</v>
      </c>
      <c r="I164">
        <v>99</v>
      </c>
      <c r="J164">
        <v>99.5</v>
      </c>
      <c r="K164" t="s">
        <v>15059</v>
      </c>
    </row>
    <row r="165" spans="1:11" x14ac:dyDescent="0.25">
      <c r="A165" s="19" t="s">
        <v>14190</v>
      </c>
      <c r="B165" s="1">
        <v>1578</v>
      </c>
      <c r="C165" s="1">
        <v>1</v>
      </c>
      <c r="D165" s="2">
        <v>1495</v>
      </c>
      <c r="E165" s="18" t="s">
        <v>14556</v>
      </c>
      <c r="F165" s="22" t="s">
        <v>14560</v>
      </c>
      <c r="G165">
        <v>99.1</v>
      </c>
      <c r="H165">
        <v>99.5</v>
      </c>
      <c r="I165">
        <v>100</v>
      </c>
      <c r="J165">
        <v>100</v>
      </c>
      <c r="K165" t="s">
        <v>15059</v>
      </c>
    </row>
    <row r="166" spans="1:11" x14ac:dyDescent="0.25">
      <c r="A166" s="19" t="s">
        <v>51</v>
      </c>
      <c r="B166" s="1">
        <v>101</v>
      </c>
      <c r="C166" s="1">
        <v>1</v>
      </c>
      <c r="D166" s="2">
        <v>43</v>
      </c>
      <c r="E166" s="18" t="s">
        <v>14556</v>
      </c>
      <c r="F166" s="24" t="s">
        <v>14557</v>
      </c>
      <c r="G166">
        <v>100</v>
      </c>
      <c r="H166">
        <v>98</v>
      </c>
      <c r="I166">
        <v>93.8</v>
      </c>
      <c r="J166">
        <v>96.6</v>
      </c>
      <c r="K166" t="s">
        <v>15064</v>
      </c>
    </row>
    <row r="167" spans="1:11" x14ac:dyDescent="0.25">
      <c r="A167" s="19" t="s">
        <v>65</v>
      </c>
      <c r="B167" s="1">
        <v>622</v>
      </c>
      <c r="C167" s="1">
        <v>1</v>
      </c>
      <c r="D167" s="2">
        <v>2</v>
      </c>
      <c r="E167" s="18" t="s">
        <v>14556</v>
      </c>
      <c r="F167" s="22" t="s">
        <v>14560</v>
      </c>
      <c r="G167" t="s">
        <v>14570</v>
      </c>
      <c r="H167" t="s">
        <v>14570</v>
      </c>
      <c r="I167">
        <v>98.9</v>
      </c>
      <c r="J167">
        <v>99.6</v>
      </c>
      <c r="K167" t="s">
        <v>15060</v>
      </c>
    </row>
    <row r="168" spans="1:11" x14ac:dyDescent="0.25">
      <c r="A168" s="19" t="s">
        <v>14342</v>
      </c>
      <c r="B168" s="1">
        <v>487</v>
      </c>
      <c r="C168" s="1">
        <v>1</v>
      </c>
      <c r="D168" s="2">
        <v>255</v>
      </c>
      <c r="E168" s="18" t="s">
        <v>14556</v>
      </c>
      <c r="F168" s="22" t="s">
        <v>14560</v>
      </c>
      <c r="G168">
        <v>100</v>
      </c>
      <c r="H168">
        <v>99.9</v>
      </c>
      <c r="I168">
        <v>98.2</v>
      </c>
      <c r="J168">
        <v>99.4</v>
      </c>
      <c r="K168" t="s">
        <v>15059</v>
      </c>
    </row>
    <row r="169" spans="1:11" x14ac:dyDescent="0.25">
      <c r="A169" s="19" t="s">
        <v>14431</v>
      </c>
      <c r="B169" s="1">
        <v>768</v>
      </c>
      <c r="C169" s="1">
        <v>2</v>
      </c>
      <c r="D169" s="27">
        <v>548554</v>
      </c>
      <c r="E169" s="18" t="s">
        <v>14556</v>
      </c>
      <c r="F169" s="22" t="s">
        <v>14560</v>
      </c>
      <c r="G169">
        <v>99.8</v>
      </c>
      <c r="H169">
        <v>99.9</v>
      </c>
      <c r="I169">
        <v>98.5</v>
      </c>
      <c r="J169">
        <v>97.6</v>
      </c>
      <c r="K169" t="s">
        <v>15059</v>
      </c>
    </row>
    <row r="170" spans="1:11" x14ac:dyDescent="0.25">
      <c r="A170" s="19" t="s">
        <v>14108</v>
      </c>
      <c r="B170" s="1">
        <v>139</v>
      </c>
      <c r="C170" s="1">
        <v>1</v>
      </c>
      <c r="D170" s="2">
        <v>60</v>
      </c>
      <c r="E170" s="18" t="s">
        <v>14556</v>
      </c>
      <c r="F170" s="22" t="s">
        <v>14560</v>
      </c>
      <c r="G170">
        <v>100</v>
      </c>
      <c r="H170">
        <v>100</v>
      </c>
      <c r="I170">
        <v>97.1</v>
      </c>
      <c r="J170">
        <v>99</v>
      </c>
      <c r="K170" t="s">
        <v>15059</v>
      </c>
    </row>
    <row r="171" spans="1:11" x14ac:dyDescent="0.25">
      <c r="A171" s="19" t="s">
        <v>13825</v>
      </c>
      <c r="B171" s="1">
        <v>271</v>
      </c>
      <c r="C171" s="1">
        <v>1</v>
      </c>
      <c r="D171" s="2">
        <v>56</v>
      </c>
      <c r="E171" s="18" t="s">
        <v>14556</v>
      </c>
      <c r="F171" s="22" t="s">
        <v>14560</v>
      </c>
      <c r="G171">
        <v>95.7</v>
      </c>
      <c r="H171">
        <v>97.8</v>
      </c>
      <c r="I171">
        <v>99</v>
      </c>
      <c r="J171">
        <v>99.4</v>
      </c>
      <c r="K171" t="s">
        <v>15059</v>
      </c>
    </row>
    <row r="172" spans="1:11" x14ac:dyDescent="0.25">
      <c r="A172" s="19" t="s">
        <v>66</v>
      </c>
      <c r="B172" s="1">
        <v>860</v>
      </c>
      <c r="C172" s="1">
        <v>1</v>
      </c>
      <c r="D172" s="2">
        <v>337</v>
      </c>
      <c r="E172" s="18" t="s">
        <v>14556</v>
      </c>
      <c r="F172" s="22" t="s">
        <v>14560</v>
      </c>
      <c r="G172">
        <v>99.7</v>
      </c>
      <c r="H172">
        <v>99.5</v>
      </c>
      <c r="I172">
        <v>99.6</v>
      </c>
      <c r="J172">
        <v>99.8</v>
      </c>
      <c r="K172" t="s">
        <v>15060</v>
      </c>
    </row>
    <row r="173" spans="1:11" x14ac:dyDescent="0.25">
      <c r="A173" s="19" t="s">
        <v>53</v>
      </c>
      <c r="B173" s="1">
        <v>298</v>
      </c>
      <c r="C173" s="1">
        <v>1</v>
      </c>
      <c r="D173" s="2">
        <v>192</v>
      </c>
      <c r="E173" s="18" t="s">
        <v>14556</v>
      </c>
      <c r="F173" s="22" t="s">
        <v>14560</v>
      </c>
      <c r="G173">
        <v>99.5</v>
      </c>
      <c r="H173">
        <v>99.6</v>
      </c>
      <c r="I173">
        <v>100</v>
      </c>
      <c r="J173">
        <v>100</v>
      </c>
      <c r="K173" t="s">
        <v>15060</v>
      </c>
    </row>
    <row r="174" spans="1:11" x14ac:dyDescent="0.25">
      <c r="A174" s="19" t="s">
        <v>14383</v>
      </c>
      <c r="B174" s="1">
        <v>686</v>
      </c>
      <c r="C174" s="1">
        <v>1</v>
      </c>
      <c r="D174" s="2" t="s">
        <v>190</v>
      </c>
      <c r="E174" s="18" t="s">
        <v>14556</v>
      </c>
      <c r="F174" s="1" t="s">
        <v>14560</v>
      </c>
      <c r="G174">
        <v>98.2</v>
      </c>
      <c r="H174">
        <v>99</v>
      </c>
      <c r="I174" t="s">
        <v>14570</v>
      </c>
      <c r="J174" t="s">
        <v>12438</v>
      </c>
      <c r="K174" t="s">
        <v>15062</v>
      </c>
    </row>
    <row r="175" spans="1:11" x14ac:dyDescent="0.25">
      <c r="A175" s="19" t="s">
        <v>14049</v>
      </c>
      <c r="B175" s="1">
        <v>427</v>
      </c>
      <c r="C175" s="1">
        <v>1</v>
      </c>
      <c r="D175" s="2">
        <v>309</v>
      </c>
      <c r="E175" s="18" t="s">
        <v>14556</v>
      </c>
      <c r="F175" s="22" t="s">
        <v>14560</v>
      </c>
      <c r="G175">
        <v>100</v>
      </c>
      <c r="H175">
        <v>99.8</v>
      </c>
      <c r="I175">
        <v>89.9</v>
      </c>
      <c r="J175">
        <v>90.2</v>
      </c>
      <c r="K175" t="s">
        <v>15059</v>
      </c>
    </row>
    <row r="176" spans="1:11" x14ac:dyDescent="0.25">
      <c r="A176" s="19" t="s">
        <v>13616</v>
      </c>
      <c r="B176" s="1">
        <v>523</v>
      </c>
      <c r="C176" s="1">
        <v>1</v>
      </c>
      <c r="D176" s="2">
        <v>434</v>
      </c>
      <c r="E176" s="18" t="s">
        <v>14556</v>
      </c>
      <c r="F176" s="22" t="s">
        <v>14560</v>
      </c>
      <c r="G176">
        <v>99.1</v>
      </c>
      <c r="H176">
        <v>99.4</v>
      </c>
      <c r="I176">
        <v>96.2</v>
      </c>
      <c r="J176">
        <v>98.3</v>
      </c>
      <c r="K176" t="s">
        <v>15059</v>
      </c>
    </row>
    <row r="177" spans="1:11" x14ac:dyDescent="0.25">
      <c r="A177" s="19" t="s">
        <v>54</v>
      </c>
      <c r="B177" s="1">
        <v>188</v>
      </c>
      <c r="C177" s="1">
        <v>1</v>
      </c>
      <c r="D177" s="2" t="s">
        <v>190</v>
      </c>
      <c r="E177" s="18" t="s">
        <v>14556</v>
      </c>
      <c r="F177" s="24" t="s">
        <v>14557</v>
      </c>
      <c r="G177">
        <v>96</v>
      </c>
      <c r="H177">
        <v>97.9</v>
      </c>
      <c r="I177" t="s">
        <v>14570</v>
      </c>
      <c r="J177" t="s">
        <v>12438</v>
      </c>
      <c r="K177" t="s">
        <v>15064</v>
      </c>
    </row>
    <row r="178" spans="1:11" x14ac:dyDescent="0.25">
      <c r="A178" s="19" t="s">
        <v>14430</v>
      </c>
      <c r="B178" s="1">
        <v>1254</v>
      </c>
      <c r="C178" s="1">
        <v>2</v>
      </c>
      <c r="D178" s="27">
        <v>10341040</v>
      </c>
      <c r="E178" t="s">
        <v>14930</v>
      </c>
      <c r="F178" s="22" t="s">
        <v>14560</v>
      </c>
      <c r="G178">
        <v>99.9</v>
      </c>
      <c r="H178">
        <v>99.8</v>
      </c>
      <c r="I178">
        <v>98.5</v>
      </c>
      <c r="J178">
        <v>97.6</v>
      </c>
      <c r="K178" t="s">
        <v>15059</v>
      </c>
    </row>
    <row r="179" spans="1:11" x14ac:dyDescent="0.25">
      <c r="A179" s="19" t="s">
        <v>12</v>
      </c>
      <c r="B179" s="1">
        <v>222</v>
      </c>
      <c r="C179" s="1">
        <v>1</v>
      </c>
      <c r="D179" s="2">
        <v>195</v>
      </c>
      <c r="E179" t="s">
        <v>14930</v>
      </c>
      <c r="F179" s="22" t="s">
        <v>14560</v>
      </c>
      <c r="G179">
        <v>100</v>
      </c>
      <c r="H179">
        <v>99.6</v>
      </c>
      <c r="I179">
        <v>100</v>
      </c>
      <c r="J179">
        <v>100</v>
      </c>
      <c r="K179" t="s">
        <v>15060</v>
      </c>
    </row>
    <row r="180" spans="1:11" x14ac:dyDescent="0.25">
      <c r="A180" s="19" t="s">
        <v>1</v>
      </c>
      <c r="B180" s="1">
        <v>219</v>
      </c>
      <c r="C180" s="1">
        <v>2</v>
      </c>
      <c r="D180" s="27">
        <v>117119</v>
      </c>
      <c r="E180" s="18" t="s">
        <v>14556</v>
      </c>
      <c r="F180" s="22" t="s">
        <v>14560</v>
      </c>
      <c r="G180">
        <v>99.1</v>
      </c>
      <c r="H180">
        <v>99.4</v>
      </c>
      <c r="I180">
        <v>100</v>
      </c>
      <c r="J180">
        <v>100</v>
      </c>
      <c r="K180" t="s">
        <v>15060</v>
      </c>
    </row>
    <row r="181" spans="1:11" x14ac:dyDescent="0.25">
      <c r="A181" s="19" t="s">
        <v>55</v>
      </c>
      <c r="B181" s="1">
        <v>398</v>
      </c>
      <c r="C181" s="1">
        <v>1</v>
      </c>
      <c r="D181" s="2">
        <v>239</v>
      </c>
      <c r="E181" s="18" t="s">
        <v>15021</v>
      </c>
      <c r="F181" s="23" t="s">
        <v>14557</v>
      </c>
      <c r="G181">
        <v>98.7</v>
      </c>
      <c r="H181">
        <v>99.3</v>
      </c>
      <c r="I181">
        <v>99.3</v>
      </c>
      <c r="J181">
        <v>99.3</v>
      </c>
      <c r="K181" t="s">
        <v>15064</v>
      </c>
    </row>
    <row r="182" spans="1:11" x14ac:dyDescent="0.25">
      <c r="A182" s="19" t="s">
        <v>15</v>
      </c>
      <c r="B182" s="1">
        <v>1156</v>
      </c>
      <c r="C182" s="1">
        <v>1</v>
      </c>
      <c r="D182" s="2">
        <v>494</v>
      </c>
      <c r="E182" s="18" t="s">
        <v>14556</v>
      </c>
      <c r="F182" s="22" t="s">
        <v>14560</v>
      </c>
      <c r="G182">
        <v>99.6</v>
      </c>
      <c r="H182">
        <v>99.4</v>
      </c>
      <c r="I182">
        <v>99.1</v>
      </c>
      <c r="J182">
        <v>99.5</v>
      </c>
      <c r="K182" s="18" t="s">
        <v>15060</v>
      </c>
    </row>
    <row r="183" spans="1:11" x14ac:dyDescent="0.25">
      <c r="A183" s="19" t="s">
        <v>14308</v>
      </c>
      <c r="B183" s="1">
        <v>2327</v>
      </c>
      <c r="C183" s="1">
        <v>1</v>
      </c>
      <c r="D183" s="2">
        <v>1777</v>
      </c>
      <c r="E183" s="18" t="s">
        <v>14556</v>
      </c>
      <c r="F183" s="22" t="s">
        <v>14560</v>
      </c>
      <c r="G183">
        <v>98.9</v>
      </c>
      <c r="H183">
        <v>99.2</v>
      </c>
      <c r="I183">
        <v>98.8</v>
      </c>
      <c r="J183">
        <v>95.1</v>
      </c>
      <c r="K183" t="s">
        <v>15059</v>
      </c>
    </row>
    <row r="184" spans="1:11" x14ac:dyDescent="0.25">
      <c r="A184" s="19" t="s">
        <v>56</v>
      </c>
      <c r="B184" s="1">
        <v>355</v>
      </c>
      <c r="C184" s="1">
        <v>1</v>
      </c>
      <c r="D184" s="2">
        <v>325</v>
      </c>
      <c r="E184" s="18" t="s">
        <v>14556</v>
      </c>
      <c r="F184" s="22" t="s">
        <v>14560</v>
      </c>
      <c r="G184">
        <v>99.4</v>
      </c>
      <c r="H184">
        <v>99.3</v>
      </c>
      <c r="I184">
        <v>100</v>
      </c>
      <c r="J184">
        <v>100</v>
      </c>
      <c r="K184" s="18" t="s">
        <v>15060</v>
      </c>
    </row>
    <row r="185" spans="1:11" x14ac:dyDescent="0.25">
      <c r="A185" s="19" t="s">
        <v>57</v>
      </c>
      <c r="B185" s="1">
        <v>324</v>
      </c>
      <c r="C185" s="1">
        <v>1</v>
      </c>
      <c r="D185" s="2">
        <v>186</v>
      </c>
      <c r="E185" t="s">
        <v>14930</v>
      </c>
      <c r="F185" s="22" t="s">
        <v>14560</v>
      </c>
      <c r="G185">
        <v>99.4</v>
      </c>
      <c r="H185">
        <v>99.4</v>
      </c>
      <c r="I185">
        <v>93.4</v>
      </c>
      <c r="J185">
        <v>93.9</v>
      </c>
      <c r="K185" s="18" t="s">
        <v>15060</v>
      </c>
    </row>
    <row r="186" spans="1:11" x14ac:dyDescent="0.25">
      <c r="A186" s="19" t="s">
        <v>58</v>
      </c>
      <c r="B186" s="1">
        <v>545</v>
      </c>
      <c r="C186" s="1">
        <v>1</v>
      </c>
      <c r="D186" s="2">
        <v>225</v>
      </c>
      <c r="E186" s="18" t="s">
        <v>14556</v>
      </c>
      <c r="F186" s="22" t="s">
        <v>14560</v>
      </c>
      <c r="G186">
        <v>97.7</v>
      </c>
      <c r="H186">
        <v>98.5</v>
      </c>
      <c r="I186">
        <v>99.7</v>
      </c>
      <c r="J186">
        <v>99.8</v>
      </c>
      <c r="K186" s="18" t="s">
        <v>15060</v>
      </c>
    </row>
    <row r="187" spans="1:11" x14ac:dyDescent="0.25">
      <c r="A187" s="19" t="s">
        <v>13823</v>
      </c>
      <c r="B187" s="1">
        <v>429</v>
      </c>
      <c r="C187" s="1">
        <v>1</v>
      </c>
      <c r="D187" s="2">
        <v>331</v>
      </c>
      <c r="E187" s="18" t="s">
        <v>14556</v>
      </c>
      <c r="F187" s="22" t="s">
        <v>14560</v>
      </c>
      <c r="G187">
        <v>98.1</v>
      </c>
      <c r="H187">
        <v>98</v>
      </c>
      <c r="I187">
        <v>100</v>
      </c>
      <c r="J187">
        <v>100</v>
      </c>
      <c r="K187" t="s">
        <v>15059</v>
      </c>
    </row>
    <row r="188" spans="1:11" x14ac:dyDescent="0.25">
      <c r="A188" s="19" t="s">
        <v>59</v>
      </c>
      <c r="B188" s="1">
        <v>160</v>
      </c>
      <c r="C188" s="1">
        <v>1</v>
      </c>
      <c r="D188" s="2">
        <v>92</v>
      </c>
      <c r="E188" t="s">
        <v>14930</v>
      </c>
      <c r="F188" s="22" t="s">
        <v>14560</v>
      </c>
      <c r="G188">
        <v>100</v>
      </c>
      <c r="H188">
        <v>99.6</v>
      </c>
      <c r="I188">
        <v>100</v>
      </c>
      <c r="J188">
        <v>100</v>
      </c>
      <c r="K188" s="18" t="s">
        <v>15060</v>
      </c>
    </row>
    <row r="189" spans="1:11" x14ac:dyDescent="0.25">
      <c r="A189" s="19" t="s">
        <v>13936</v>
      </c>
      <c r="B189" s="1">
        <v>639</v>
      </c>
      <c r="C189" s="1">
        <v>2</v>
      </c>
      <c r="D189" s="2" t="s">
        <v>15020</v>
      </c>
      <c r="E189" s="18" t="s">
        <v>14556</v>
      </c>
      <c r="F189" s="22" t="s">
        <v>14560</v>
      </c>
      <c r="G189">
        <v>98.8</v>
      </c>
      <c r="H189">
        <v>99.6</v>
      </c>
      <c r="I189">
        <v>98.3</v>
      </c>
      <c r="J189">
        <v>98.5</v>
      </c>
      <c r="K189" t="s">
        <v>15059</v>
      </c>
    </row>
    <row r="190" spans="1:11" x14ac:dyDescent="0.25">
      <c r="A190" s="19" t="s">
        <v>14234</v>
      </c>
      <c r="B190" s="1">
        <v>261</v>
      </c>
      <c r="C190" s="1">
        <v>1</v>
      </c>
      <c r="D190" s="2">
        <v>77</v>
      </c>
      <c r="E190" t="s">
        <v>14930</v>
      </c>
      <c r="F190" s="22" t="s">
        <v>14560</v>
      </c>
      <c r="G190">
        <v>100</v>
      </c>
      <c r="H190">
        <v>100</v>
      </c>
      <c r="I190">
        <v>100</v>
      </c>
      <c r="J190">
        <v>99.8</v>
      </c>
      <c r="K190" t="s">
        <v>15059</v>
      </c>
    </row>
    <row r="191" spans="1:11" x14ac:dyDescent="0.25">
      <c r="A191" s="19" t="s">
        <v>60</v>
      </c>
      <c r="B191" s="1">
        <v>105</v>
      </c>
      <c r="C191" s="1">
        <v>1</v>
      </c>
      <c r="D191" s="2">
        <v>67</v>
      </c>
      <c r="E191" t="s">
        <v>14930</v>
      </c>
      <c r="F191" s="22" t="s">
        <v>14560</v>
      </c>
      <c r="G191">
        <v>100</v>
      </c>
      <c r="H191">
        <v>100</v>
      </c>
      <c r="I191">
        <v>100</v>
      </c>
      <c r="J191">
        <v>100</v>
      </c>
      <c r="K191" s="18" t="s">
        <v>15060</v>
      </c>
    </row>
    <row r="192" spans="1:11" x14ac:dyDescent="0.25">
      <c r="A192" s="19" t="s">
        <v>13380</v>
      </c>
      <c r="B192" s="1">
        <v>329</v>
      </c>
      <c r="C192" s="1">
        <v>1</v>
      </c>
      <c r="D192" s="2" t="s">
        <v>190</v>
      </c>
      <c r="E192" s="18" t="s">
        <v>14556</v>
      </c>
      <c r="F192" s="22" t="s">
        <v>14560</v>
      </c>
      <c r="G192">
        <v>94.3</v>
      </c>
      <c r="H192">
        <v>94.9</v>
      </c>
      <c r="I192" t="s">
        <v>14570</v>
      </c>
      <c r="J192" t="s">
        <v>12438</v>
      </c>
      <c r="K192" t="s">
        <v>15062</v>
      </c>
    </row>
    <row r="193" spans="1:11" x14ac:dyDescent="0.25">
      <c r="A193" s="19" t="s">
        <v>13948</v>
      </c>
      <c r="B193" s="1">
        <v>457</v>
      </c>
      <c r="C193" s="1">
        <v>1</v>
      </c>
      <c r="D193" s="2">
        <v>108</v>
      </c>
      <c r="E193" s="18" t="s">
        <v>14556</v>
      </c>
      <c r="F193" s="22" t="s">
        <v>14560</v>
      </c>
      <c r="G193">
        <v>93.9</v>
      </c>
      <c r="H193">
        <v>83.8</v>
      </c>
      <c r="I193">
        <v>99.4</v>
      </c>
      <c r="J193">
        <v>99.8</v>
      </c>
      <c r="K193" t="s">
        <v>15059</v>
      </c>
    </row>
    <row r="194" spans="1:11" x14ac:dyDescent="0.25">
      <c r="A194" s="19" t="s">
        <v>13758</v>
      </c>
      <c r="B194" s="1">
        <v>788</v>
      </c>
      <c r="C194" s="1">
        <v>2</v>
      </c>
      <c r="D194" s="27">
        <v>715721</v>
      </c>
      <c r="E194" s="18" t="s">
        <v>14556</v>
      </c>
      <c r="F194" s="22" t="s">
        <v>14560</v>
      </c>
      <c r="G194">
        <v>95.6</v>
      </c>
      <c r="H194">
        <v>95.7</v>
      </c>
      <c r="I194">
        <v>90.3</v>
      </c>
      <c r="J194">
        <v>91.7</v>
      </c>
      <c r="K194" t="s">
        <v>15059</v>
      </c>
    </row>
    <row r="195" spans="1:11" x14ac:dyDescent="0.25">
      <c r="A195" s="19" t="s">
        <v>13653</v>
      </c>
      <c r="B195" s="1">
        <v>168</v>
      </c>
      <c r="C195" s="1">
        <v>1</v>
      </c>
      <c r="D195" s="2" t="s">
        <v>190</v>
      </c>
      <c r="E195" s="18" t="s">
        <v>14556</v>
      </c>
      <c r="F195" s="22" t="s">
        <v>14560</v>
      </c>
      <c r="G195">
        <v>99.3</v>
      </c>
      <c r="H195">
        <v>99.6</v>
      </c>
      <c r="I195" t="s">
        <v>14570</v>
      </c>
      <c r="J195" t="s">
        <v>12438</v>
      </c>
      <c r="K195" t="s">
        <v>15062</v>
      </c>
    </row>
    <row r="196" spans="1:11" x14ac:dyDescent="0.25">
      <c r="A196" s="19" t="s">
        <v>13797</v>
      </c>
      <c r="B196" s="1">
        <v>907</v>
      </c>
      <c r="C196" s="1">
        <v>1</v>
      </c>
      <c r="D196" s="2">
        <v>413</v>
      </c>
      <c r="E196" s="18" t="s">
        <v>14556</v>
      </c>
      <c r="F196" s="22" t="s">
        <v>14560</v>
      </c>
      <c r="G196">
        <v>99.5</v>
      </c>
      <c r="H196">
        <v>99.4</v>
      </c>
      <c r="I196">
        <v>98.8</v>
      </c>
      <c r="J196">
        <v>99.6</v>
      </c>
      <c r="K196" t="s">
        <v>15059</v>
      </c>
    </row>
    <row r="197" spans="1:11" x14ac:dyDescent="0.25">
      <c r="A197" s="19" t="s">
        <v>14051</v>
      </c>
      <c r="B197" s="1">
        <v>169</v>
      </c>
      <c r="C197" s="1">
        <v>1</v>
      </c>
      <c r="D197" s="2">
        <v>149</v>
      </c>
      <c r="E197" s="18" t="s">
        <v>14556</v>
      </c>
      <c r="F197" s="22" t="s">
        <v>14560</v>
      </c>
      <c r="G197">
        <v>100</v>
      </c>
      <c r="H197">
        <v>100</v>
      </c>
      <c r="I197">
        <v>100</v>
      </c>
      <c r="J197">
        <v>100</v>
      </c>
      <c r="K197" t="s">
        <v>15059</v>
      </c>
    </row>
    <row r="198" spans="1:11" x14ac:dyDescent="0.25">
      <c r="A198" s="19" t="s">
        <v>62</v>
      </c>
      <c r="B198" s="1">
        <v>789</v>
      </c>
      <c r="C198" s="1">
        <v>1</v>
      </c>
      <c r="D198" s="2">
        <v>567</v>
      </c>
      <c r="E198" s="18" t="s">
        <v>14556</v>
      </c>
      <c r="F198" s="22" t="s">
        <v>14560</v>
      </c>
      <c r="G198">
        <v>98.7</v>
      </c>
      <c r="H198">
        <v>98.3</v>
      </c>
      <c r="I198">
        <v>99.5</v>
      </c>
      <c r="J198">
        <v>99.8</v>
      </c>
      <c r="K198" s="18" t="s">
        <v>15060</v>
      </c>
    </row>
    <row r="199" spans="1:11" x14ac:dyDescent="0.25">
      <c r="A199" s="19" t="s">
        <v>14819</v>
      </c>
      <c r="B199" s="1">
        <v>696</v>
      </c>
      <c r="C199" s="1">
        <v>6</v>
      </c>
      <c r="D199" s="2" t="s">
        <v>15019</v>
      </c>
      <c r="E199" s="18" t="s">
        <v>14556</v>
      </c>
      <c r="F199" s="1" t="s">
        <v>14560</v>
      </c>
      <c r="G199">
        <v>96.6</v>
      </c>
      <c r="H199">
        <v>98.7</v>
      </c>
      <c r="I199">
        <v>50</v>
      </c>
      <c r="J199">
        <v>100</v>
      </c>
      <c r="K199" t="s">
        <v>15066</v>
      </c>
    </row>
    <row r="200" spans="1:11" x14ac:dyDescent="0.25">
      <c r="A200" s="19" t="s">
        <v>14820</v>
      </c>
      <c r="B200" s="1">
        <v>2779</v>
      </c>
      <c r="C200" s="1">
        <v>99</v>
      </c>
      <c r="D200" s="2" t="s">
        <v>15018</v>
      </c>
      <c r="E200" s="18" t="s">
        <v>14556</v>
      </c>
      <c r="F200" s="1" t="s">
        <v>14560</v>
      </c>
      <c r="G200">
        <v>99.9</v>
      </c>
      <c r="H200">
        <v>99.6</v>
      </c>
      <c r="I200">
        <v>22.4</v>
      </c>
      <c r="J200">
        <v>99.8</v>
      </c>
      <c r="K200" t="s">
        <v>15066</v>
      </c>
    </row>
    <row r="201" spans="1:11" x14ac:dyDescent="0.25">
      <c r="A201" s="19" t="s">
        <v>21</v>
      </c>
      <c r="B201" s="1">
        <v>1679</v>
      </c>
      <c r="C201" s="1">
        <v>37</v>
      </c>
      <c r="D201" s="2" t="s">
        <v>15017</v>
      </c>
      <c r="E201" t="s">
        <v>14930</v>
      </c>
      <c r="F201" s="1" t="s">
        <v>14560</v>
      </c>
      <c r="G201">
        <v>99.6</v>
      </c>
      <c r="H201">
        <v>99.6</v>
      </c>
      <c r="I201">
        <v>96.4</v>
      </c>
      <c r="J201">
        <v>96.3</v>
      </c>
      <c r="K201" t="s">
        <v>15061</v>
      </c>
    </row>
    <row r="202" spans="1:11" x14ac:dyDescent="0.25">
      <c r="A202" s="19" t="s">
        <v>14821</v>
      </c>
      <c r="B202" s="1">
        <v>593</v>
      </c>
      <c r="C202" s="1">
        <v>16</v>
      </c>
      <c r="D202" s="2" t="s">
        <v>15016</v>
      </c>
      <c r="E202" s="18" t="s">
        <v>14556</v>
      </c>
      <c r="F202" s="1" t="s">
        <v>14560</v>
      </c>
      <c r="G202">
        <v>96.5</v>
      </c>
      <c r="H202">
        <v>99.2</v>
      </c>
      <c r="I202">
        <v>30.6</v>
      </c>
      <c r="J202">
        <v>99.6</v>
      </c>
      <c r="K202" t="s">
        <v>15066</v>
      </c>
    </row>
    <row r="203" spans="1:11" x14ac:dyDescent="0.25">
      <c r="A203" s="19" t="s">
        <v>14822</v>
      </c>
      <c r="B203" s="1">
        <v>776</v>
      </c>
      <c r="C203" s="1">
        <v>16</v>
      </c>
      <c r="D203" s="2" t="s">
        <v>15015</v>
      </c>
      <c r="E203" s="18" t="s">
        <v>14556</v>
      </c>
      <c r="F203" s="1" t="s">
        <v>14560</v>
      </c>
      <c r="G203">
        <v>98.6</v>
      </c>
      <c r="H203">
        <v>98.8</v>
      </c>
      <c r="I203">
        <v>38.5</v>
      </c>
      <c r="J203">
        <v>99</v>
      </c>
      <c r="K203" t="s">
        <v>15066</v>
      </c>
    </row>
    <row r="204" spans="1:11" x14ac:dyDescent="0.25">
      <c r="A204" s="19" t="s">
        <v>14823</v>
      </c>
      <c r="B204" s="1">
        <v>540</v>
      </c>
      <c r="C204" s="1">
        <v>8</v>
      </c>
      <c r="D204" s="2" t="s">
        <v>15014</v>
      </c>
      <c r="E204" s="18" t="s">
        <v>14556</v>
      </c>
      <c r="F204" s="1" t="s">
        <v>14560</v>
      </c>
      <c r="G204">
        <v>99</v>
      </c>
      <c r="H204">
        <v>99.4</v>
      </c>
      <c r="I204">
        <v>25.6</v>
      </c>
      <c r="J204">
        <v>99.1</v>
      </c>
      <c r="K204" t="s">
        <v>15066</v>
      </c>
    </row>
    <row r="205" spans="1:11" x14ac:dyDescent="0.25">
      <c r="A205" s="19" t="s">
        <v>14824</v>
      </c>
      <c r="B205" s="1">
        <v>462</v>
      </c>
      <c r="C205" s="1">
        <v>14</v>
      </c>
      <c r="D205" s="2" t="s">
        <v>15013</v>
      </c>
      <c r="E205" s="18" t="s">
        <v>14556</v>
      </c>
      <c r="F205" s="1" t="s">
        <v>14560</v>
      </c>
      <c r="G205">
        <v>98</v>
      </c>
      <c r="H205">
        <v>96.4</v>
      </c>
      <c r="I205">
        <v>27.1</v>
      </c>
      <c r="J205">
        <v>98.9</v>
      </c>
      <c r="K205" t="s">
        <v>15065</v>
      </c>
    </row>
    <row r="206" spans="1:11" x14ac:dyDescent="0.25">
      <c r="A206" s="19" t="s">
        <v>14825</v>
      </c>
      <c r="B206" s="1">
        <v>649</v>
      </c>
      <c r="C206" s="1">
        <v>2</v>
      </c>
      <c r="D206" s="2" t="s">
        <v>15012</v>
      </c>
      <c r="E206" s="18" t="s">
        <v>14556</v>
      </c>
      <c r="F206" s="1" t="s">
        <v>14560</v>
      </c>
      <c r="G206">
        <v>100</v>
      </c>
      <c r="H206">
        <v>99.3</v>
      </c>
      <c r="I206">
        <v>75</v>
      </c>
      <c r="J206">
        <v>100</v>
      </c>
      <c r="K206" t="s">
        <v>15066</v>
      </c>
    </row>
    <row r="207" spans="1:11" x14ac:dyDescent="0.25">
      <c r="A207" s="19" t="s">
        <v>14826</v>
      </c>
      <c r="B207" s="1">
        <v>346</v>
      </c>
      <c r="C207" s="1">
        <v>8</v>
      </c>
      <c r="D207" s="2" t="s">
        <v>15011</v>
      </c>
      <c r="E207" s="18" t="s">
        <v>14556</v>
      </c>
      <c r="F207" s="1" t="s">
        <v>14560</v>
      </c>
      <c r="G207">
        <v>95.8</v>
      </c>
      <c r="H207">
        <v>96.9</v>
      </c>
      <c r="I207">
        <v>25</v>
      </c>
      <c r="J207">
        <v>99.8</v>
      </c>
      <c r="K207" t="s">
        <v>15065</v>
      </c>
    </row>
    <row r="208" spans="1:11" x14ac:dyDescent="0.25">
      <c r="A208" s="19" t="s">
        <v>14827</v>
      </c>
      <c r="B208" s="1">
        <v>863</v>
      </c>
      <c r="C208" s="1">
        <v>1</v>
      </c>
      <c r="D208" s="2">
        <v>822</v>
      </c>
      <c r="E208" s="18" t="s">
        <v>14556</v>
      </c>
      <c r="F208" s="1" t="s">
        <v>14560</v>
      </c>
      <c r="G208">
        <v>96.3</v>
      </c>
      <c r="H208">
        <v>97.7</v>
      </c>
      <c r="I208">
        <v>31.2</v>
      </c>
      <c r="J208">
        <v>100</v>
      </c>
      <c r="K208" t="s">
        <v>15066</v>
      </c>
    </row>
    <row r="209" spans="1:11" x14ac:dyDescent="0.25">
      <c r="A209" s="19" t="s">
        <v>14828</v>
      </c>
      <c r="B209" s="1">
        <v>406</v>
      </c>
      <c r="C209" s="1">
        <v>4</v>
      </c>
      <c r="D209" s="2" t="s">
        <v>15010</v>
      </c>
      <c r="E209" t="s">
        <v>14930</v>
      </c>
      <c r="F209" s="1" t="s">
        <v>14560</v>
      </c>
      <c r="G209">
        <v>98.2</v>
      </c>
      <c r="H209">
        <v>92.8</v>
      </c>
      <c r="I209">
        <v>36.799999999999997</v>
      </c>
      <c r="J209">
        <v>97.2</v>
      </c>
      <c r="K209" t="s">
        <v>15065</v>
      </c>
    </row>
    <row r="210" spans="1:11" x14ac:dyDescent="0.25">
      <c r="A210" s="19" t="s">
        <v>14829</v>
      </c>
      <c r="B210" s="1">
        <v>421</v>
      </c>
      <c r="C210" s="1">
        <v>11</v>
      </c>
      <c r="D210" s="2" t="s">
        <v>15009</v>
      </c>
      <c r="E210" s="18" t="s">
        <v>14556</v>
      </c>
      <c r="F210" s="1" t="s">
        <v>14560</v>
      </c>
      <c r="G210">
        <v>96.1</v>
      </c>
      <c r="H210">
        <v>95.8</v>
      </c>
      <c r="I210">
        <v>80</v>
      </c>
      <c r="J210">
        <v>100</v>
      </c>
      <c r="K210" t="s">
        <v>15065</v>
      </c>
    </row>
    <row r="211" spans="1:11" x14ac:dyDescent="0.25">
      <c r="A211" s="19" t="s">
        <v>14830</v>
      </c>
      <c r="B211" s="1">
        <v>1784</v>
      </c>
      <c r="C211" s="1">
        <v>52</v>
      </c>
      <c r="D211" s="2" t="s">
        <v>15008</v>
      </c>
      <c r="E211" s="18" t="s">
        <v>14556</v>
      </c>
      <c r="F211" s="1" t="s">
        <v>14560</v>
      </c>
      <c r="G211">
        <v>99.7</v>
      </c>
      <c r="H211">
        <v>98.7</v>
      </c>
      <c r="I211">
        <v>21.1</v>
      </c>
      <c r="J211">
        <v>99.7</v>
      </c>
      <c r="K211" t="s">
        <v>15066</v>
      </c>
    </row>
    <row r="212" spans="1:11" x14ac:dyDescent="0.25">
      <c r="A212" s="19" t="s">
        <v>14831</v>
      </c>
      <c r="B212" s="1">
        <v>1605</v>
      </c>
      <c r="C212" s="1">
        <v>1</v>
      </c>
      <c r="D212" s="2">
        <v>1530</v>
      </c>
      <c r="E212" s="18" t="s">
        <v>14556</v>
      </c>
      <c r="F212" s="1" t="s">
        <v>14560</v>
      </c>
      <c r="G212">
        <v>99</v>
      </c>
      <c r="H212">
        <v>99</v>
      </c>
      <c r="I212">
        <v>41.7</v>
      </c>
      <c r="J212">
        <v>100</v>
      </c>
      <c r="K212" t="s">
        <v>15066</v>
      </c>
    </row>
    <row r="213" spans="1:11" x14ac:dyDescent="0.25">
      <c r="A213" s="19" t="s">
        <v>14832</v>
      </c>
      <c r="B213" s="1">
        <v>796</v>
      </c>
      <c r="C213" s="1">
        <v>6</v>
      </c>
      <c r="D213" s="2" t="s">
        <v>15007</v>
      </c>
      <c r="E213" s="18" t="s">
        <v>14556</v>
      </c>
      <c r="F213" s="1" t="s">
        <v>14560</v>
      </c>
      <c r="G213">
        <v>98.6</v>
      </c>
      <c r="H213">
        <v>98.2</v>
      </c>
      <c r="I213">
        <v>50</v>
      </c>
      <c r="J213">
        <v>99.7</v>
      </c>
      <c r="K213" t="s">
        <v>15066</v>
      </c>
    </row>
    <row r="214" spans="1:11" x14ac:dyDescent="0.25">
      <c r="A214" s="19" t="s">
        <v>14833</v>
      </c>
      <c r="B214" s="1">
        <v>1204</v>
      </c>
      <c r="C214" s="1">
        <v>12</v>
      </c>
      <c r="D214" s="2" t="s">
        <v>15006</v>
      </c>
      <c r="E214" s="18" t="s">
        <v>14556</v>
      </c>
      <c r="F214" s="1" t="s">
        <v>14560</v>
      </c>
      <c r="G214">
        <v>99.4</v>
      </c>
      <c r="H214">
        <v>99.6</v>
      </c>
      <c r="I214">
        <v>21.2</v>
      </c>
      <c r="J214">
        <v>99.1</v>
      </c>
      <c r="K214" t="s">
        <v>15066</v>
      </c>
    </row>
    <row r="215" spans="1:11" x14ac:dyDescent="0.25">
      <c r="A215" s="19" t="s">
        <v>14834</v>
      </c>
      <c r="B215" s="1">
        <v>836</v>
      </c>
      <c r="C215" s="1">
        <v>8</v>
      </c>
      <c r="D215" s="2" t="s">
        <v>15005</v>
      </c>
      <c r="E215" s="18" t="s">
        <v>14556</v>
      </c>
      <c r="F215" s="1" t="s">
        <v>14560</v>
      </c>
      <c r="G215">
        <v>99.8</v>
      </c>
      <c r="H215">
        <v>99.9</v>
      </c>
      <c r="I215">
        <v>29.2</v>
      </c>
      <c r="J215">
        <v>99.5</v>
      </c>
      <c r="K215" t="s">
        <v>15066</v>
      </c>
    </row>
    <row r="216" spans="1:11" x14ac:dyDescent="0.25">
      <c r="A216" s="19" t="s">
        <v>14835</v>
      </c>
      <c r="B216" s="1">
        <v>345</v>
      </c>
      <c r="C216" s="1">
        <v>3</v>
      </c>
      <c r="D216" s="27">
        <v>322326</v>
      </c>
      <c r="E216" t="s">
        <v>14930</v>
      </c>
      <c r="F216" s="1" t="s">
        <v>14560</v>
      </c>
      <c r="G216">
        <v>97.4</v>
      </c>
      <c r="H216">
        <v>98.2</v>
      </c>
      <c r="I216">
        <v>100</v>
      </c>
      <c r="J216">
        <v>100</v>
      </c>
      <c r="K216" t="s">
        <v>15066</v>
      </c>
    </row>
    <row r="217" spans="1:11" x14ac:dyDescent="0.25">
      <c r="A217" s="19" t="s">
        <v>14836</v>
      </c>
      <c r="B217" s="1">
        <v>424</v>
      </c>
      <c r="C217" s="1">
        <v>2</v>
      </c>
      <c r="D217" s="2">
        <v>394</v>
      </c>
      <c r="E217" s="18" t="s">
        <v>14556</v>
      </c>
      <c r="F217" s="1" t="s">
        <v>14560</v>
      </c>
      <c r="G217">
        <v>98.2</v>
      </c>
      <c r="H217">
        <v>99</v>
      </c>
      <c r="I217">
        <v>100</v>
      </c>
      <c r="J217">
        <v>100</v>
      </c>
      <c r="K217" t="s">
        <v>15066</v>
      </c>
    </row>
    <row r="218" spans="1:11" x14ac:dyDescent="0.25">
      <c r="A218" s="19" t="s">
        <v>14837</v>
      </c>
      <c r="B218" s="1">
        <v>657</v>
      </c>
      <c r="C218" s="1">
        <v>40</v>
      </c>
      <c r="D218" s="2" t="s">
        <v>15004</v>
      </c>
      <c r="E218" s="18" t="s">
        <v>14556</v>
      </c>
      <c r="F218" s="1" t="s">
        <v>14560</v>
      </c>
      <c r="G218">
        <v>97</v>
      </c>
      <c r="H218">
        <v>98.4</v>
      </c>
      <c r="I218">
        <v>23.5</v>
      </c>
      <c r="J218">
        <v>99.7</v>
      </c>
      <c r="K218" t="s">
        <v>15066</v>
      </c>
    </row>
    <row r="219" spans="1:11" x14ac:dyDescent="0.25">
      <c r="A219" s="19" t="s">
        <v>14838</v>
      </c>
      <c r="B219" s="1">
        <v>1649</v>
      </c>
      <c r="C219" s="1">
        <v>6</v>
      </c>
      <c r="D219" s="2" t="s">
        <v>15003</v>
      </c>
      <c r="E219" s="18" t="s">
        <v>14556</v>
      </c>
      <c r="F219" s="1" t="s">
        <v>14560</v>
      </c>
      <c r="G219">
        <v>96.9</v>
      </c>
      <c r="H219">
        <v>99.1</v>
      </c>
      <c r="I219">
        <v>34.6</v>
      </c>
      <c r="J219">
        <v>100</v>
      </c>
      <c r="K219" t="s">
        <v>15066</v>
      </c>
    </row>
    <row r="220" spans="1:11" x14ac:dyDescent="0.25">
      <c r="A220" s="19" t="s">
        <v>14839</v>
      </c>
      <c r="B220" s="1">
        <v>986</v>
      </c>
      <c r="C220" s="1">
        <v>8</v>
      </c>
      <c r="D220" s="27" t="str">
        <f>"9669679,6997197,2000000"</f>
        <v>9669679,6997197,2000000</v>
      </c>
      <c r="E220" s="18" t="s">
        <v>14556</v>
      </c>
      <c r="F220" s="1" t="s">
        <v>14560</v>
      </c>
      <c r="G220">
        <v>99.9</v>
      </c>
      <c r="H220">
        <v>99.8</v>
      </c>
      <c r="I220">
        <v>100</v>
      </c>
      <c r="J220">
        <v>100</v>
      </c>
      <c r="K220" t="s">
        <v>15066</v>
      </c>
    </row>
    <row r="221" spans="1:11" x14ac:dyDescent="0.25">
      <c r="A221" s="19" t="s">
        <v>14840</v>
      </c>
      <c r="B221" s="1">
        <v>472</v>
      </c>
      <c r="C221" s="1">
        <v>9</v>
      </c>
      <c r="D221" s="2" t="s">
        <v>15002</v>
      </c>
      <c r="E221" s="18" t="s">
        <v>14556</v>
      </c>
      <c r="F221" s="1" t="s">
        <v>14560</v>
      </c>
      <c r="G221">
        <v>98.3</v>
      </c>
      <c r="H221">
        <v>99</v>
      </c>
      <c r="I221">
        <v>80</v>
      </c>
      <c r="J221">
        <v>99</v>
      </c>
      <c r="K221" t="s">
        <v>15066</v>
      </c>
    </row>
    <row r="222" spans="1:11" x14ac:dyDescent="0.25">
      <c r="A222" s="19" t="s">
        <v>14841</v>
      </c>
      <c r="B222" s="1">
        <v>1138</v>
      </c>
      <c r="C222" s="1">
        <v>3</v>
      </c>
      <c r="D222" s="2" t="s">
        <v>15001</v>
      </c>
      <c r="E222" s="18" t="s">
        <v>14556</v>
      </c>
      <c r="F222" s="1" t="s">
        <v>14560</v>
      </c>
      <c r="G222">
        <v>99.2</v>
      </c>
      <c r="H222">
        <v>98.4</v>
      </c>
      <c r="I222">
        <v>30.6</v>
      </c>
      <c r="J222">
        <v>97.6</v>
      </c>
      <c r="K222" t="s">
        <v>15066</v>
      </c>
    </row>
    <row r="223" spans="1:11" x14ac:dyDescent="0.25">
      <c r="A223" s="19" t="s">
        <v>14842</v>
      </c>
      <c r="B223" s="1">
        <v>297</v>
      </c>
      <c r="C223" s="1">
        <v>3</v>
      </c>
      <c r="D223" s="2" t="s">
        <v>15000</v>
      </c>
      <c r="E223" s="18" t="s">
        <v>14556</v>
      </c>
      <c r="F223" s="1" t="s">
        <v>14560</v>
      </c>
      <c r="G223">
        <v>100</v>
      </c>
      <c r="H223">
        <v>100</v>
      </c>
      <c r="I223">
        <v>95.8</v>
      </c>
      <c r="J223">
        <v>98.9</v>
      </c>
      <c r="K223" t="s">
        <v>15063</v>
      </c>
    </row>
    <row r="224" spans="1:11" x14ac:dyDescent="0.25">
      <c r="A224" s="19" t="s">
        <v>14843</v>
      </c>
      <c r="B224" s="1">
        <v>518</v>
      </c>
      <c r="C224" s="1">
        <v>4</v>
      </c>
      <c r="D224" s="27">
        <v>474478</v>
      </c>
      <c r="E224" s="18" t="s">
        <v>14556</v>
      </c>
      <c r="F224" s="1" t="s">
        <v>14560</v>
      </c>
      <c r="G224">
        <v>98.9</v>
      </c>
      <c r="H224">
        <v>99.3</v>
      </c>
      <c r="I224">
        <v>50</v>
      </c>
      <c r="J224">
        <v>100</v>
      </c>
      <c r="K224" t="s">
        <v>15066</v>
      </c>
    </row>
    <row r="225" spans="1:11" x14ac:dyDescent="0.25">
      <c r="A225" s="19" t="s">
        <v>14844</v>
      </c>
      <c r="B225" s="1">
        <v>315</v>
      </c>
      <c r="C225" s="1">
        <v>15</v>
      </c>
      <c r="D225" s="2" t="s">
        <v>14999</v>
      </c>
      <c r="E225" s="18" t="s">
        <v>14556</v>
      </c>
      <c r="F225" s="22" t="s">
        <v>14560</v>
      </c>
      <c r="G225">
        <v>98.5</v>
      </c>
      <c r="H225">
        <v>95.3</v>
      </c>
      <c r="I225">
        <v>37.5</v>
      </c>
      <c r="J225">
        <v>100</v>
      </c>
      <c r="K225" t="s">
        <v>15065</v>
      </c>
    </row>
    <row r="226" spans="1:11" x14ac:dyDescent="0.25">
      <c r="A226" s="19" t="s">
        <v>14845</v>
      </c>
      <c r="B226" s="1">
        <v>429</v>
      </c>
      <c r="C226" s="1">
        <v>7</v>
      </c>
      <c r="D226" s="2" t="s">
        <v>14998</v>
      </c>
      <c r="E226" s="18" t="s">
        <v>14556</v>
      </c>
      <c r="F226" s="22" t="s">
        <v>14560</v>
      </c>
      <c r="G226">
        <v>95.2</v>
      </c>
      <c r="H226">
        <v>86.6</v>
      </c>
      <c r="I226">
        <v>38.9</v>
      </c>
      <c r="J226">
        <v>84.5</v>
      </c>
      <c r="K226" t="s">
        <v>15065</v>
      </c>
    </row>
    <row r="227" spans="1:11" x14ac:dyDescent="0.25">
      <c r="A227" s="19" t="s">
        <v>14846</v>
      </c>
      <c r="B227" s="1">
        <v>473</v>
      </c>
      <c r="C227" s="1">
        <v>7</v>
      </c>
      <c r="D227" s="2" t="s">
        <v>14997</v>
      </c>
      <c r="E227" s="18" t="s">
        <v>14556</v>
      </c>
      <c r="F227" s="22" t="s">
        <v>14560</v>
      </c>
      <c r="G227">
        <v>97.8</v>
      </c>
      <c r="H227">
        <v>97.4</v>
      </c>
      <c r="I227">
        <v>35</v>
      </c>
      <c r="J227">
        <v>98.5</v>
      </c>
      <c r="K227" t="s">
        <v>15066</v>
      </c>
    </row>
    <row r="228" spans="1:11" x14ac:dyDescent="0.25">
      <c r="A228" s="19" t="s">
        <v>14847</v>
      </c>
      <c r="B228" s="1">
        <v>1163</v>
      </c>
      <c r="C228" s="1">
        <v>10</v>
      </c>
      <c r="D228" s="2" t="s">
        <v>14996</v>
      </c>
      <c r="E228" s="18" t="s">
        <v>14556</v>
      </c>
      <c r="F228" s="22" t="s">
        <v>14560</v>
      </c>
      <c r="G228">
        <v>99.2</v>
      </c>
      <c r="H228">
        <v>99.1</v>
      </c>
      <c r="I228">
        <v>19.600000000000001</v>
      </c>
      <c r="J228">
        <v>99.1</v>
      </c>
      <c r="K228" t="s">
        <v>15066</v>
      </c>
    </row>
    <row r="229" spans="1:11" x14ac:dyDescent="0.25">
      <c r="A229" s="19" t="s">
        <v>14848</v>
      </c>
      <c r="B229" s="1">
        <v>429</v>
      </c>
      <c r="C229" s="1">
        <v>1</v>
      </c>
      <c r="D229" s="2">
        <v>412</v>
      </c>
      <c r="E229" s="18" t="s">
        <v>14556</v>
      </c>
      <c r="F229" s="22" t="s">
        <v>14560</v>
      </c>
      <c r="G229">
        <v>96.4</v>
      </c>
      <c r="H229">
        <v>97.7</v>
      </c>
      <c r="I229">
        <v>100</v>
      </c>
      <c r="J229">
        <v>100</v>
      </c>
      <c r="K229" t="s">
        <v>15066</v>
      </c>
    </row>
    <row r="230" spans="1:11" x14ac:dyDescent="0.25">
      <c r="A230" s="19" t="s">
        <v>14849</v>
      </c>
      <c r="B230" s="1">
        <v>213</v>
      </c>
      <c r="C230" s="1">
        <v>5</v>
      </c>
      <c r="D230" s="2" t="s">
        <v>14995</v>
      </c>
      <c r="E230" s="18" t="s">
        <v>14556</v>
      </c>
      <c r="F230" s="22" t="s">
        <v>14560</v>
      </c>
      <c r="G230">
        <v>98</v>
      </c>
      <c r="H230">
        <v>94.1</v>
      </c>
      <c r="I230">
        <v>24.1</v>
      </c>
      <c r="J230">
        <v>99</v>
      </c>
      <c r="K230" t="s">
        <v>15065</v>
      </c>
    </row>
    <row r="231" spans="1:11" x14ac:dyDescent="0.25">
      <c r="A231" s="19" t="s">
        <v>14850</v>
      </c>
      <c r="B231" s="1">
        <v>193</v>
      </c>
      <c r="C231" s="1">
        <v>2</v>
      </c>
      <c r="D231" s="27">
        <v>173176</v>
      </c>
      <c r="E231" t="s">
        <v>14930</v>
      </c>
      <c r="F231" s="22" t="s">
        <v>14560</v>
      </c>
      <c r="G231">
        <v>96.2</v>
      </c>
      <c r="H231">
        <v>99.4</v>
      </c>
      <c r="I231">
        <v>50</v>
      </c>
      <c r="J231">
        <v>100</v>
      </c>
      <c r="K231" t="s">
        <v>15066</v>
      </c>
    </row>
    <row r="232" spans="1:11" x14ac:dyDescent="0.25">
      <c r="A232" s="19" t="s">
        <v>14851</v>
      </c>
      <c r="B232" s="1">
        <v>774</v>
      </c>
      <c r="C232" s="1">
        <v>33</v>
      </c>
      <c r="D232" s="2" t="s">
        <v>14994</v>
      </c>
      <c r="E232" s="18" t="s">
        <v>14556</v>
      </c>
      <c r="F232" s="22" t="s">
        <v>14560</v>
      </c>
      <c r="G232">
        <v>100</v>
      </c>
      <c r="H232">
        <v>99.7</v>
      </c>
      <c r="I232">
        <v>19.5</v>
      </c>
      <c r="J232">
        <v>99.5</v>
      </c>
      <c r="K232" t="s">
        <v>15066</v>
      </c>
    </row>
    <row r="233" spans="1:11" x14ac:dyDescent="0.25">
      <c r="A233" s="19" t="s">
        <v>14852</v>
      </c>
      <c r="B233" s="1">
        <v>2729</v>
      </c>
      <c r="C233" s="1">
        <v>22</v>
      </c>
      <c r="D233" s="2" t="s">
        <v>14993</v>
      </c>
      <c r="E233" s="18" t="s">
        <v>14556</v>
      </c>
      <c r="F233" s="22" t="s">
        <v>14560</v>
      </c>
      <c r="G233">
        <v>99.9</v>
      </c>
      <c r="H233">
        <v>99.8</v>
      </c>
      <c r="I233">
        <v>23.9</v>
      </c>
      <c r="J233">
        <v>88.6</v>
      </c>
      <c r="K233" t="s">
        <v>15066</v>
      </c>
    </row>
    <row r="234" spans="1:11" x14ac:dyDescent="0.25">
      <c r="A234" s="19" t="s">
        <v>14853</v>
      </c>
      <c r="B234" s="1">
        <v>308</v>
      </c>
      <c r="C234" s="1">
        <v>4</v>
      </c>
      <c r="D234" s="2" t="s">
        <v>14992</v>
      </c>
      <c r="E234" s="18" t="s">
        <v>14556</v>
      </c>
      <c r="F234" s="22" t="s">
        <v>14560</v>
      </c>
      <c r="G234">
        <v>96</v>
      </c>
      <c r="H234">
        <v>97.8</v>
      </c>
      <c r="I234">
        <v>31.2</v>
      </c>
      <c r="J234">
        <v>99</v>
      </c>
      <c r="K234" t="s">
        <v>15066</v>
      </c>
    </row>
    <row r="235" spans="1:11" x14ac:dyDescent="0.25">
      <c r="A235" s="19" t="s">
        <v>14854</v>
      </c>
      <c r="B235" s="1">
        <v>447</v>
      </c>
      <c r="C235" s="1">
        <v>1</v>
      </c>
      <c r="D235" s="2">
        <v>416</v>
      </c>
      <c r="E235" s="18" t="s">
        <v>14556</v>
      </c>
      <c r="F235" s="22" t="s">
        <v>14560</v>
      </c>
      <c r="G235">
        <v>95.3</v>
      </c>
      <c r="H235">
        <v>97.5</v>
      </c>
      <c r="I235">
        <v>66.7</v>
      </c>
      <c r="J235">
        <v>100</v>
      </c>
      <c r="K235" t="s">
        <v>15066</v>
      </c>
    </row>
    <row r="236" spans="1:11" x14ac:dyDescent="0.25">
      <c r="A236" s="19" t="s">
        <v>14855</v>
      </c>
      <c r="B236" s="1">
        <v>475</v>
      </c>
      <c r="C236" s="1">
        <v>2</v>
      </c>
      <c r="D236" s="2" t="s">
        <v>190</v>
      </c>
      <c r="E236" s="18" t="s">
        <v>14556</v>
      </c>
      <c r="F236" s="22" t="s">
        <v>14560</v>
      </c>
      <c r="G236">
        <v>99.6</v>
      </c>
      <c r="H236">
        <v>99.2</v>
      </c>
      <c r="I236" t="s">
        <v>14570</v>
      </c>
      <c r="J236" t="s">
        <v>12438</v>
      </c>
      <c r="K236" t="s">
        <v>15066</v>
      </c>
    </row>
    <row r="237" spans="1:11" x14ac:dyDescent="0.25">
      <c r="A237" s="19" t="s">
        <v>14856</v>
      </c>
      <c r="B237" s="1">
        <v>396</v>
      </c>
      <c r="C237" s="1">
        <v>8</v>
      </c>
      <c r="D237" s="2" t="s">
        <v>14991</v>
      </c>
      <c r="E237" s="18" t="s">
        <v>14556</v>
      </c>
      <c r="F237" s="22" t="s">
        <v>14560</v>
      </c>
      <c r="G237">
        <v>92.5</v>
      </c>
      <c r="H237">
        <v>99.8</v>
      </c>
      <c r="I237">
        <v>32.4</v>
      </c>
      <c r="J237">
        <v>99.7</v>
      </c>
      <c r="K237" t="s">
        <v>15066</v>
      </c>
    </row>
    <row r="238" spans="1:11" x14ac:dyDescent="0.25">
      <c r="A238" s="19" t="s">
        <v>14857</v>
      </c>
      <c r="B238" s="1">
        <v>852</v>
      </c>
      <c r="C238" s="1">
        <v>4</v>
      </c>
      <c r="D238" s="2" t="s">
        <v>14990</v>
      </c>
      <c r="E238" s="18" t="s">
        <v>14556</v>
      </c>
      <c r="F238" s="22" t="s">
        <v>14560</v>
      </c>
      <c r="G238">
        <v>98.9</v>
      </c>
      <c r="H238">
        <v>99.2</v>
      </c>
      <c r="I238">
        <v>55.6</v>
      </c>
      <c r="J238">
        <v>97</v>
      </c>
      <c r="K238" t="s">
        <v>15066</v>
      </c>
    </row>
    <row r="239" spans="1:11" x14ac:dyDescent="0.25">
      <c r="A239" s="19" t="s">
        <v>14858</v>
      </c>
      <c r="B239" s="1">
        <v>3060</v>
      </c>
      <c r="C239" s="1">
        <v>67</v>
      </c>
      <c r="D239" s="2" t="s">
        <v>14989</v>
      </c>
      <c r="E239" s="18" t="s">
        <v>14556</v>
      </c>
      <c r="F239" s="22" t="s">
        <v>14560</v>
      </c>
      <c r="G239">
        <v>99.5</v>
      </c>
      <c r="H239">
        <v>99.6</v>
      </c>
      <c r="I239">
        <v>37.9</v>
      </c>
      <c r="J239">
        <v>99.2</v>
      </c>
      <c r="K239" t="s">
        <v>15066</v>
      </c>
    </row>
    <row r="240" spans="1:11" x14ac:dyDescent="0.25">
      <c r="A240" s="19" t="s">
        <v>14859</v>
      </c>
      <c r="B240" s="1">
        <v>261</v>
      </c>
      <c r="C240" s="1">
        <v>4</v>
      </c>
      <c r="D240" s="2" t="s">
        <v>14988</v>
      </c>
      <c r="E240" s="18" t="s">
        <v>14556</v>
      </c>
      <c r="F240" s="22" t="s">
        <v>14560</v>
      </c>
      <c r="G240">
        <v>95.9</v>
      </c>
      <c r="H240">
        <v>96.7</v>
      </c>
      <c r="I240">
        <v>48.1</v>
      </c>
      <c r="J240">
        <v>98.7</v>
      </c>
      <c r="K240" t="s">
        <v>15065</v>
      </c>
    </row>
    <row r="241" spans="1:11" x14ac:dyDescent="0.25">
      <c r="A241" s="19" t="s">
        <v>14860</v>
      </c>
      <c r="B241" s="1">
        <v>640</v>
      </c>
      <c r="C241" s="1">
        <v>15</v>
      </c>
      <c r="D241" s="2" t="s">
        <v>14987</v>
      </c>
      <c r="E241" s="18" t="s">
        <v>14556</v>
      </c>
      <c r="F241" s="22" t="s">
        <v>14560</v>
      </c>
      <c r="G241">
        <v>98.2</v>
      </c>
      <c r="H241">
        <v>97.8</v>
      </c>
      <c r="I241">
        <v>22</v>
      </c>
      <c r="J241">
        <v>99.4</v>
      </c>
      <c r="K241" t="s">
        <v>15066</v>
      </c>
    </row>
    <row r="242" spans="1:11" x14ac:dyDescent="0.25">
      <c r="A242" s="19" t="s">
        <v>14861</v>
      </c>
      <c r="B242" s="1">
        <v>698</v>
      </c>
      <c r="C242" s="1">
        <v>29</v>
      </c>
      <c r="D242" s="2" t="s">
        <v>14986</v>
      </c>
      <c r="E242" s="18" t="s">
        <v>14556</v>
      </c>
      <c r="F242" s="22" t="s">
        <v>14560</v>
      </c>
      <c r="G242">
        <v>100</v>
      </c>
      <c r="H242">
        <v>99.8</v>
      </c>
      <c r="I242">
        <v>23.8</v>
      </c>
      <c r="J242">
        <v>99.8</v>
      </c>
      <c r="K242" t="s">
        <v>15066</v>
      </c>
    </row>
    <row r="243" spans="1:11" x14ac:dyDescent="0.25">
      <c r="A243" s="19" t="s">
        <v>14862</v>
      </c>
      <c r="B243" s="1">
        <v>488</v>
      </c>
      <c r="C243" s="1">
        <v>4</v>
      </c>
      <c r="D243" s="2">
        <v>439</v>
      </c>
      <c r="E243" s="18" t="s">
        <v>14556</v>
      </c>
      <c r="F243" s="22" t="s">
        <v>14560</v>
      </c>
      <c r="G243">
        <v>98.4</v>
      </c>
      <c r="H243">
        <v>98.9</v>
      </c>
      <c r="I243">
        <v>75</v>
      </c>
      <c r="J243">
        <v>100</v>
      </c>
      <c r="K243" t="s">
        <v>15066</v>
      </c>
    </row>
    <row r="244" spans="1:11" x14ac:dyDescent="0.25">
      <c r="A244" s="19" t="s">
        <v>14863</v>
      </c>
      <c r="B244" s="1">
        <v>759</v>
      </c>
      <c r="C244" s="1">
        <v>7</v>
      </c>
      <c r="D244" s="2" t="s">
        <v>14985</v>
      </c>
      <c r="E244" s="18" t="s">
        <v>14556</v>
      </c>
      <c r="F244" s="22" t="s">
        <v>14560</v>
      </c>
      <c r="G244">
        <v>99.5</v>
      </c>
      <c r="H244">
        <v>99.5</v>
      </c>
      <c r="I244">
        <v>60</v>
      </c>
      <c r="J244">
        <v>99.7</v>
      </c>
      <c r="K244" t="s">
        <v>15066</v>
      </c>
    </row>
    <row r="245" spans="1:11" x14ac:dyDescent="0.25">
      <c r="A245" s="19" t="s">
        <v>14864</v>
      </c>
      <c r="B245" s="1">
        <v>711</v>
      </c>
      <c r="C245" s="1">
        <v>22</v>
      </c>
      <c r="D245" s="2" t="s">
        <v>14984</v>
      </c>
      <c r="E245" s="18" t="s">
        <v>14556</v>
      </c>
      <c r="F245" s="22" t="s">
        <v>14560</v>
      </c>
      <c r="G245">
        <v>99.5</v>
      </c>
      <c r="H245">
        <v>99.3</v>
      </c>
      <c r="I245">
        <v>62.5</v>
      </c>
      <c r="J245">
        <v>97.1</v>
      </c>
      <c r="K245" t="s">
        <v>15066</v>
      </c>
    </row>
    <row r="246" spans="1:11" x14ac:dyDescent="0.25">
      <c r="A246" s="19" t="s">
        <v>14865</v>
      </c>
      <c r="B246" s="1">
        <v>893</v>
      </c>
      <c r="C246" s="1">
        <v>16</v>
      </c>
      <c r="D246" s="2" t="s">
        <v>14983</v>
      </c>
      <c r="E246" s="18" t="s">
        <v>14556</v>
      </c>
      <c r="F246" s="22" t="s">
        <v>14560</v>
      </c>
      <c r="G246">
        <v>99.9</v>
      </c>
      <c r="H246">
        <v>99.8</v>
      </c>
      <c r="I246">
        <v>50</v>
      </c>
      <c r="J246">
        <v>99.8</v>
      </c>
      <c r="K246" t="s">
        <v>15066</v>
      </c>
    </row>
    <row r="247" spans="1:11" x14ac:dyDescent="0.25">
      <c r="A247" s="19" t="s">
        <v>14866</v>
      </c>
      <c r="B247" s="1">
        <v>508</v>
      </c>
      <c r="C247" s="1">
        <v>11</v>
      </c>
      <c r="D247" s="2" t="s">
        <v>14982</v>
      </c>
      <c r="E247" s="18" t="s">
        <v>14556</v>
      </c>
      <c r="F247" s="22" t="s">
        <v>14560</v>
      </c>
      <c r="G247">
        <v>98.5</v>
      </c>
      <c r="H247">
        <v>98.2</v>
      </c>
      <c r="I247">
        <v>50</v>
      </c>
      <c r="J247">
        <v>100</v>
      </c>
      <c r="K247" t="s">
        <v>15059</v>
      </c>
    </row>
    <row r="248" spans="1:11" x14ac:dyDescent="0.25">
      <c r="A248" s="19" t="s">
        <v>14867</v>
      </c>
      <c r="B248" s="1">
        <v>1564</v>
      </c>
      <c r="C248" s="1">
        <v>3</v>
      </c>
      <c r="D248" s="2" t="s">
        <v>14981</v>
      </c>
      <c r="E248" s="18" t="s">
        <v>14556</v>
      </c>
      <c r="F248" s="22" t="s">
        <v>14560</v>
      </c>
      <c r="G248">
        <v>99.9</v>
      </c>
      <c r="H248">
        <v>99.7</v>
      </c>
      <c r="I248">
        <v>33.299999999999997</v>
      </c>
      <c r="J248">
        <v>99.2</v>
      </c>
      <c r="K248" t="s">
        <v>15066</v>
      </c>
    </row>
    <row r="249" spans="1:11" x14ac:dyDescent="0.25">
      <c r="A249" s="19" t="s">
        <v>14868</v>
      </c>
      <c r="B249" s="1">
        <v>550</v>
      </c>
      <c r="C249" s="1">
        <v>4</v>
      </c>
      <c r="D249" s="2" t="s">
        <v>14980</v>
      </c>
      <c r="E249" s="18" t="s">
        <v>14556</v>
      </c>
      <c r="F249" s="22" t="s">
        <v>14560</v>
      </c>
      <c r="G249">
        <v>99.6</v>
      </c>
      <c r="H249">
        <v>99.7</v>
      </c>
      <c r="I249">
        <v>21.4</v>
      </c>
      <c r="J249">
        <v>99.5</v>
      </c>
      <c r="K249" t="s">
        <v>15066</v>
      </c>
    </row>
    <row r="250" spans="1:11" x14ac:dyDescent="0.25">
      <c r="A250" s="19" t="s">
        <v>14869</v>
      </c>
      <c r="B250" s="1">
        <v>355</v>
      </c>
      <c r="C250" s="1">
        <v>4</v>
      </c>
      <c r="D250" s="2" t="s">
        <v>14979</v>
      </c>
      <c r="E250" s="18" t="s">
        <v>14556</v>
      </c>
      <c r="F250" s="22" t="s">
        <v>14560</v>
      </c>
      <c r="G250">
        <v>96.6</v>
      </c>
      <c r="H250">
        <v>98.6</v>
      </c>
      <c r="I250">
        <v>28.6</v>
      </c>
      <c r="J250">
        <v>99.5</v>
      </c>
      <c r="K250" t="s">
        <v>15066</v>
      </c>
    </row>
    <row r="251" spans="1:11" x14ac:dyDescent="0.25">
      <c r="A251" s="19" t="s">
        <v>14870</v>
      </c>
      <c r="B251" s="1">
        <v>1122</v>
      </c>
      <c r="C251" s="1">
        <v>22</v>
      </c>
      <c r="D251" s="2" t="s">
        <v>14978</v>
      </c>
      <c r="E251" s="18" t="s">
        <v>14556</v>
      </c>
      <c r="F251" s="22" t="s">
        <v>14560</v>
      </c>
      <c r="G251">
        <v>98.3</v>
      </c>
      <c r="H251">
        <v>97.2</v>
      </c>
      <c r="I251">
        <v>21</v>
      </c>
      <c r="J251">
        <v>99.6</v>
      </c>
      <c r="K251" t="s">
        <v>15066</v>
      </c>
    </row>
    <row r="252" spans="1:11" x14ac:dyDescent="0.25">
      <c r="A252" s="19" t="s">
        <v>14871</v>
      </c>
      <c r="B252" s="1">
        <v>1337</v>
      </c>
      <c r="C252" s="1">
        <v>14</v>
      </c>
      <c r="D252" s="2" t="s">
        <v>14977</v>
      </c>
      <c r="E252" s="18" t="s">
        <v>14556</v>
      </c>
      <c r="F252" s="22" t="s">
        <v>14560</v>
      </c>
      <c r="G252">
        <v>98.8</v>
      </c>
      <c r="H252">
        <v>95.5</v>
      </c>
      <c r="I252">
        <v>28.6</v>
      </c>
      <c r="J252">
        <v>99.8</v>
      </c>
      <c r="K252" t="s">
        <v>15065</v>
      </c>
    </row>
    <row r="253" spans="1:11" x14ac:dyDescent="0.25">
      <c r="A253" s="19" t="s">
        <v>14872</v>
      </c>
      <c r="B253" s="1">
        <v>1031</v>
      </c>
      <c r="C253" s="1">
        <v>8</v>
      </c>
      <c r="D253" s="2" t="s">
        <v>14976</v>
      </c>
      <c r="E253" s="18" t="s">
        <v>14556</v>
      </c>
      <c r="F253" s="22" t="s">
        <v>14560</v>
      </c>
      <c r="G253">
        <v>98.5</v>
      </c>
      <c r="H253">
        <v>99.4</v>
      </c>
      <c r="I253">
        <v>25.7</v>
      </c>
      <c r="J253">
        <v>98.9</v>
      </c>
      <c r="K253" t="s">
        <v>15066</v>
      </c>
    </row>
    <row r="254" spans="1:11" x14ac:dyDescent="0.25">
      <c r="A254" s="19" t="s">
        <v>14873</v>
      </c>
      <c r="B254" s="1">
        <v>276</v>
      </c>
      <c r="C254" s="1">
        <v>10</v>
      </c>
      <c r="D254" s="2" t="s">
        <v>14975</v>
      </c>
      <c r="E254" s="18" t="s">
        <v>14556</v>
      </c>
      <c r="F254" s="22" t="s">
        <v>14560</v>
      </c>
      <c r="G254">
        <v>93.4</v>
      </c>
      <c r="H254">
        <v>93.1</v>
      </c>
      <c r="I254">
        <v>25</v>
      </c>
      <c r="J254">
        <v>100</v>
      </c>
      <c r="K254" t="s">
        <v>15065</v>
      </c>
    </row>
    <row r="255" spans="1:11" x14ac:dyDescent="0.25">
      <c r="A255" s="19" t="s">
        <v>14874</v>
      </c>
      <c r="B255" s="1">
        <v>2202</v>
      </c>
      <c r="C255" s="1">
        <v>99</v>
      </c>
      <c r="D255" s="2" t="s">
        <v>14974</v>
      </c>
      <c r="E255" s="18" t="s">
        <v>14556</v>
      </c>
      <c r="F255" s="22" t="s">
        <v>14560</v>
      </c>
      <c r="G255">
        <v>99.8</v>
      </c>
      <c r="H255">
        <v>99.9</v>
      </c>
      <c r="I255">
        <v>98.4</v>
      </c>
      <c r="J255">
        <v>99.3</v>
      </c>
      <c r="K255" t="s">
        <v>15066</v>
      </c>
    </row>
    <row r="256" spans="1:11" x14ac:dyDescent="0.25">
      <c r="A256" s="19" t="s">
        <v>14875</v>
      </c>
      <c r="B256" s="1">
        <v>416</v>
      </c>
      <c r="C256" s="1">
        <v>17</v>
      </c>
      <c r="D256" s="2" t="s">
        <v>14973</v>
      </c>
      <c r="E256" s="18" t="s">
        <v>14556</v>
      </c>
      <c r="F256" s="22" t="s">
        <v>14560</v>
      </c>
      <c r="G256">
        <v>92.6</v>
      </c>
      <c r="H256">
        <v>92.6</v>
      </c>
      <c r="I256">
        <v>40</v>
      </c>
      <c r="J256">
        <v>97.9</v>
      </c>
      <c r="K256" t="s">
        <v>15065</v>
      </c>
    </row>
    <row r="257" spans="1:11" x14ac:dyDescent="0.25">
      <c r="A257" s="19" t="s">
        <v>14876</v>
      </c>
      <c r="B257" s="1">
        <v>850</v>
      </c>
      <c r="C257" s="1">
        <v>5</v>
      </c>
      <c r="D257" s="2" t="s">
        <v>14972</v>
      </c>
      <c r="E257" s="18" t="s">
        <v>14556</v>
      </c>
      <c r="F257" s="22" t="s">
        <v>14560</v>
      </c>
      <c r="G257">
        <v>98.8</v>
      </c>
      <c r="H257">
        <v>99.1</v>
      </c>
      <c r="I257">
        <v>88.7</v>
      </c>
      <c r="J257">
        <v>96.2</v>
      </c>
      <c r="K257" t="s">
        <v>15066</v>
      </c>
    </row>
    <row r="258" spans="1:11" x14ac:dyDescent="0.25">
      <c r="A258" s="19" t="s">
        <v>14877</v>
      </c>
      <c r="B258" s="1">
        <v>518</v>
      </c>
      <c r="C258" s="1">
        <v>27</v>
      </c>
      <c r="D258" s="2" t="s">
        <v>14971</v>
      </c>
      <c r="E258" s="18" t="s">
        <v>14556</v>
      </c>
      <c r="F258" s="22" t="s">
        <v>14560</v>
      </c>
      <c r="G258">
        <v>92.1</v>
      </c>
      <c r="H258">
        <v>91.7</v>
      </c>
      <c r="I258">
        <v>31.4</v>
      </c>
      <c r="J258">
        <v>99.3</v>
      </c>
      <c r="K258" t="s">
        <v>15065</v>
      </c>
    </row>
    <row r="259" spans="1:11" x14ac:dyDescent="0.25">
      <c r="A259" s="19" t="s">
        <v>14878</v>
      </c>
      <c r="B259" s="1">
        <v>1296</v>
      </c>
      <c r="C259" s="1">
        <v>24</v>
      </c>
      <c r="D259" s="2" t="s">
        <v>14970</v>
      </c>
      <c r="E259" s="18" t="s">
        <v>14556</v>
      </c>
      <c r="F259" s="22" t="s">
        <v>14560</v>
      </c>
      <c r="G259">
        <v>99.9</v>
      </c>
      <c r="H259">
        <v>99.4</v>
      </c>
      <c r="I259">
        <v>19.5</v>
      </c>
      <c r="J259">
        <v>94.1</v>
      </c>
      <c r="K259" t="s">
        <v>15066</v>
      </c>
    </row>
    <row r="260" spans="1:11" x14ac:dyDescent="0.25">
      <c r="A260" s="19" t="s">
        <v>14879</v>
      </c>
      <c r="B260" s="1">
        <v>651</v>
      </c>
      <c r="C260" s="1">
        <v>12</v>
      </c>
      <c r="D260" s="2" t="s">
        <v>14969</v>
      </c>
      <c r="E260" s="18" t="s">
        <v>14556</v>
      </c>
      <c r="F260" s="22" t="s">
        <v>14560</v>
      </c>
      <c r="G260">
        <v>97.2</v>
      </c>
      <c r="H260">
        <v>97.4</v>
      </c>
      <c r="I260">
        <v>21</v>
      </c>
      <c r="J260">
        <v>99.4</v>
      </c>
      <c r="K260" t="s">
        <v>15066</v>
      </c>
    </row>
    <row r="261" spans="1:11" x14ac:dyDescent="0.25">
      <c r="A261" s="19" t="s">
        <v>14880</v>
      </c>
      <c r="B261" s="1">
        <v>147</v>
      </c>
      <c r="C261" s="1">
        <v>1</v>
      </c>
      <c r="D261" s="2" t="s">
        <v>190</v>
      </c>
      <c r="E261" s="18" t="s">
        <v>14556</v>
      </c>
      <c r="F261" s="22" t="s">
        <v>14560</v>
      </c>
      <c r="G261">
        <v>95.9</v>
      </c>
      <c r="H261">
        <v>98.5</v>
      </c>
      <c r="I261" t="s">
        <v>14570</v>
      </c>
      <c r="J261" t="s">
        <v>12438</v>
      </c>
      <c r="K261" t="s">
        <v>15066</v>
      </c>
    </row>
    <row r="262" spans="1:11" x14ac:dyDescent="0.25">
      <c r="A262" s="19" t="s">
        <v>14881</v>
      </c>
      <c r="B262" s="1">
        <v>460</v>
      </c>
      <c r="C262" s="1">
        <v>5</v>
      </c>
      <c r="D262" s="2" t="s">
        <v>14968</v>
      </c>
      <c r="E262" s="18" t="s">
        <v>14556</v>
      </c>
      <c r="F262" s="22" t="s">
        <v>14560</v>
      </c>
      <c r="G262">
        <v>93.8</v>
      </c>
      <c r="H262">
        <v>97.3</v>
      </c>
      <c r="I262">
        <v>22</v>
      </c>
      <c r="J262">
        <v>99.6</v>
      </c>
      <c r="K262" t="s">
        <v>15066</v>
      </c>
    </row>
    <row r="263" spans="1:11" x14ac:dyDescent="0.25">
      <c r="A263" s="19" t="s">
        <v>14882</v>
      </c>
      <c r="B263" s="1">
        <v>362</v>
      </c>
      <c r="C263" s="1">
        <v>8</v>
      </c>
      <c r="D263" s="2" t="s">
        <v>14967</v>
      </c>
      <c r="E263" s="18" t="s">
        <v>14556</v>
      </c>
      <c r="F263" s="22" t="s">
        <v>14560</v>
      </c>
      <c r="G263">
        <v>99</v>
      </c>
      <c r="H263">
        <v>99.3</v>
      </c>
      <c r="I263">
        <v>23.5</v>
      </c>
      <c r="J263">
        <v>99.7</v>
      </c>
      <c r="K263" t="s">
        <v>15066</v>
      </c>
    </row>
    <row r="264" spans="1:11" x14ac:dyDescent="0.25">
      <c r="A264" s="19" t="s">
        <v>14883</v>
      </c>
      <c r="B264" s="1">
        <v>915</v>
      </c>
      <c r="C264" s="1">
        <v>11</v>
      </c>
      <c r="D264" s="2" t="s">
        <v>14966</v>
      </c>
      <c r="E264" s="18" t="s">
        <v>14556</v>
      </c>
      <c r="F264" s="22" t="s">
        <v>14560</v>
      </c>
      <c r="G264">
        <v>99.4</v>
      </c>
      <c r="H264">
        <v>99.6</v>
      </c>
      <c r="I264">
        <v>31.8</v>
      </c>
      <c r="J264">
        <v>100</v>
      </c>
      <c r="K264" t="s">
        <v>15066</v>
      </c>
    </row>
    <row r="265" spans="1:11" x14ac:dyDescent="0.25">
      <c r="A265" s="19" t="s">
        <v>14884</v>
      </c>
      <c r="B265" s="1">
        <v>1265</v>
      </c>
      <c r="C265" s="1">
        <v>60</v>
      </c>
      <c r="D265" s="2" t="s">
        <v>14965</v>
      </c>
      <c r="E265" s="18" t="s">
        <v>14556</v>
      </c>
      <c r="F265" s="22" t="s">
        <v>14560</v>
      </c>
      <c r="G265">
        <v>91.7</v>
      </c>
      <c r="H265">
        <v>91.7</v>
      </c>
      <c r="I265">
        <v>26.7</v>
      </c>
      <c r="J265">
        <v>99.1</v>
      </c>
      <c r="K265" t="s">
        <v>15065</v>
      </c>
    </row>
    <row r="266" spans="1:11" x14ac:dyDescent="0.25">
      <c r="A266" s="19" t="s">
        <v>14885</v>
      </c>
      <c r="B266" s="1">
        <v>161</v>
      </c>
      <c r="C266" s="1">
        <v>4</v>
      </c>
      <c r="D266" s="2" t="s">
        <v>14964</v>
      </c>
      <c r="E266" s="18" t="s">
        <v>14556</v>
      </c>
      <c r="F266" s="22" t="s">
        <v>14560</v>
      </c>
      <c r="G266">
        <v>100</v>
      </c>
      <c r="H266">
        <v>99.6</v>
      </c>
      <c r="I266">
        <v>25</v>
      </c>
      <c r="J266">
        <v>100</v>
      </c>
      <c r="K266" t="s">
        <v>15066</v>
      </c>
    </row>
    <row r="267" spans="1:11" x14ac:dyDescent="0.25">
      <c r="A267" s="19" t="s">
        <v>14886</v>
      </c>
      <c r="B267" s="1">
        <v>521</v>
      </c>
      <c r="C267" s="1">
        <v>16</v>
      </c>
      <c r="D267" s="2" t="s">
        <v>14963</v>
      </c>
      <c r="E267" s="18" t="s">
        <v>14556</v>
      </c>
      <c r="F267" s="22" t="s">
        <v>14560</v>
      </c>
      <c r="G267">
        <v>98.9</v>
      </c>
      <c r="H267">
        <v>98.2</v>
      </c>
      <c r="I267">
        <v>20.5</v>
      </c>
      <c r="J267">
        <v>97.6</v>
      </c>
      <c r="K267" t="s">
        <v>15066</v>
      </c>
    </row>
    <row r="268" spans="1:11" x14ac:dyDescent="0.25">
      <c r="A268" s="19" t="s">
        <v>14887</v>
      </c>
      <c r="B268" s="1">
        <v>534</v>
      </c>
      <c r="C268" s="1">
        <v>21</v>
      </c>
      <c r="D268" s="2" t="s">
        <v>14962</v>
      </c>
      <c r="E268" s="18" t="s">
        <v>14556</v>
      </c>
      <c r="F268" s="22" t="s">
        <v>14560</v>
      </c>
      <c r="G268">
        <v>98.1</v>
      </c>
      <c r="H268">
        <v>95.8</v>
      </c>
      <c r="I268">
        <v>29.9</v>
      </c>
      <c r="J268">
        <v>99.4</v>
      </c>
      <c r="K268" t="s">
        <v>15065</v>
      </c>
    </row>
    <row r="269" spans="1:11" x14ac:dyDescent="0.25">
      <c r="A269" s="19" t="s">
        <v>14888</v>
      </c>
      <c r="B269" s="1">
        <v>146</v>
      </c>
      <c r="C269" s="1">
        <v>5</v>
      </c>
      <c r="D269" s="2" t="s">
        <v>14961</v>
      </c>
      <c r="E269" t="s">
        <v>14930</v>
      </c>
      <c r="F269" s="22" t="s">
        <v>14560</v>
      </c>
      <c r="G269">
        <v>100</v>
      </c>
      <c r="H269">
        <v>100</v>
      </c>
      <c r="I269">
        <v>26.7</v>
      </c>
      <c r="J269">
        <v>98.1</v>
      </c>
      <c r="K269" t="s">
        <v>15059</v>
      </c>
    </row>
    <row r="270" spans="1:11" x14ac:dyDescent="0.25">
      <c r="A270" s="19" t="s">
        <v>14889</v>
      </c>
      <c r="B270" s="1">
        <v>1233</v>
      </c>
      <c r="C270" s="1">
        <v>15</v>
      </c>
      <c r="D270" s="2" t="s">
        <v>14960</v>
      </c>
      <c r="E270" s="18" t="s">
        <v>14556</v>
      </c>
      <c r="F270" s="22" t="s">
        <v>14560</v>
      </c>
      <c r="G270">
        <v>98.8</v>
      </c>
      <c r="H270">
        <v>99.2</v>
      </c>
      <c r="I270">
        <v>21.5</v>
      </c>
      <c r="J270">
        <v>98.6</v>
      </c>
      <c r="K270" t="s">
        <v>15066</v>
      </c>
    </row>
    <row r="271" spans="1:11" x14ac:dyDescent="0.25">
      <c r="A271" s="19" t="s">
        <v>14890</v>
      </c>
      <c r="B271" s="1">
        <v>636</v>
      </c>
      <c r="C271" s="1">
        <v>15</v>
      </c>
      <c r="D271" s="2" t="s">
        <v>14959</v>
      </c>
      <c r="E271" s="18" t="s">
        <v>14556</v>
      </c>
      <c r="F271" s="22" t="s">
        <v>14560</v>
      </c>
      <c r="G271">
        <v>99.2</v>
      </c>
      <c r="H271">
        <v>99.4</v>
      </c>
      <c r="I271">
        <v>30.7</v>
      </c>
      <c r="J271">
        <v>97.2</v>
      </c>
      <c r="K271" t="s">
        <v>15066</v>
      </c>
    </row>
    <row r="272" spans="1:11" x14ac:dyDescent="0.25">
      <c r="A272" s="19" t="s">
        <v>14891</v>
      </c>
      <c r="B272" s="1">
        <v>929</v>
      </c>
      <c r="C272" s="1">
        <v>1</v>
      </c>
      <c r="D272" s="2">
        <v>891</v>
      </c>
      <c r="E272" s="18" t="s">
        <v>14556</v>
      </c>
      <c r="F272" s="22" t="s">
        <v>14560</v>
      </c>
      <c r="G272">
        <v>99.3</v>
      </c>
      <c r="H272">
        <v>99.3</v>
      </c>
      <c r="I272">
        <v>100</v>
      </c>
      <c r="J272">
        <v>100</v>
      </c>
      <c r="K272" t="s">
        <v>15066</v>
      </c>
    </row>
    <row r="273" spans="1:11" x14ac:dyDescent="0.25">
      <c r="A273" s="19" t="s">
        <v>14892</v>
      </c>
      <c r="B273" s="1">
        <v>441</v>
      </c>
      <c r="C273" s="1">
        <v>13</v>
      </c>
      <c r="D273" s="2" t="s">
        <v>14958</v>
      </c>
      <c r="E273" s="18" t="s">
        <v>14556</v>
      </c>
      <c r="F273" s="22" t="s">
        <v>14560</v>
      </c>
      <c r="G273">
        <v>98.6</v>
      </c>
      <c r="H273">
        <v>99.2</v>
      </c>
      <c r="I273">
        <v>32.6</v>
      </c>
      <c r="J273">
        <v>98.2</v>
      </c>
      <c r="K273" t="s">
        <v>15066</v>
      </c>
    </row>
    <row r="274" spans="1:11" x14ac:dyDescent="0.25">
      <c r="A274" s="19" t="s">
        <v>14893</v>
      </c>
      <c r="B274" s="1">
        <v>649</v>
      </c>
      <c r="C274" s="1">
        <v>1</v>
      </c>
      <c r="D274" s="2">
        <v>611</v>
      </c>
      <c r="E274" s="18" t="s">
        <v>14556</v>
      </c>
      <c r="F274" s="22" t="s">
        <v>14560</v>
      </c>
      <c r="G274">
        <v>99.8</v>
      </c>
      <c r="H274">
        <v>99.8</v>
      </c>
      <c r="I274">
        <v>100</v>
      </c>
      <c r="J274">
        <v>98.8</v>
      </c>
      <c r="K274" t="s">
        <v>15066</v>
      </c>
    </row>
    <row r="275" spans="1:11" x14ac:dyDescent="0.25">
      <c r="A275" s="19" t="s">
        <v>14894</v>
      </c>
      <c r="B275" s="1">
        <v>722</v>
      </c>
      <c r="C275" s="1">
        <v>7</v>
      </c>
      <c r="D275" s="2" t="s">
        <v>14957</v>
      </c>
      <c r="E275" s="18" t="s">
        <v>14556</v>
      </c>
      <c r="F275" s="22" t="s">
        <v>14560</v>
      </c>
      <c r="G275">
        <v>99.1</v>
      </c>
      <c r="H275">
        <v>99.4</v>
      </c>
      <c r="I275">
        <v>41.4</v>
      </c>
      <c r="J275">
        <v>99.7</v>
      </c>
      <c r="K275" t="s">
        <v>15066</v>
      </c>
    </row>
    <row r="276" spans="1:11" x14ac:dyDescent="0.25">
      <c r="A276" s="19" t="s">
        <v>14895</v>
      </c>
      <c r="B276" s="1">
        <v>1141</v>
      </c>
      <c r="C276" s="1">
        <v>32</v>
      </c>
      <c r="D276" s="2" t="s">
        <v>14956</v>
      </c>
      <c r="E276" s="18" t="s">
        <v>14556</v>
      </c>
      <c r="F276" s="22" t="s">
        <v>14560</v>
      </c>
      <c r="G276">
        <v>99</v>
      </c>
      <c r="H276">
        <v>98.6</v>
      </c>
      <c r="I276">
        <v>25.8</v>
      </c>
      <c r="J276">
        <v>99.5</v>
      </c>
      <c r="K276" t="s">
        <v>15066</v>
      </c>
    </row>
    <row r="277" spans="1:11" x14ac:dyDescent="0.25">
      <c r="A277" s="19" t="s">
        <v>14896</v>
      </c>
      <c r="B277" s="1">
        <v>1723</v>
      </c>
      <c r="C277" s="1">
        <v>1</v>
      </c>
      <c r="D277" s="2">
        <v>1640</v>
      </c>
      <c r="E277" s="18" t="s">
        <v>14556</v>
      </c>
      <c r="F277" s="22" t="s">
        <v>14560</v>
      </c>
      <c r="G277">
        <v>98.7</v>
      </c>
      <c r="H277">
        <v>99.6</v>
      </c>
      <c r="I277">
        <v>33.299999999999997</v>
      </c>
      <c r="J277">
        <v>98.2</v>
      </c>
      <c r="K277" t="s">
        <v>15066</v>
      </c>
    </row>
    <row r="278" spans="1:11" x14ac:dyDescent="0.25">
      <c r="A278" s="19" t="s">
        <v>14897</v>
      </c>
      <c r="B278" s="1">
        <v>2902</v>
      </c>
      <c r="C278" s="1">
        <v>95</v>
      </c>
      <c r="D278" s="2" t="s">
        <v>14955</v>
      </c>
      <c r="E278" s="18" t="s">
        <v>14556</v>
      </c>
      <c r="F278" s="22" t="s">
        <v>14560</v>
      </c>
      <c r="G278">
        <v>99.9</v>
      </c>
      <c r="H278">
        <v>99.8</v>
      </c>
      <c r="I278">
        <v>25</v>
      </c>
      <c r="J278">
        <v>98.1</v>
      </c>
      <c r="K278" t="s">
        <v>15066</v>
      </c>
    </row>
    <row r="279" spans="1:11" x14ac:dyDescent="0.25">
      <c r="A279" s="19" t="s">
        <v>14898</v>
      </c>
      <c r="B279" s="1">
        <v>837</v>
      </c>
      <c r="C279" s="1">
        <v>2</v>
      </c>
      <c r="D279" s="2" t="s">
        <v>14954</v>
      </c>
      <c r="E279" s="18" t="s">
        <v>14556</v>
      </c>
      <c r="F279" s="22" t="s">
        <v>14560</v>
      </c>
      <c r="G279">
        <v>96.6</v>
      </c>
      <c r="H279">
        <v>98.6</v>
      </c>
      <c r="I279">
        <v>26.3</v>
      </c>
      <c r="J279">
        <v>100</v>
      </c>
      <c r="K279" t="s">
        <v>15066</v>
      </c>
    </row>
    <row r="280" spans="1:11" x14ac:dyDescent="0.25">
      <c r="A280" s="19" t="s">
        <v>14899</v>
      </c>
      <c r="B280" s="1">
        <v>1540</v>
      </c>
      <c r="C280" s="1">
        <v>11</v>
      </c>
      <c r="D280" s="2" t="s">
        <v>14953</v>
      </c>
      <c r="E280" s="18" t="s">
        <v>14556</v>
      </c>
      <c r="F280" s="22" t="s">
        <v>14560</v>
      </c>
      <c r="G280">
        <v>98.9</v>
      </c>
      <c r="H280">
        <v>98.9</v>
      </c>
      <c r="I280">
        <v>21.8</v>
      </c>
      <c r="J280">
        <v>99.4</v>
      </c>
      <c r="K280" t="s">
        <v>15066</v>
      </c>
    </row>
    <row r="281" spans="1:11" x14ac:dyDescent="0.25">
      <c r="A281" s="19" t="s">
        <v>14900</v>
      </c>
      <c r="B281" s="1">
        <v>359</v>
      </c>
      <c r="C281" s="1">
        <v>2</v>
      </c>
      <c r="D281" s="2" t="s">
        <v>14952</v>
      </c>
      <c r="E281" t="s">
        <v>14930</v>
      </c>
      <c r="F281" s="22" t="s">
        <v>14560</v>
      </c>
      <c r="G281">
        <v>98.2</v>
      </c>
      <c r="H281">
        <v>92.8</v>
      </c>
      <c r="I281">
        <v>38.5</v>
      </c>
      <c r="J281">
        <v>94.4</v>
      </c>
      <c r="K281" t="s">
        <v>15065</v>
      </c>
    </row>
    <row r="282" spans="1:11" x14ac:dyDescent="0.25">
      <c r="A282" s="19" t="s">
        <v>14901</v>
      </c>
      <c r="B282" s="1">
        <v>6311</v>
      </c>
      <c r="C282" s="1">
        <v>438</v>
      </c>
      <c r="D282" s="2" t="s">
        <v>14951</v>
      </c>
      <c r="E282" s="18" t="s">
        <v>14556</v>
      </c>
      <c r="F282" s="22" t="s">
        <v>14560</v>
      </c>
      <c r="G282">
        <v>99.3</v>
      </c>
      <c r="H282">
        <v>99.5</v>
      </c>
      <c r="I282">
        <v>25.9</v>
      </c>
      <c r="J282">
        <v>99.6</v>
      </c>
      <c r="K282" t="s">
        <v>15066</v>
      </c>
    </row>
    <row r="283" spans="1:11" x14ac:dyDescent="0.25">
      <c r="A283" s="19" t="s">
        <v>14902</v>
      </c>
      <c r="B283" s="1">
        <v>902</v>
      </c>
      <c r="C283" s="1">
        <v>1</v>
      </c>
      <c r="D283" s="2">
        <v>795</v>
      </c>
      <c r="E283" s="18" t="s">
        <v>14556</v>
      </c>
      <c r="F283" s="22" t="s">
        <v>14560</v>
      </c>
      <c r="G283">
        <v>100</v>
      </c>
      <c r="H283">
        <v>99.9</v>
      </c>
      <c r="I283">
        <v>33.299999999999997</v>
      </c>
      <c r="J283">
        <v>99.3</v>
      </c>
      <c r="K283" t="s">
        <v>15066</v>
      </c>
    </row>
    <row r="284" spans="1:11" x14ac:dyDescent="0.25">
      <c r="A284" s="19" t="s">
        <v>14903</v>
      </c>
      <c r="B284" s="1">
        <v>605</v>
      </c>
      <c r="C284" s="1">
        <v>17</v>
      </c>
      <c r="D284" s="2" t="s">
        <v>14950</v>
      </c>
      <c r="E284" s="18" t="s">
        <v>14556</v>
      </c>
      <c r="F284" s="22" t="s">
        <v>14560</v>
      </c>
      <c r="G284">
        <v>100</v>
      </c>
      <c r="H284">
        <v>98.8</v>
      </c>
      <c r="I284">
        <v>33.299999999999997</v>
      </c>
      <c r="J284">
        <v>99.7</v>
      </c>
      <c r="K284" t="s">
        <v>15066</v>
      </c>
    </row>
    <row r="285" spans="1:11" x14ac:dyDescent="0.25">
      <c r="A285" s="19" t="s">
        <v>14904</v>
      </c>
      <c r="B285" s="1">
        <v>526</v>
      </c>
      <c r="C285" s="1">
        <v>16</v>
      </c>
      <c r="D285" s="2" t="s">
        <v>14949</v>
      </c>
      <c r="E285" s="18" t="s">
        <v>14556</v>
      </c>
      <c r="F285" s="22" t="s">
        <v>14560</v>
      </c>
      <c r="G285">
        <v>97.1</v>
      </c>
      <c r="H285">
        <v>97.3</v>
      </c>
      <c r="I285">
        <v>44.4</v>
      </c>
      <c r="J285">
        <v>99.5</v>
      </c>
      <c r="K285" t="s">
        <v>15066</v>
      </c>
    </row>
    <row r="286" spans="1:11" x14ac:dyDescent="0.25">
      <c r="A286" s="19" t="s">
        <v>52</v>
      </c>
      <c r="B286" s="1">
        <v>3780</v>
      </c>
      <c r="C286" s="1">
        <v>72</v>
      </c>
      <c r="D286" s="2" t="s">
        <v>14948</v>
      </c>
      <c r="E286" s="18" t="s">
        <v>14556</v>
      </c>
      <c r="F286" s="22" t="s">
        <v>14560</v>
      </c>
      <c r="G286">
        <v>98.9</v>
      </c>
      <c r="H286">
        <v>99.1</v>
      </c>
      <c r="I286">
        <v>85</v>
      </c>
      <c r="J286">
        <v>98.2</v>
      </c>
      <c r="K286" t="s">
        <v>15061</v>
      </c>
    </row>
    <row r="287" spans="1:11" x14ac:dyDescent="0.25">
      <c r="A287" s="19" t="s">
        <v>14905</v>
      </c>
      <c r="B287" s="1">
        <v>4750</v>
      </c>
      <c r="C287" s="1">
        <v>110</v>
      </c>
      <c r="D287" s="2" t="s">
        <v>14946</v>
      </c>
      <c r="E287" s="18" t="s">
        <v>14556</v>
      </c>
      <c r="F287" s="22" t="s">
        <v>14560</v>
      </c>
      <c r="G287">
        <v>99.7</v>
      </c>
      <c r="H287">
        <v>99.2</v>
      </c>
      <c r="I287">
        <v>26.2</v>
      </c>
      <c r="J287">
        <v>99.7</v>
      </c>
      <c r="K287" t="s">
        <v>15066</v>
      </c>
    </row>
    <row r="288" spans="1:11" x14ac:dyDescent="0.25">
      <c r="A288" s="19" t="s">
        <v>14906</v>
      </c>
      <c r="B288" s="1">
        <v>581</v>
      </c>
      <c r="C288" s="1">
        <v>2</v>
      </c>
      <c r="D288" s="2" t="s">
        <v>190</v>
      </c>
      <c r="E288" s="18" t="s">
        <v>14556</v>
      </c>
      <c r="F288" s="22" t="s">
        <v>14560</v>
      </c>
      <c r="G288">
        <v>98.2</v>
      </c>
      <c r="H288">
        <v>98.2</v>
      </c>
      <c r="I288" t="s">
        <v>14570</v>
      </c>
      <c r="J288" t="s">
        <v>12438</v>
      </c>
      <c r="K288" t="s">
        <v>15066</v>
      </c>
    </row>
    <row r="289" spans="1:11" x14ac:dyDescent="0.25">
      <c r="A289" s="19" t="s">
        <v>14907</v>
      </c>
      <c r="B289" s="1">
        <v>182</v>
      </c>
      <c r="C289" s="1">
        <v>15</v>
      </c>
      <c r="D289" s="2" t="s">
        <v>14945</v>
      </c>
      <c r="E289" s="18" t="s">
        <v>14556</v>
      </c>
      <c r="F289" s="22" t="s">
        <v>14560</v>
      </c>
      <c r="G289">
        <v>96.8</v>
      </c>
      <c r="H289">
        <v>98.9</v>
      </c>
      <c r="I289">
        <v>36.4</v>
      </c>
      <c r="J289">
        <v>99.7</v>
      </c>
      <c r="K289" t="s">
        <v>15066</v>
      </c>
    </row>
    <row r="290" spans="1:11" x14ac:dyDescent="0.25">
      <c r="A290" s="19" t="s">
        <v>14908</v>
      </c>
      <c r="B290" s="1">
        <v>780</v>
      </c>
      <c r="C290" s="1">
        <v>2</v>
      </c>
      <c r="D290" s="2" t="s">
        <v>14944</v>
      </c>
      <c r="E290" s="18" t="s">
        <v>14556</v>
      </c>
      <c r="F290" s="22" t="s">
        <v>14560</v>
      </c>
      <c r="G290">
        <v>99.1</v>
      </c>
      <c r="H290">
        <v>99.3</v>
      </c>
      <c r="I290">
        <v>57.1</v>
      </c>
      <c r="J290">
        <v>100</v>
      </c>
      <c r="K290" t="s">
        <v>15066</v>
      </c>
    </row>
    <row r="291" spans="1:11" x14ac:dyDescent="0.25">
      <c r="A291" s="19" t="s">
        <v>14909</v>
      </c>
      <c r="B291" s="1">
        <v>175</v>
      </c>
      <c r="C291" s="1">
        <v>5</v>
      </c>
      <c r="D291" s="2" t="s">
        <v>14943</v>
      </c>
      <c r="E291" s="18" t="s">
        <v>14556</v>
      </c>
      <c r="F291" s="22" t="s">
        <v>14560</v>
      </c>
      <c r="G291">
        <v>96.4</v>
      </c>
      <c r="H291">
        <v>91.4</v>
      </c>
      <c r="I291">
        <v>35.700000000000003</v>
      </c>
      <c r="J291">
        <v>99.6</v>
      </c>
      <c r="K291" t="s">
        <v>15065</v>
      </c>
    </row>
    <row r="292" spans="1:11" x14ac:dyDescent="0.25">
      <c r="A292" s="19" t="s">
        <v>14910</v>
      </c>
      <c r="B292" s="1">
        <v>1959</v>
      </c>
      <c r="C292" s="1">
        <v>6</v>
      </c>
      <c r="D292" s="2" t="s">
        <v>14942</v>
      </c>
      <c r="E292" s="18" t="s">
        <v>14556</v>
      </c>
      <c r="F292" s="22" t="s">
        <v>14560</v>
      </c>
      <c r="G292">
        <v>97.8</v>
      </c>
      <c r="H292">
        <v>98.6</v>
      </c>
      <c r="I292">
        <v>33.299999999999997</v>
      </c>
      <c r="J292">
        <v>99.7</v>
      </c>
      <c r="K292" t="s">
        <v>15066</v>
      </c>
    </row>
    <row r="293" spans="1:11" x14ac:dyDescent="0.25">
      <c r="A293" s="19" t="s">
        <v>14911</v>
      </c>
      <c r="B293" s="1">
        <v>2009</v>
      </c>
      <c r="C293" s="1">
        <v>13</v>
      </c>
      <c r="D293" s="2" t="s">
        <v>14941</v>
      </c>
      <c r="E293" s="18" t="s">
        <v>14556</v>
      </c>
      <c r="F293" s="22" t="s">
        <v>14560</v>
      </c>
      <c r="G293">
        <v>91</v>
      </c>
      <c r="H293">
        <v>91.9</v>
      </c>
      <c r="I293">
        <v>31.8</v>
      </c>
      <c r="J293">
        <v>82.4</v>
      </c>
      <c r="K293" t="s">
        <v>15065</v>
      </c>
    </row>
    <row r="294" spans="1:11" x14ac:dyDescent="0.25">
      <c r="A294" s="19" t="s">
        <v>14912</v>
      </c>
      <c r="B294" s="1">
        <v>74</v>
      </c>
      <c r="C294" s="1">
        <v>2</v>
      </c>
      <c r="D294" s="2" t="s">
        <v>14940</v>
      </c>
      <c r="E294" s="18" t="s">
        <v>14556</v>
      </c>
      <c r="F294" s="22" t="s">
        <v>14560</v>
      </c>
      <c r="G294">
        <v>96</v>
      </c>
      <c r="H294">
        <v>95.9</v>
      </c>
      <c r="I294">
        <v>100</v>
      </c>
      <c r="J294">
        <v>100</v>
      </c>
      <c r="K294" t="s">
        <v>15065</v>
      </c>
    </row>
    <row r="295" spans="1:11" x14ac:dyDescent="0.25">
      <c r="A295" s="19" t="s">
        <v>14913</v>
      </c>
      <c r="B295" s="1">
        <v>1834</v>
      </c>
      <c r="C295" s="1">
        <v>5</v>
      </c>
      <c r="D295" s="2" t="s">
        <v>14939</v>
      </c>
      <c r="E295" s="18" t="s">
        <v>14556</v>
      </c>
      <c r="F295" s="22" t="s">
        <v>14560</v>
      </c>
      <c r="G295">
        <v>99.8</v>
      </c>
      <c r="H295">
        <v>99.7</v>
      </c>
      <c r="I295">
        <v>42.9</v>
      </c>
      <c r="J295">
        <v>99.2</v>
      </c>
      <c r="K295" t="s">
        <v>15066</v>
      </c>
    </row>
    <row r="296" spans="1:11" x14ac:dyDescent="0.25">
      <c r="A296" s="19" t="s">
        <v>14914</v>
      </c>
      <c r="B296" s="1">
        <v>457</v>
      </c>
      <c r="C296" s="1">
        <v>5</v>
      </c>
      <c r="D296" s="2" t="s">
        <v>14938</v>
      </c>
      <c r="E296" s="18" t="s">
        <v>14556</v>
      </c>
      <c r="F296" s="22" t="s">
        <v>14560</v>
      </c>
      <c r="G296">
        <v>98.8</v>
      </c>
      <c r="H296">
        <v>99</v>
      </c>
      <c r="I296">
        <v>75</v>
      </c>
      <c r="J296">
        <v>98</v>
      </c>
      <c r="K296" t="s">
        <v>15066</v>
      </c>
    </row>
    <row r="297" spans="1:11" x14ac:dyDescent="0.25">
      <c r="A297" s="19" t="s">
        <v>14915</v>
      </c>
      <c r="B297" s="1">
        <v>508</v>
      </c>
      <c r="C297" s="1">
        <v>25</v>
      </c>
      <c r="D297" s="2" t="s">
        <v>14937</v>
      </c>
      <c r="E297" t="s">
        <v>14556</v>
      </c>
      <c r="F297" s="22" t="s">
        <v>14560</v>
      </c>
      <c r="G297">
        <v>98.6</v>
      </c>
      <c r="H297">
        <v>98.4</v>
      </c>
      <c r="I297">
        <v>25</v>
      </c>
      <c r="J297">
        <v>99.9</v>
      </c>
      <c r="K297" t="s">
        <v>15066</v>
      </c>
    </row>
    <row r="298" spans="1:11" x14ac:dyDescent="0.25">
      <c r="A298" s="19" t="s">
        <v>14916</v>
      </c>
      <c r="B298" s="1">
        <v>1266</v>
      </c>
      <c r="C298" s="1">
        <v>39</v>
      </c>
      <c r="D298" s="2" t="s">
        <v>14936</v>
      </c>
      <c r="E298" s="18" t="s">
        <v>14556</v>
      </c>
      <c r="F298" s="22" t="s">
        <v>14560</v>
      </c>
      <c r="G298">
        <v>99.2</v>
      </c>
      <c r="H298">
        <v>95</v>
      </c>
      <c r="I298">
        <v>23.1</v>
      </c>
      <c r="J298">
        <v>99.5</v>
      </c>
      <c r="K298" t="s">
        <v>15065</v>
      </c>
    </row>
    <row r="299" spans="1:11" x14ac:dyDescent="0.25">
      <c r="A299" s="19" t="s">
        <v>14917</v>
      </c>
      <c r="B299" s="1">
        <v>251</v>
      </c>
      <c r="C299" s="1">
        <v>2</v>
      </c>
      <c r="D299" s="27">
        <v>225235</v>
      </c>
      <c r="E299" s="18" t="s">
        <v>14556</v>
      </c>
      <c r="F299" s="22" t="s">
        <v>14560</v>
      </c>
      <c r="G299">
        <v>95.4</v>
      </c>
      <c r="H299">
        <v>96.2</v>
      </c>
      <c r="I299">
        <v>60</v>
      </c>
      <c r="J299">
        <v>92</v>
      </c>
      <c r="K299" t="s">
        <v>15065</v>
      </c>
    </row>
    <row r="300" spans="1:11" x14ac:dyDescent="0.25">
      <c r="A300" s="19" t="s">
        <v>14918</v>
      </c>
      <c r="B300" s="1">
        <v>109</v>
      </c>
      <c r="C300" s="1">
        <v>1</v>
      </c>
      <c r="D300" s="2">
        <v>84</v>
      </c>
      <c r="E300" t="s">
        <v>15021</v>
      </c>
      <c r="F300" s="22" t="s">
        <v>14560</v>
      </c>
      <c r="G300">
        <v>98.5</v>
      </c>
      <c r="H300">
        <v>94.6</v>
      </c>
      <c r="I300">
        <v>40</v>
      </c>
      <c r="J300">
        <v>100</v>
      </c>
      <c r="K300" t="s">
        <v>15065</v>
      </c>
    </row>
    <row r="301" spans="1:11" x14ac:dyDescent="0.25">
      <c r="A301" s="19" t="s">
        <v>14919</v>
      </c>
      <c r="B301" s="1">
        <v>2328</v>
      </c>
      <c r="C301" s="1">
        <v>159</v>
      </c>
      <c r="D301" s="2" t="s">
        <v>14935</v>
      </c>
      <c r="E301" s="18" t="s">
        <v>14556</v>
      </c>
      <c r="F301" s="22" t="s">
        <v>14560</v>
      </c>
      <c r="G301">
        <v>99.2</v>
      </c>
      <c r="H301">
        <v>99.5</v>
      </c>
      <c r="I301">
        <v>40.700000000000003</v>
      </c>
      <c r="J301">
        <v>99.3</v>
      </c>
      <c r="K301" t="s">
        <v>15066</v>
      </c>
    </row>
    <row r="302" spans="1:11" x14ac:dyDescent="0.25">
      <c r="A302" s="19" t="s">
        <v>14920</v>
      </c>
      <c r="B302" s="1">
        <v>219</v>
      </c>
      <c r="C302" s="1">
        <v>5</v>
      </c>
      <c r="D302" s="2" t="s">
        <v>14934</v>
      </c>
      <c r="E302" s="18" t="s">
        <v>14556</v>
      </c>
      <c r="F302" s="22" t="s">
        <v>14560</v>
      </c>
      <c r="G302">
        <v>91.7</v>
      </c>
      <c r="H302">
        <v>85.7</v>
      </c>
      <c r="I302">
        <v>33.299999999999997</v>
      </c>
      <c r="J302">
        <v>99.4</v>
      </c>
      <c r="K302" t="s">
        <v>15065</v>
      </c>
    </row>
    <row r="303" spans="1:11" x14ac:dyDescent="0.25">
      <c r="A303" s="19" t="s">
        <v>14921</v>
      </c>
      <c r="B303" s="1">
        <v>528</v>
      </c>
      <c r="C303" s="1">
        <v>8</v>
      </c>
      <c r="D303" s="2" t="s">
        <v>14933</v>
      </c>
      <c r="E303" s="18" t="s">
        <v>14556</v>
      </c>
      <c r="F303" s="22" t="s">
        <v>14560</v>
      </c>
      <c r="G303">
        <v>99.2</v>
      </c>
      <c r="H303">
        <v>96.8</v>
      </c>
      <c r="I303">
        <v>26.4</v>
      </c>
      <c r="J303">
        <v>99</v>
      </c>
      <c r="K303" t="s">
        <v>15065</v>
      </c>
    </row>
    <row r="304" spans="1:11" x14ac:dyDescent="0.25">
      <c r="A304" s="19" t="s">
        <v>61</v>
      </c>
      <c r="B304" s="1">
        <v>2221</v>
      </c>
      <c r="C304" s="1">
        <v>44</v>
      </c>
      <c r="D304" s="2" t="s">
        <v>14932</v>
      </c>
      <c r="E304" s="18" t="s">
        <v>14556</v>
      </c>
      <c r="F304" s="22" t="s">
        <v>14560</v>
      </c>
      <c r="G304">
        <v>98.9</v>
      </c>
      <c r="H304">
        <v>98.8</v>
      </c>
      <c r="I304">
        <v>97.9</v>
      </c>
      <c r="J304">
        <v>99.1</v>
      </c>
      <c r="K304" t="s">
        <v>15061</v>
      </c>
    </row>
    <row r="305" spans="1:11" x14ac:dyDescent="0.25">
      <c r="A305" s="19" t="s">
        <v>14922</v>
      </c>
      <c r="B305" s="1">
        <v>807</v>
      </c>
      <c r="C305" s="1">
        <v>29</v>
      </c>
      <c r="D305" s="2" t="s">
        <v>14931</v>
      </c>
      <c r="E305" s="18" t="s">
        <v>14556</v>
      </c>
      <c r="F305" s="22" t="s">
        <v>14560</v>
      </c>
      <c r="G305">
        <v>97.7</v>
      </c>
      <c r="H305">
        <v>98.9</v>
      </c>
      <c r="I305">
        <v>32.299999999999997</v>
      </c>
      <c r="J305">
        <v>99.7</v>
      </c>
      <c r="K305" t="s">
        <v>15066</v>
      </c>
    </row>
    <row r="307" spans="1:11" ht="16" x14ac:dyDescent="0.2">
      <c r="A307"/>
    </row>
    <row r="308" spans="1:11" ht="16" x14ac:dyDescent="0.2">
      <c r="A308"/>
    </row>
    <row r="309" spans="1:11" ht="16" x14ac:dyDescent="0.2">
      <c r="A309"/>
      <c r="F309" s="21"/>
    </row>
    <row r="310" spans="1:11" ht="16" x14ac:dyDescent="0.2">
      <c r="A310"/>
      <c r="F310" s="21"/>
    </row>
    <row r="311" spans="1:11" ht="16" x14ac:dyDescent="0.2">
      <c r="A311"/>
      <c r="F311" s="21"/>
    </row>
    <row r="312" spans="1:11" ht="16" x14ac:dyDescent="0.2">
      <c r="A312"/>
      <c r="F312" s="21"/>
    </row>
    <row r="313" spans="1:11" ht="16" x14ac:dyDescent="0.2">
      <c r="A313"/>
      <c r="F313" s="21"/>
    </row>
    <row r="314" spans="1:11" ht="16" x14ac:dyDescent="0.2">
      <c r="A314"/>
      <c r="F314" s="21"/>
    </row>
    <row r="315" spans="1:11" ht="16" x14ac:dyDescent="0.2">
      <c r="A315"/>
      <c r="F315" s="21"/>
    </row>
    <row r="316" spans="1:11" ht="16" x14ac:dyDescent="0.2">
      <c r="A316"/>
      <c r="F316" s="21"/>
    </row>
    <row r="317" spans="1:11" ht="16" x14ac:dyDescent="0.2">
      <c r="A317"/>
      <c r="F317" s="21"/>
    </row>
    <row r="318" spans="1:11" ht="16" x14ac:dyDescent="0.2">
      <c r="A318"/>
      <c r="F318" s="21"/>
    </row>
    <row r="319" spans="1:11" ht="16" x14ac:dyDescent="0.2">
      <c r="A319"/>
      <c r="K319" s="18"/>
    </row>
    <row r="320" spans="1:11" ht="16" x14ac:dyDescent="0.2">
      <c r="A320"/>
    </row>
    <row r="321" spans="1:1" ht="16" x14ac:dyDescent="0.2">
      <c r="A321"/>
    </row>
    <row r="322" spans="1:1" ht="16" x14ac:dyDescent="0.2">
      <c r="A322"/>
    </row>
    <row r="323" spans="1:1" ht="16" x14ac:dyDescent="0.2">
      <c r="A323"/>
    </row>
    <row r="324" spans="1:1" ht="16" x14ac:dyDescent="0.2">
      <c r="A324"/>
    </row>
    <row r="325" spans="1:1" ht="16" x14ac:dyDescent="0.2">
      <c r="A325"/>
    </row>
    <row r="342" spans="11:11" x14ac:dyDescent="0.25">
      <c r="K342" s="2"/>
    </row>
    <row r="343" spans="11:11" x14ac:dyDescent="0.25">
      <c r="K343" s="2"/>
    </row>
    <row r="344" spans="11:11" x14ac:dyDescent="0.25">
      <c r="K344" s="2"/>
    </row>
    <row r="345" spans="11:11" x14ac:dyDescent="0.25">
      <c r="K345" s="2"/>
    </row>
    <row r="346" spans="11:11" x14ac:dyDescent="0.25">
      <c r="K346" s="2"/>
    </row>
    <row r="347" spans="11:11" x14ac:dyDescent="0.25">
      <c r="K347" s="2"/>
    </row>
    <row r="348" spans="11:11" x14ac:dyDescent="0.25">
      <c r="K348" s="2"/>
    </row>
    <row r="349" spans="11:11" x14ac:dyDescent="0.25">
      <c r="K349" s="2"/>
    </row>
    <row r="350" spans="11:11" x14ac:dyDescent="0.25">
      <c r="K350" s="2"/>
    </row>
    <row r="351" spans="11:11" x14ac:dyDescent="0.25">
      <c r="K351" s="2"/>
    </row>
    <row r="352" spans="11:11" x14ac:dyDescent="0.25">
      <c r="K352" s="2"/>
    </row>
    <row r="353" spans="11:11" x14ac:dyDescent="0.25">
      <c r="K353" s="2"/>
    </row>
    <row r="354" spans="11:11" x14ac:dyDescent="0.25">
      <c r="K354" s="2"/>
    </row>
    <row r="355" spans="11:11" x14ac:dyDescent="0.25">
      <c r="K355" s="2"/>
    </row>
    <row r="356" spans="11:11" x14ac:dyDescent="0.25">
      <c r="K356" s="2"/>
    </row>
    <row r="357" spans="11:11" x14ac:dyDescent="0.25">
      <c r="K357" s="2"/>
    </row>
    <row r="358" spans="11:11" x14ac:dyDescent="0.25">
      <c r="K358" s="2"/>
    </row>
    <row r="359" spans="11:11" x14ac:dyDescent="0.25">
      <c r="K359" s="2"/>
    </row>
    <row r="360" spans="11:11" x14ac:dyDescent="0.25">
      <c r="K360" s="2"/>
    </row>
    <row r="361" spans="11:11" x14ac:dyDescent="0.25">
      <c r="K361" s="2"/>
    </row>
  </sheetData>
  <autoFilter ref="A6:K305" xr:uid="{DBC0439E-C124-C442-A61F-FF48F5B7839F}"/>
  <mergeCells count="1">
    <mergeCell ref="A3:N3"/>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C9A3-CBAE-D54B-9859-C56133095CE0}">
  <dimension ref="A1:R95"/>
  <sheetViews>
    <sheetView workbookViewId="0">
      <selection activeCell="C10" sqref="C10"/>
    </sheetView>
  </sheetViews>
  <sheetFormatPr baseColWidth="10" defaultRowHeight="16" x14ac:dyDescent="0.2"/>
  <cols>
    <col min="1" max="1" width="19" bestFit="1" customWidth="1"/>
    <col min="3" max="3" width="39.6640625" bestFit="1" customWidth="1"/>
    <col min="4" max="4" width="38.6640625" style="1" customWidth="1"/>
    <col min="5" max="5" width="24.6640625" style="1" bestFit="1" customWidth="1"/>
    <col min="6" max="6" width="40.6640625" style="1" bestFit="1" customWidth="1"/>
    <col min="7" max="7" width="46.1640625" style="1" bestFit="1" customWidth="1"/>
    <col min="8" max="8" width="40.33203125" style="1" bestFit="1" customWidth="1"/>
    <col min="9" max="9" width="37.33203125" style="1" bestFit="1" customWidth="1"/>
    <col min="10" max="10" width="62" style="1" bestFit="1" customWidth="1"/>
    <col min="11" max="11" width="54.83203125" style="1" bestFit="1" customWidth="1"/>
    <col min="12" max="12" width="45.1640625" style="1" bestFit="1" customWidth="1"/>
    <col min="13" max="13" width="26.1640625" bestFit="1" customWidth="1"/>
    <col min="14" max="14" width="48.6640625" bestFit="1" customWidth="1"/>
  </cols>
  <sheetData>
    <row r="1" spans="1:18" ht="21" x14ac:dyDescent="0.25">
      <c r="A1" s="26" t="s">
        <v>15055</v>
      </c>
    </row>
    <row r="2" spans="1:18" ht="21" x14ac:dyDescent="0.25">
      <c r="A2" s="26" t="s">
        <v>15071</v>
      </c>
    </row>
    <row r="3" spans="1:18" ht="33" customHeight="1" x14ac:dyDescent="0.2">
      <c r="A3" s="33" t="s">
        <v>15162</v>
      </c>
      <c r="B3" s="33"/>
      <c r="C3" s="33"/>
      <c r="D3" s="33"/>
      <c r="E3" s="33"/>
      <c r="F3" s="33"/>
      <c r="G3" s="33"/>
      <c r="H3" s="33"/>
      <c r="I3" s="33"/>
      <c r="J3" s="33"/>
      <c r="K3" s="33"/>
      <c r="L3" s="33"/>
      <c r="M3" s="33"/>
      <c r="N3" s="33"/>
      <c r="O3" s="33"/>
      <c r="P3" s="33"/>
      <c r="Q3" s="33"/>
      <c r="R3" s="33"/>
    </row>
    <row r="4" spans="1:18" ht="21" x14ac:dyDescent="0.25">
      <c r="A4" s="26"/>
    </row>
    <row r="6" spans="1:18" x14ac:dyDescent="0.2">
      <c r="A6" t="s">
        <v>14552</v>
      </c>
      <c r="B6" t="s">
        <v>14550</v>
      </c>
      <c r="C6" t="s">
        <v>183</v>
      </c>
      <c r="D6" s="1" t="s">
        <v>15072</v>
      </c>
      <c r="E6" s="1" t="s">
        <v>15161</v>
      </c>
      <c r="F6" s="1" t="s">
        <v>15156</v>
      </c>
      <c r="G6" s="1" t="s">
        <v>15159</v>
      </c>
      <c r="H6" s="1" t="s">
        <v>15157</v>
      </c>
      <c r="I6" s="1" t="s">
        <v>15158</v>
      </c>
      <c r="J6" s="1" t="s">
        <v>15160</v>
      </c>
      <c r="L6"/>
    </row>
    <row r="7" spans="1:18" ht="19" x14ac:dyDescent="0.25">
      <c r="A7" s="19" t="s">
        <v>26</v>
      </c>
      <c r="B7" t="s">
        <v>13306</v>
      </c>
      <c r="C7" t="s">
        <v>15060</v>
      </c>
      <c r="D7" s="1" t="s">
        <v>70</v>
      </c>
      <c r="E7" s="1" t="s">
        <v>70</v>
      </c>
      <c r="F7" s="1" t="s">
        <v>190</v>
      </c>
      <c r="G7" s="1" t="s">
        <v>190</v>
      </c>
      <c r="H7" s="1" t="s">
        <v>190</v>
      </c>
      <c r="I7" s="1" t="s">
        <v>190</v>
      </c>
      <c r="J7" s="1" t="s">
        <v>190</v>
      </c>
      <c r="L7"/>
    </row>
    <row r="8" spans="1:18" ht="19" x14ac:dyDescent="0.25">
      <c r="A8" s="19" t="s">
        <v>27</v>
      </c>
      <c r="B8" t="s">
        <v>14216</v>
      </c>
      <c r="C8" s="18" t="s">
        <v>15060</v>
      </c>
      <c r="D8" s="1" t="s">
        <v>70</v>
      </c>
      <c r="E8" s="1" t="s">
        <v>25</v>
      </c>
      <c r="F8" s="1">
        <v>6</v>
      </c>
      <c r="G8" s="1">
        <v>6</v>
      </c>
      <c r="H8" s="1">
        <v>1</v>
      </c>
      <c r="I8" s="1" t="s">
        <v>70</v>
      </c>
      <c r="J8" s="1">
        <v>1</v>
      </c>
      <c r="L8"/>
    </row>
    <row r="9" spans="1:18" ht="19" x14ac:dyDescent="0.25">
      <c r="A9" s="19" t="s">
        <v>28</v>
      </c>
      <c r="B9" t="s">
        <v>13709</v>
      </c>
      <c r="C9" t="s">
        <v>15060</v>
      </c>
      <c r="D9" s="1" t="s">
        <v>70</v>
      </c>
      <c r="E9" s="1" t="s">
        <v>25</v>
      </c>
      <c r="F9" s="1">
        <v>6</v>
      </c>
      <c r="G9" s="1">
        <v>6</v>
      </c>
      <c r="H9" s="1">
        <v>6</v>
      </c>
      <c r="I9" s="1" t="s">
        <v>70</v>
      </c>
      <c r="J9" s="1">
        <v>6</v>
      </c>
      <c r="L9"/>
    </row>
    <row r="10" spans="1:18" ht="19" x14ac:dyDescent="0.25">
      <c r="A10" s="19" t="s">
        <v>24</v>
      </c>
      <c r="B10" t="s">
        <v>14400</v>
      </c>
      <c r="C10" t="s">
        <v>15060</v>
      </c>
      <c r="D10" s="1" t="s">
        <v>25</v>
      </c>
      <c r="E10" s="1" t="s">
        <v>25</v>
      </c>
      <c r="F10" s="1">
        <v>6</v>
      </c>
      <c r="G10" s="1">
        <v>0</v>
      </c>
      <c r="H10" s="1">
        <v>4</v>
      </c>
      <c r="I10" s="1" t="s">
        <v>70</v>
      </c>
      <c r="J10" s="1">
        <v>0</v>
      </c>
      <c r="L10"/>
    </row>
    <row r="11" spans="1:18" ht="19" x14ac:dyDescent="0.25">
      <c r="A11" s="19" t="s">
        <v>5</v>
      </c>
      <c r="B11" t="s">
        <v>14413</v>
      </c>
      <c r="C11" t="s">
        <v>15060</v>
      </c>
      <c r="D11" s="1" t="s">
        <v>25</v>
      </c>
      <c r="E11" s="1" t="s">
        <v>25</v>
      </c>
      <c r="F11" s="1">
        <v>6</v>
      </c>
      <c r="G11" s="1">
        <v>0</v>
      </c>
      <c r="H11" s="1">
        <v>6</v>
      </c>
      <c r="I11" s="1" t="s">
        <v>70</v>
      </c>
      <c r="J11" s="1">
        <v>0</v>
      </c>
      <c r="L11"/>
    </row>
    <row r="12" spans="1:18" ht="19" x14ac:dyDescent="0.25">
      <c r="A12" s="19" t="s">
        <v>13962</v>
      </c>
      <c r="B12" t="s">
        <v>13963</v>
      </c>
      <c r="C12" t="s">
        <v>15065</v>
      </c>
      <c r="D12" s="1" t="s">
        <v>70</v>
      </c>
      <c r="E12" s="1" t="s">
        <v>70</v>
      </c>
      <c r="F12" s="1" t="s">
        <v>190</v>
      </c>
      <c r="G12" s="1" t="s">
        <v>190</v>
      </c>
      <c r="H12" s="1" t="s">
        <v>190</v>
      </c>
      <c r="I12" s="1" t="s">
        <v>190</v>
      </c>
      <c r="J12" s="1" t="s">
        <v>190</v>
      </c>
      <c r="L12"/>
    </row>
    <row r="13" spans="1:18" ht="19" x14ac:dyDescent="0.25">
      <c r="A13" s="19" t="s">
        <v>29</v>
      </c>
      <c r="B13" t="s">
        <v>13644</v>
      </c>
      <c r="C13" t="s">
        <v>15060</v>
      </c>
      <c r="D13" s="1" t="s">
        <v>70</v>
      </c>
      <c r="E13" s="1" t="s">
        <v>70</v>
      </c>
      <c r="F13" s="1" t="s">
        <v>190</v>
      </c>
      <c r="G13" s="1" t="s">
        <v>190</v>
      </c>
      <c r="H13" s="1" t="s">
        <v>190</v>
      </c>
      <c r="I13" s="1" t="s">
        <v>190</v>
      </c>
      <c r="J13" s="1" t="s">
        <v>190</v>
      </c>
      <c r="L13"/>
    </row>
    <row r="14" spans="1:18" ht="19" x14ac:dyDescent="0.25">
      <c r="A14" s="19" t="s">
        <v>63</v>
      </c>
      <c r="B14" t="s">
        <v>14164</v>
      </c>
      <c r="C14" t="s">
        <v>15060</v>
      </c>
      <c r="D14" s="1" t="s">
        <v>70</v>
      </c>
      <c r="E14" s="1" t="s">
        <v>70</v>
      </c>
      <c r="F14" s="1" t="s">
        <v>190</v>
      </c>
      <c r="G14" s="1" t="s">
        <v>190</v>
      </c>
      <c r="H14" s="1" t="s">
        <v>190</v>
      </c>
      <c r="I14" s="1" t="s">
        <v>190</v>
      </c>
      <c r="J14" s="1" t="s">
        <v>190</v>
      </c>
      <c r="L14"/>
    </row>
    <row r="15" spans="1:18" ht="19" x14ac:dyDescent="0.25">
      <c r="A15" s="19" t="s">
        <v>10</v>
      </c>
      <c r="B15" t="s">
        <v>13505</v>
      </c>
      <c r="C15" t="s">
        <v>15060</v>
      </c>
      <c r="D15" s="1" t="s">
        <v>25</v>
      </c>
      <c r="E15" s="1" t="s">
        <v>25</v>
      </c>
      <c r="F15" s="1">
        <v>6</v>
      </c>
      <c r="G15" s="1">
        <v>0</v>
      </c>
      <c r="H15" s="1">
        <v>6</v>
      </c>
      <c r="I15" s="1" t="s">
        <v>70</v>
      </c>
      <c r="J15" s="1">
        <v>0</v>
      </c>
      <c r="L15"/>
    </row>
    <row r="16" spans="1:18" ht="19" x14ac:dyDescent="0.25">
      <c r="A16" s="19" t="s">
        <v>30</v>
      </c>
      <c r="B16" t="s">
        <v>13496</v>
      </c>
      <c r="C16" t="s">
        <v>15060</v>
      </c>
      <c r="D16" s="1" t="s">
        <v>70</v>
      </c>
      <c r="E16" s="1" t="s">
        <v>70</v>
      </c>
      <c r="F16" s="1" t="s">
        <v>190</v>
      </c>
      <c r="G16" s="1" t="s">
        <v>190</v>
      </c>
      <c r="H16" s="1" t="s">
        <v>190</v>
      </c>
      <c r="I16" s="1" t="s">
        <v>190</v>
      </c>
      <c r="J16" s="1" t="s">
        <v>190</v>
      </c>
      <c r="L16"/>
    </row>
    <row r="17" spans="1:12" ht="19" x14ac:dyDescent="0.25">
      <c r="A17" s="19" t="s">
        <v>31</v>
      </c>
      <c r="B17" t="s">
        <v>13748</v>
      </c>
      <c r="C17" t="s">
        <v>15060</v>
      </c>
      <c r="D17" s="1" t="s">
        <v>70</v>
      </c>
      <c r="E17" s="1" t="s">
        <v>25</v>
      </c>
      <c r="F17" s="1">
        <v>6</v>
      </c>
      <c r="G17" s="1">
        <v>6</v>
      </c>
      <c r="H17" s="1">
        <v>6</v>
      </c>
      <c r="I17" s="1" t="s">
        <v>70</v>
      </c>
      <c r="J17" s="1">
        <v>6</v>
      </c>
      <c r="L17"/>
    </row>
    <row r="18" spans="1:12" ht="19" x14ac:dyDescent="0.25">
      <c r="A18" s="19" t="s">
        <v>32</v>
      </c>
      <c r="B18" t="s">
        <v>14193</v>
      </c>
      <c r="C18" t="s">
        <v>15060</v>
      </c>
      <c r="D18" s="1" t="s">
        <v>70</v>
      </c>
      <c r="E18" s="1" t="s">
        <v>70</v>
      </c>
      <c r="F18" s="1" t="s">
        <v>190</v>
      </c>
      <c r="G18" s="1" t="s">
        <v>190</v>
      </c>
      <c r="H18" s="1" t="s">
        <v>190</v>
      </c>
      <c r="I18" s="1" t="s">
        <v>190</v>
      </c>
      <c r="J18" s="1" t="s">
        <v>190</v>
      </c>
      <c r="L18"/>
    </row>
    <row r="19" spans="1:12" ht="19" x14ac:dyDescent="0.25">
      <c r="A19" s="19" t="s">
        <v>33</v>
      </c>
      <c r="B19" t="s">
        <v>13468</v>
      </c>
      <c r="C19" t="s">
        <v>15060</v>
      </c>
      <c r="D19" s="1" t="s">
        <v>70</v>
      </c>
      <c r="E19" s="1" t="s">
        <v>25</v>
      </c>
      <c r="F19" s="1">
        <v>6</v>
      </c>
      <c r="G19" s="1">
        <v>6</v>
      </c>
      <c r="H19" s="1">
        <v>6</v>
      </c>
      <c r="I19" s="1" t="s">
        <v>70</v>
      </c>
      <c r="J19" s="1">
        <v>6</v>
      </c>
      <c r="L19"/>
    </row>
    <row r="20" spans="1:12" ht="19" x14ac:dyDescent="0.25">
      <c r="A20" s="19" t="s">
        <v>34</v>
      </c>
      <c r="B20" t="s">
        <v>13914</v>
      </c>
      <c r="C20" t="s">
        <v>15060</v>
      </c>
      <c r="D20" s="1" t="s">
        <v>70</v>
      </c>
      <c r="E20" s="1" t="s">
        <v>25</v>
      </c>
      <c r="F20" s="1">
        <v>6</v>
      </c>
      <c r="G20" s="1">
        <v>6</v>
      </c>
      <c r="H20" s="1">
        <v>5</v>
      </c>
      <c r="I20" s="1" t="s">
        <v>70</v>
      </c>
      <c r="J20" s="1">
        <v>6</v>
      </c>
      <c r="L20"/>
    </row>
    <row r="21" spans="1:12" ht="19" x14ac:dyDescent="0.25">
      <c r="A21" s="19" t="s">
        <v>13</v>
      </c>
      <c r="B21" t="s">
        <v>13549</v>
      </c>
      <c r="C21" t="s">
        <v>15060</v>
      </c>
      <c r="D21" s="1" t="s">
        <v>25</v>
      </c>
      <c r="E21" s="1" t="s">
        <v>25</v>
      </c>
      <c r="F21" s="1">
        <v>6</v>
      </c>
      <c r="G21" s="1">
        <v>0</v>
      </c>
      <c r="H21" s="1">
        <v>6</v>
      </c>
      <c r="I21" s="1" t="s">
        <v>70</v>
      </c>
      <c r="J21" s="1">
        <v>0</v>
      </c>
      <c r="L21"/>
    </row>
    <row r="22" spans="1:12" ht="19" x14ac:dyDescent="0.25">
      <c r="A22" s="19" t="s">
        <v>35</v>
      </c>
      <c r="B22" t="s">
        <v>14376</v>
      </c>
      <c r="C22" t="s">
        <v>15060</v>
      </c>
      <c r="D22" s="1" t="s">
        <v>70</v>
      </c>
      <c r="E22" s="1" t="s">
        <v>70</v>
      </c>
      <c r="F22" s="1" t="s">
        <v>190</v>
      </c>
      <c r="G22" s="1" t="s">
        <v>190</v>
      </c>
      <c r="H22" s="1" t="s">
        <v>190</v>
      </c>
      <c r="I22" s="1" t="s">
        <v>190</v>
      </c>
      <c r="J22" s="1" t="s">
        <v>190</v>
      </c>
      <c r="L22"/>
    </row>
    <row r="23" spans="1:12" ht="19" x14ac:dyDescent="0.25">
      <c r="A23" s="19" t="s">
        <v>3</v>
      </c>
      <c r="B23" t="s">
        <v>14107</v>
      </c>
      <c r="C23" t="s">
        <v>15060</v>
      </c>
      <c r="D23" s="1" t="s">
        <v>25</v>
      </c>
      <c r="E23" s="1" t="s">
        <v>25</v>
      </c>
      <c r="F23" s="1">
        <v>6</v>
      </c>
      <c r="G23" s="1">
        <v>0</v>
      </c>
      <c r="H23" s="1">
        <v>6</v>
      </c>
      <c r="I23" s="1" t="s">
        <v>70</v>
      </c>
      <c r="J23" s="1">
        <v>0</v>
      </c>
      <c r="L23"/>
    </row>
    <row r="24" spans="1:12" ht="19" x14ac:dyDescent="0.25">
      <c r="A24" s="19" t="s">
        <v>2</v>
      </c>
      <c r="B24" t="s">
        <v>13298</v>
      </c>
      <c r="C24" t="s">
        <v>15060</v>
      </c>
      <c r="D24" s="1" t="s">
        <v>25</v>
      </c>
      <c r="E24" s="1" t="s">
        <v>25</v>
      </c>
      <c r="F24" s="1">
        <v>6</v>
      </c>
      <c r="G24" s="1">
        <v>0</v>
      </c>
      <c r="H24" s="1">
        <v>4</v>
      </c>
      <c r="I24" s="1" t="s">
        <v>70</v>
      </c>
      <c r="J24" s="1">
        <v>0</v>
      </c>
      <c r="L24"/>
    </row>
    <row r="25" spans="1:12" ht="19" x14ac:dyDescent="0.25">
      <c r="A25" s="19" t="s">
        <v>4</v>
      </c>
      <c r="B25" t="s">
        <v>13743</v>
      </c>
      <c r="C25" t="s">
        <v>15060</v>
      </c>
      <c r="D25" s="1" t="s">
        <v>25</v>
      </c>
      <c r="E25" s="1" t="s">
        <v>25</v>
      </c>
      <c r="F25" s="1">
        <v>5</v>
      </c>
      <c r="G25" s="1">
        <v>0</v>
      </c>
      <c r="H25" s="1">
        <v>2</v>
      </c>
      <c r="I25" s="1" t="s">
        <v>70</v>
      </c>
      <c r="J25" s="1">
        <v>0</v>
      </c>
      <c r="L25"/>
    </row>
    <row r="26" spans="1:12" ht="19" x14ac:dyDescent="0.25">
      <c r="A26" s="19" t="s">
        <v>36</v>
      </c>
      <c r="B26" t="s">
        <v>14507</v>
      </c>
      <c r="C26" t="s">
        <v>15060</v>
      </c>
      <c r="D26" s="1" t="s">
        <v>70</v>
      </c>
      <c r="E26" s="1" t="s">
        <v>25</v>
      </c>
      <c r="F26" s="1">
        <v>6</v>
      </c>
      <c r="G26" s="1">
        <v>6</v>
      </c>
      <c r="H26" s="1">
        <v>6</v>
      </c>
      <c r="I26" s="1" t="s">
        <v>70</v>
      </c>
      <c r="J26" s="1">
        <v>6</v>
      </c>
      <c r="L26"/>
    </row>
    <row r="27" spans="1:12" ht="19" x14ac:dyDescent="0.25">
      <c r="A27" s="19" t="s">
        <v>8</v>
      </c>
      <c r="B27" t="s">
        <v>13290</v>
      </c>
      <c r="C27" t="s">
        <v>15060</v>
      </c>
      <c r="D27" s="1" t="s">
        <v>25</v>
      </c>
      <c r="E27" s="1" t="s">
        <v>25</v>
      </c>
      <c r="F27" s="1">
        <v>6</v>
      </c>
      <c r="G27" s="1">
        <v>0</v>
      </c>
      <c r="H27" s="1">
        <v>6</v>
      </c>
      <c r="I27" s="22" t="s">
        <v>70</v>
      </c>
      <c r="J27" s="1">
        <v>0</v>
      </c>
      <c r="L27"/>
    </row>
    <row r="28" spans="1:12" ht="19" x14ac:dyDescent="0.25">
      <c r="A28" s="19" t="s">
        <v>37</v>
      </c>
      <c r="B28" t="s">
        <v>13424</v>
      </c>
      <c r="C28" t="s">
        <v>15060</v>
      </c>
      <c r="D28" s="1" t="s">
        <v>70</v>
      </c>
      <c r="E28" s="1" t="s">
        <v>25</v>
      </c>
      <c r="F28" s="1">
        <v>6</v>
      </c>
      <c r="G28" s="1">
        <v>6</v>
      </c>
      <c r="H28" s="1">
        <v>6</v>
      </c>
      <c r="I28" s="22" t="s">
        <v>70</v>
      </c>
      <c r="J28" s="1">
        <v>6</v>
      </c>
      <c r="L28"/>
    </row>
    <row r="29" spans="1:12" ht="19" x14ac:dyDescent="0.25">
      <c r="A29" s="19" t="s">
        <v>38</v>
      </c>
      <c r="B29" t="s">
        <v>14256</v>
      </c>
      <c r="C29" t="s">
        <v>15060</v>
      </c>
      <c r="D29" s="1" t="s">
        <v>70</v>
      </c>
      <c r="E29" s="1" t="s">
        <v>70</v>
      </c>
      <c r="F29" s="1" t="s">
        <v>190</v>
      </c>
      <c r="G29" s="1" t="s">
        <v>190</v>
      </c>
      <c r="H29" s="1" t="s">
        <v>190</v>
      </c>
      <c r="I29" s="1" t="s">
        <v>190</v>
      </c>
      <c r="J29" s="1" t="s">
        <v>190</v>
      </c>
      <c r="L29"/>
    </row>
    <row r="30" spans="1:12" ht="19" x14ac:dyDescent="0.25">
      <c r="A30" s="19" t="s">
        <v>39</v>
      </c>
      <c r="B30" t="s">
        <v>14503</v>
      </c>
      <c r="C30" t="s">
        <v>15060</v>
      </c>
      <c r="D30" s="1" t="s">
        <v>70</v>
      </c>
      <c r="E30" s="1" t="s">
        <v>25</v>
      </c>
      <c r="F30" s="1">
        <v>6</v>
      </c>
      <c r="G30" s="1">
        <v>6</v>
      </c>
      <c r="H30" s="1">
        <v>5</v>
      </c>
      <c r="I30" s="22" t="s">
        <v>70</v>
      </c>
      <c r="J30" s="1">
        <v>5</v>
      </c>
      <c r="L30"/>
    </row>
    <row r="31" spans="1:12" ht="19" x14ac:dyDescent="0.25">
      <c r="A31" s="19" t="s">
        <v>11</v>
      </c>
      <c r="B31" t="s">
        <v>14348</v>
      </c>
      <c r="C31" t="s">
        <v>15060</v>
      </c>
      <c r="D31" s="1" t="s">
        <v>25</v>
      </c>
      <c r="E31" s="1" t="s">
        <v>25</v>
      </c>
      <c r="F31" s="1">
        <v>6</v>
      </c>
      <c r="G31" s="1">
        <v>0</v>
      </c>
      <c r="H31" s="1">
        <v>6</v>
      </c>
      <c r="I31" s="22" t="s">
        <v>70</v>
      </c>
      <c r="J31" s="1">
        <v>0</v>
      </c>
      <c r="L31"/>
    </row>
    <row r="32" spans="1:12" ht="19" x14ac:dyDescent="0.25">
      <c r="A32" s="19" t="s">
        <v>16</v>
      </c>
      <c r="B32" t="s">
        <v>14128</v>
      </c>
      <c r="C32" t="s">
        <v>15060</v>
      </c>
      <c r="D32" s="1" t="s">
        <v>25</v>
      </c>
      <c r="E32" s="1" t="s">
        <v>25</v>
      </c>
      <c r="F32" s="1">
        <v>6</v>
      </c>
      <c r="G32" s="1">
        <v>0</v>
      </c>
      <c r="H32" s="1">
        <v>6</v>
      </c>
      <c r="I32" s="22" t="s">
        <v>70</v>
      </c>
      <c r="J32" s="1">
        <v>0</v>
      </c>
      <c r="L32"/>
    </row>
    <row r="33" spans="1:12" ht="19" x14ac:dyDescent="0.25">
      <c r="A33" s="19" t="s">
        <v>41</v>
      </c>
      <c r="B33" t="s">
        <v>13504</v>
      </c>
      <c r="C33" t="s">
        <v>15060</v>
      </c>
      <c r="D33" s="1" t="s">
        <v>70</v>
      </c>
      <c r="E33" s="1" t="s">
        <v>25</v>
      </c>
      <c r="F33" s="1">
        <v>6</v>
      </c>
      <c r="G33" s="1">
        <v>6</v>
      </c>
      <c r="H33" s="1">
        <v>6</v>
      </c>
      <c r="I33" s="22" t="s">
        <v>70</v>
      </c>
      <c r="J33" s="1">
        <v>6</v>
      </c>
      <c r="L33"/>
    </row>
    <row r="34" spans="1:12" ht="19" x14ac:dyDescent="0.25">
      <c r="A34" s="19" t="s">
        <v>42</v>
      </c>
      <c r="B34" t="s">
        <v>13751</v>
      </c>
      <c r="C34" t="s">
        <v>15060</v>
      </c>
      <c r="D34" s="1" t="s">
        <v>70</v>
      </c>
      <c r="E34" s="1" t="s">
        <v>70</v>
      </c>
      <c r="F34" s="1" t="s">
        <v>190</v>
      </c>
      <c r="G34" s="1" t="s">
        <v>190</v>
      </c>
      <c r="H34" s="1" t="s">
        <v>190</v>
      </c>
      <c r="I34" s="1" t="s">
        <v>190</v>
      </c>
      <c r="J34" s="1" t="s">
        <v>190</v>
      </c>
      <c r="L34"/>
    </row>
    <row r="35" spans="1:12" ht="19" x14ac:dyDescent="0.25">
      <c r="A35" s="19" t="s">
        <v>43</v>
      </c>
      <c r="B35" t="s">
        <v>13626</v>
      </c>
      <c r="C35" t="s">
        <v>15060</v>
      </c>
      <c r="D35" s="1" t="s">
        <v>70</v>
      </c>
      <c r="E35" s="1" t="s">
        <v>25</v>
      </c>
      <c r="F35" s="1">
        <v>6</v>
      </c>
      <c r="G35" s="1">
        <v>6</v>
      </c>
      <c r="H35" s="1">
        <v>6</v>
      </c>
      <c r="I35" s="22" t="s">
        <v>70</v>
      </c>
      <c r="J35" s="1">
        <v>6</v>
      </c>
      <c r="L35"/>
    </row>
    <row r="36" spans="1:12" ht="19" x14ac:dyDescent="0.25">
      <c r="A36" s="19" t="s">
        <v>44</v>
      </c>
      <c r="B36" t="s">
        <v>14247</v>
      </c>
      <c r="C36" t="s">
        <v>15060</v>
      </c>
      <c r="D36" s="1" t="s">
        <v>70</v>
      </c>
      <c r="E36" s="1" t="s">
        <v>25</v>
      </c>
      <c r="F36" s="1">
        <v>6</v>
      </c>
      <c r="G36" s="1">
        <v>6</v>
      </c>
      <c r="H36" s="1">
        <v>6</v>
      </c>
      <c r="I36" s="22" t="s">
        <v>70</v>
      </c>
      <c r="J36" s="1">
        <v>6</v>
      </c>
      <c r="L36"/>
    </row>
    <row r="37" spans="1:12" ht="19" x14ac:dyDescent="0.25">
      <c r="A37" s="19" t="s">
        <v>45</v>
      </c>
      <c r="B37" t="s">
        <v>14135</v>
      </c>
      <c r="C37" t="s">
        <v>15060</v>
      </c>
      <c r="D37" s="1" t="s">
        <v>70</v>
      </c>
      <c r="E37" s="1" t="s">
        <v>25</v>
      </c>
      <c r="F37" s="1">
        <v>6</v>
      </c>
      <c r="G37" s="1">
        <v>6</v>
      </c>
      <c r="H37" s="1">
        <v>4</v>
      </c>
      <c r="I37" s="22" t="s">
        <v>70</v>
      </c>
      <c r="J37" s="1">
        <v>4</v>
      </c>
      <c r="L37"/>
    </row>
    <row r="38" spans="1:12" ht="19" x14ac:dyDescent="0.25">
      <c r="A38" s="19" t="s">
        <v>14</v>
      </c>
      <c r="B38" t="s">
        <v>14207</v>
      </c>
      <c r="C38" t="s">
        <v>15060</v>
      </c>
      <c r="D38" s="1" t="s">
        <v>25</v>
      </c>
      <c r="E38" s="1" t="s">
        <v>25</v>
      </c>
      <c r="F38" s="1">
        <v>5</v>
      </c>
      <c r="G38" s="1">
        <v>0</v>
      </c>
      <c r="H38" s="1">
        <v>6</v>
      </c>
      <c r="I38" s="22" t="s">
        <v>70</v>
      </c>
      <c r="J38" s="1">
        <v>0</v>
      </c>
      <c r="L38"/>
    </row>
    <row r="39" spans="1:12" ht="19" x14ac:dyDescent="0.25">
      <c r="A39" s="19" t="s">
        <v>20</v>
      </c>
      <c r="B39" t="s">
        <v>13918</v>
      </c>
      <c r="C39" t="s">
        <v>15060</v>
      </c>
      <c r="D39" s="1" t="s">
        <v>25</v>
      </c>
      <c r="E39" s="1" t="s">
        <v>25</v>
      </c>
      <c r="F39" s="1">
        <v>6</v>
      </c>
      <c r="G39" s="1">
        <v>0</v>
      </c>
      <c r="H39" s="1">
        <v>6</v>
      </c>
      <c r="I39" s="22" t="s">
        <v>70</v>
      </c>
      <c r="J39" s="1">
        <v>0</v>
      </c>
      <c r="L39"/>
    </row>
    <row r="40" spans="1:12" ht="19" x14ac:dyDescent="0.25">
      <c r="A40" s="19" t="s">
        <v>46</v>
      </c>
      <c r="B40" t="s">
        <v>14300</v>
      </c>
      <c r="C40" t="s">
        <v>15060</v>
      </c>
      <c r="D40" s="1" t="s">
        <v>70</v>
      </c>
      <c r="E40" s="1" t="s">
        <v>25</v>
      </c>
      <c r="F40" s="1">
        <v>6</v>
      </c>
      <c r="G40" s="1">
        <v>6</v>
      </c>
      <c r="H40" s="1">
        <v>6</v>
      </c>
      <c r="I40" s="22" t="s">
        <v>70</v>
      </c>
      <c r="J40" s="1">
        <v>6</v>
      </c>
      <c r="L40"/>
    </row>
    <row r="41" spans="1:12" ht="19" x14ac:dyDescent="0.25">
      <c r="A41" s="19" t="s">
        <v>47</v>
      </c>
      <c r="B41" t="s">
        <v>14386</v>
      </c>
      <c r="C41" t="s">
        <v>15060</v>
      </c>
      <c r="D41" s="1" t="s">
        <v>70</v>
      </c>
      <c r="E41" s="1" t="s">
        <v>25</v>
      </c>
      <c r="F41" s="1">
        <v>6</v>
      </c>
      <c r="G41" s="1">
        <v>6</v>
      </c>
      <c r="H41" s="1">
        <v>6</v>
      </c>
      <c r="I41" s="22" t="s">
        <v>70</v>
      </c>
      <c r="J41" s="1">
        <v>6</v>
      </c>
      <c r="L41"/>
    </row>
    <row r="42" spans="1:12" ht="19" x14ac:dyDescent="0.25">
      <c r="A42" s="19" t="s">
        <v>48</v>
      </c>
      <c r="B42" t="s">
        <v>13650</v>
      </c>
      <c r="C42" t="s">
        <v>15060</v>
      </c>
      <c r="D42" s="1" t="s">
        <v>70</v>
      </c>
      <c r="E42" s="1" t="s">
        <v>25</v>
      </c>
      <c r="F42" s="1">
        <v>6</v>
      </c>
      <c r="G42" s="1">
        <v>6</v>
      </c>
      <c r="H42" s="1">
        <v>5</v>
      </c>
      <c r="I42" s="22" t="s">
        <v>70</v>
      </c>
      <c r="J42" s="1">
        <v>5</v>
      </c>
      <c r="L42"/>
    </row>
    <row r="43" spans="1:12" ht="19" x14ac:dyDescent="0.25">
      <c r="A43" s="19" t="s">
        <v>49</v>
      </c>
      <c r="B43" t="s">
        <v>14509</v>
      </c>
      <c r="C43" t="s">
        <v>15060</v>
      </c>
      <c r="D43" s="1" t="s">
        <v>70</v>
      </c>
      <c r="E43" s="1" t="s">
        <v>70</v>
      </c>
      <c r="F43" s="1" t="s">
        <v>190</v>
      </c>
      <c r="G43" s="22" t="s">
        <v>190</v>
      </c>
      <c r="H43" s="1" t="s">
        <v>190</v>
      </c>
      <c r="I43" s="1" t="s">
        <v>190</v>
      </c>
      <c r="J43" s="1" t="s">
        <v>190</v>
      </c>
      <c r="L43"/>
    </row>
    <row r="44" spans="1:12" ht="19" x14ac:dyDescent="0.25">
      <c r="A44" s="19" t="s">
        <v>22</v>
      </c>
      <c r="B44" t="s">
        <v>14440</v>
      </c>
      <c r="C44" t="s">
        <v>15060</v>
      </c>
      <c r="D44" s="1" t="s">
        <v>25</v>
      </c>
      <c r="E44" s="1" t="s">
        <v>25</v>
      </c>
      <c r="F44" s="1">
        <v>6</v>
      </c>
      <c r="G44" s="1">
        <v>0</v>
      </c>
      <c r="H44" s="1">
        <v>6</v>
      </c>
      <c r="I44" s="22" t="s">
        <v>70</v>
      </c>
      <c r="J44" s="1">
        <v>0</v>
      </c>
      <c r="L44"/>
    </row>
    <row r="45" spans="1:12" ht="19" x14ac:dyDescent="0.25">
      <c r="A45" s="19" t="s">
        <v>64</v>
      </c>
      <c r="B45" t="s">
        <v>14309</v>
      </c>
      <c r="C45" t="s">
        <v>15060</v>
      </c>
      <c r="D45" s="1" t="s">
        <v>70</v>
      </c>
      <c r="E45" s="1" t="s">
        <v>70</v>
      </c>
      <c r="F45" s="1" t="s">
        <v>190</v>
      </c>
      <c r="G45" s="22" t="s">
        <v>190</v>
      </c>
      <c r="H45" s="1" t="s">
        <v>190</v>
      </c>
      <c r="I45" s="1" t="s">
        <v>190</v>
      </c>
      <c r="J45" s="1" t="s">
        <v>190</v>
      </c>
      <c r="L45"/>
    </row>
    <row r="46" spans="1:12" ht="19" x14ac:dyDescent="0.25">
      <c r="A46" s="19" t="s">
        <v>6</v>
      </c>
      <c r="B46" t="s">
        <v>13590</v>
      </c>
      <c r="C46" t="s">
        <v>15060</v>
      </c>
      <c r="D46" s="1" t="s">
        <v>25</v>
      </c>
      <c r="E46" s="1" t="s">
        <v>25</v>
      </c>
      <c r="F46" s="1">
        <v>6</v>
      </c>
      <c r="G46" s="1">
        <v>0</v>
      </c>
      <c r="H46" s="1">
        <v>3</v>
      </c>
      <c r="I46" s="22" t="s">
        <v>70</v>
      </c>
      <c r="J46" s="1">
        <v>0</v>
      </c>
      <c r="L46"/>
    </row>
    <row r="47" spans="1:12" ht="19" x14ac:dyDescent="0.25">
      <c r="A47" s="19" t="s">
        <v>17</v>
      </c>
      <c r="B47" t="s">
        <v>13796</v>
      </c>
      <c r="C47" t="s">
        <v>15060</v>
      </c>
      <c r="D47" s="1" t="s">
        <v>25</v>
      </c>
      <c r="E47" s="1" t="s">
        <v>25</v>
      </c>
      <c r="F47" s="1">
        <v>6</v>
      </c>
      <c r="G47" s="1">
        <v>0</v>
      </c>
      <c r="H47" s="1">
        <v>6</v>
      </c>
      <c r="I47" s="22" t="s">
        <v>70</v>
      </c>
      <c r="J47" s="1">
        <v>0</v>
      </c>
      <c r="L47"/>
    </row>
    <row r="48" spans="1:12" ht="19" x14ac:dyDescent="0.25">
      <c r="A48" s="19" t="s">
        <v>50</v>
      </c>
      <c r="B48" t="s">
        <v>14290</v>
      </c>
      <c r="C48" t="s">
        <v>15060</v>
      </c>
      <c r="D48" s="1" t="s">
        <v>70</v>
      </c>
      <c r="E48" s="1" t="s">
        <v>25</v>
      </c>
      <c r="F48" s="1">
        <v>6</v>
      </c>
      <c r="G48" s="1">
        <v>6</v>
      </c>
      <c r="H48" s="1">
        <v>3</v>
      </c>
      <c r="I48" s="22" t="s">
        <v>70</v>
      </c>
      <c r="J48" s="1">
        <v>3</v>
      </c>
      <c r="L48"/>
    </row>
    <row r="49" spans="1:12" ht="19" x14ac:dyDescent="0.25">
      <c r="A49" s="19" t="s">
        <v>23</v>
      </c>
      <c r="B49" t="s">
        <v>14302</v>
      </c>
      <c r="C49" t="s">
        <v>15060</v>
      </c>
      <c r="D49" s="1" t="s">
        <v>25</v>
      </c>
      <c r="E49" s="1" t="s">
        <v>25</v>
      </c>
      <c r="F49" s="1">
        <v>6</v>
      </c>
      <c r="G49" s="1">
        <v>0</v>
      </c>
      <c r="H49" s="1">
        <v>4</v>
      </c>
      <c r="I49" s="22" t="s">
        <v>70</v>
      </c>
      <c r="J49" s="1">
        <v>0</v>
      </c>
      <c r="L49"/>
    </row>
    <row r="50" spans="1:12" ht="19" x14ac:dyDescent="0.25">
      <c r="A50" s="19" t="s">
        <v>19</v>
      </c>
      <c r="B50" t="s">
        <v>13623</v>
      </c>
      <c r="C50" t="s">
        <v>15060</v>
      </c>
      <c r="D50" s="1" t="s">
        <v>25</v>
      </c>
      <c r="E50" s="1" t="s">
        <v>25</v>
      </c>
      <c r="F50" s="1">
        <v>5</v>
      </c>
      <c r="G50" s="1">
        <v>0</v>
      </c>
      <c r="H50" s="1">
        <v>6</v>
      </c>
      <c r="I50" s="22" t="s">
        <v>70</v>
      </c>
      <c r="J50" s="1">
        <v>0</v>
      </c>
      <c r="L50"/>
    </row>
    <row r="51" spans="1:12" ht="19" x14ac:dyDescent="0.25">
      <c r="A51" s="19" t="s">
        <v>7</v>
      </c>
      <c r="B51" t="s">
        <v>13439</v>
      </c>
      <c r="C51" t="s">
        <v>15060</v>
      </c>
      <c r="D51" s="1" t="s">
        <v>25</v>
      </c>
      <c r="E51" s="1" t="s">
        <v>25</v>
      </c>
      <c r="F51" s="1">
        <v>6</v>
      </c>
      <c r="G51" s="1">
        <v>0</v>
      </c>
      <c r="H51" s="1">
        <v>6</v>
      </c>
      <c r="I51" s="22" t="s">
        <v>70</v>
      </c>
      <c r="J51" s="1">
        <v>0</v>
      </c>
      <c r="L51"/>
    </row>
    <row r="52" spans="1:12" ht="19" x14ac:dyDescent="0.25">
      <c r="A52" s="19" t="s">
        <v>9</v>
      </c>
      <c r="B52" t="s">
        <v>13309</v>
      </c>
      <c r="C52" t="s">
        <v>15060</v>
      </c>
      <c r="D52" s="1" t="s">
        <v>25</v>
      </c>
      <c r="E52" s="1" t="s">
        <v>25</v>
      </c>
      <c r="F52" s="1">
        <v>6</v>
      </c>
      <c r="G52" s="1">
        <v>0</v>
      </c>
      <c r="H52" s="1">
        <v>4</v>
      </c>
      <c r="I52" s="22" t="s">
        <v>70</v>
      </c>
      <c r="J52" s="1">
        <v>0</v>
      </c>
      <c r="L52"/>
    </row>
    <row r="53" spans="1:12" ht="19" x14ac:dyDescent="0.25">
      <c r="A53" s="19" t="s">
        <v>18</v>
      </c>
      <c r="B53" t="s">
        <v>15081</v>
      </c>
      <c r="C53" t="s">
        <v>15060</v>
      </c>
      <c r="D53" s="1" t="s">
        <v>25</v>
      </c>
      <c r="E53" s="1" t="s">
        <v>25</v>
      </c>
      <c r="F53" s="1">
        <v>6</v>
      </c>
      <c r="G53" s="1">
        <v>0</v>
      </c>
      <c r="H53" s="1">
        <v>5</v>
      </c>
      <c r="I53" s="22" t="s">
        <v>70</v>
      </c>
      <c r="J53" s="1">
        <v>0</v>
      </c>
      <c r="L53"/>
    </row>
    <row r="54" spans="1:12" ht="19" x14ac:dyDescent="0.25">
      <c r="A54" s="19" t="s">
        <v>51</v>
      </c>
      <c r="B54" t="s">
        <v>13557</v>
      </c>
      <c r="C54" t="s">
        <v>15060</v>
      </c>
      <c r="D54" s="1" t="s">
        <v>70</v>
      </c>
      <c r="E54" s="1" t="s">
        <v>25</v>
      </c>
      <c r="F54" s="1">
        <v>6</v>
      </c>
      <c r="G54" s="1">
        <v>6</v>
      </c>
      <c r="H54" s="1">
        <v>6</v>
      </c>
      <c r="I54" s="1" t="s">
        <v>25</v>
      </c>
      <c r="J54" s="1">
        <v>7</v>
      </c>
      <c r="L54"/>
    </row>
    <row r="55" spans="1:12" ht="19" x14ac:dyDescent="0.25">
      <c r="A55" s="19" t="s">
        <v>65</v>
      </c>
      <c r="B55" t="s">
        <v>14000</v>
      </c>
      <c r="C55" t="s">
        <v>15060</v>
      </c>
      <c r="D55" s="1" t="s">
        <v>70</v>
      </c>
      <c r="E55" s="1" t="s">
        <v>70</v>
      </c>
      <c r="F55" s="1" t="s">
        <v>190</v>
      </c>
      <c r="G55" s="22" t="s">
        <v>190</v>
      </c>
      <c r="H55" s="1" t="s">
        <v>190</v>
      </c>
      <c r="I55" s="1" t="s">
        <v>190</v>
      </c>
      <c r="J55" s="1" t="s">
        <v>190</v>
      </c>
      <c r="L55"/>
    </row>
    <row r="56" spans="1:12" ht="19" x14ac:dyDescent="0.25">
      <c r="A56" s="19" t="s">
        <v>66</v>
      </c>
      <c r="B56" t="s">
        <v>13849</v>
      </c>
      <c r="C56" t="s">
        <v>15060</v>
      </c>
      <c r="D56" s="1" t="s">
        <v>70</v>
      </c>
      <c r="E56" s="1" t="s">
        <v>70</v>
      </c>
      <c r="F56" s="1" t="s">
        <v>190</v>
      </c>
      <c r="G56" s="22" t="s">
        <v>190</v>
      </c>
      <c r="H56" s="1" t="s">
        <v>190</v>
      </c>
      <c r="I56" s="1" t="s">
        <v>190</v>
      </c>
      <c r="J56" s="1" t="s">
        <v>190</v>
      </c>
      <c r="L56"/>
    </row>
    <row r="57" spans="1:12" ht="19" x14ac:dyDescent="0.25">
      <c r="A57" s="19" t="s">
        <v>53</v>
      </c>
      <c r="B57" t="s">
        <v>15080</v>
      </c>
      <c r="C57" t="s">
        <v>15060</v>
      </c>
      <c r="D57" s="1" t="s">
        <v>70</v>
      </c>
      <c r="E57" s="1" t="s">
        <v>70</v>
      </c>
      <c r="F57" s="1" t="s">
        <v>190</v>
      </c>
      <c r="G57" s="22" t="s">
        <v>190</v>
      </c>
      <c r="H57" s="1" t="s">
        <v>190</v>
      </c>
      <c r="I57" s="1" t="s">
        <v>190</v>
      </c>
      <c r="J57" s="1" t="s">
        <v>190</v>
      </c>
      <c r="L57"/>
    </row>
    <row r="58" spans="1:12" ht="19" x14ac:dyDescent="0.25">
      <c r="A58" s="19" t="s">
        <v>54</v>
      </c>
      <c r="B58" t="s">
        <v>13717</v>
      </c>
      <c r="C58" t="s">
        <v>15060</v>
      </c>
      <c r="D58" s="1" t="s">
        <v>70</v>
      </c>
      <c r="E58" s="1" t="s">
        <v>25</v>
      </c>
      <c r="F58" s="1">
        <v>6</v>
      </c>
      <c r="G58" s="1">
        <v>6</v>
      </c>
      <c r="H58" s="1">
        <v>5</v>
      </c>
      <c r="I58" s="1" t="s">
        <v>25</v>
      </c>
      <c r="J58" s="1">
        <v>6</v>
      </c>
      <c r="L58"/>
    </row>
    <row r="59" spans="1:12" ht="19" x14ac:dyDescent="0.25">
      <c r="A59" s="19" t="s">
        <v>12</v>
      </c>
      <c r="B59" t="s">
        <v>190</v>
      </c>
      <c r="C59" t="s">
        <v>15060</v>
      </c>
      <c r="D59" s="1" t="s">
        <v>25</v>
      </c>
      <c r="E59" s="1" t="s">
        <v>25</v>
      </c>
      <c r="F59" s="1">
        <v>6</v>
      </c>
      <c r="G59" s="1">
        <v>0</v>
      </c>
      <c r="H59" s="1">
        <v>2</v>
      </c>
      <c r="I59" s="22" t="s">
        <v>70</v>
      </c>
      <c r="J59" s="1">
        <v>0</v>
      </c>
      <c r="L59"/>
    </row>
    <row r="60" spans="1:12" ht="19" x14ac:dyDescent="0.25">
      <c r="A60" s="19" t="s">
        <v>1</v>
      </c>
      <c r="B60" t="s">
        <v>14360</v>
      </c>
      <c r="C60" t="s">
        <v>15060</v>
      </c>
      <c r="D60" s="1" t="s">
        <v>25</v>
      </c>
      <c r="E60" s="1" t="s">
        <v>25</v>
      </c>
      <c r="F60" s="1">
        <v>6</v>
      </c>
      <c r="G60" s="1">
        <v>0</v>
      </c>
      <c r="H60" s="1">
        <v>6</v>
      </c>
      <c r="I60" s="22" t="s">
        <v>70</v>
      </c>
      <c r="J60" s="1">
        <v>0</v>
      </c>
      <c r="L60"/>
    </row>
    <row r="61" spans="1:12" ht="19" x14ac:dyDescent="0.25">
      <c r="A61" s="19" t="s">
        <v>55</v>
      </c>
      <c r="B61" t="s">
        <v>13553</v>
      </c>
      <c r="C61" t="s">
        <v>15060</v>
      </c>
      <c r="D61" s="1" t="s">
        <v>70</v>
      </c>
      <c r="E61" s="1" t="s">
        <v>25</v>
      </c>
      <c r="F61" s="1">
        <v>6</v>
      </c>
      <c r="G61" s="1">
        <v>6</v>
      </c>
      <c r="H61" s="1">
        <v>6</v>
      </c>
      <c r="I61" s="1" t="s">
        <v>25</v>
      </c>
      <c r="J61" s="1">
        <v>7</v>
      </c>
      <c r="L61"/>
    </row>
    <row r="62" spans="1:12" ht="19" x14ac:dyDescent="0.25">
      <c r="A62" s="19" t="s">
        <v>15</v>
      </c>
      <c r="B62" t="s">
        <v>13998</v>
      </c>
      <c r="C62" s="18" t="s">
        <v>15060</v>
      </c>
      <c r="D62" s="1" t="s">
        <v>25</v>
      </c>
      <c r="E62" s="1" t="s">
        <v>25</v>
      </c>
      <c r="F62" s="1">
        <v>6</v>
      </c>
      <c r="G62" s="1">
        <v>0</v>
      </c>
      <c r="H62" s="1">
        <v>6</v>
      </c>
      <c r="I62" s="22" t="s">
        <v>70</v>
      </c>
      <c r="J62" s="1">
        <v>0</v>
      </c>
      <c r="L62"/>
    </row>
    <row r="63" spans="1:12" ht="19" x14ac:dyDescent="0.25">
      <c r="A63" s="19" t="s">
        <v>56</v>
      </c>
      <c r="B63" t="s">
        <v>13433</v>
      </c>
      <c r="C63" s="18" t="s">
        <v>15060</v>
      </c>
      <c r="D63" s="1" t="s">
        <v>70</v>
      </c>
      <c r="E63" s="1" t="s">
        <v>25</v>
      </c>
      <c r="F63" s="1">
        <v>6</v>
      </c>
      <c r="G63" s="1">
        <v>6</v>
      </c>
      <c r="H63" s="1">
        <v>6</v>
      </c>
      <c r="I63" s="22" t="s">
        <v>70</v>
      </c>
      <c r="J63" s="1">
        <v>6</v>
      </c>
      <c r="L63"/>
    </row>
    <row r="64" spans="1:12" ht="19" x14ac:dyDescent="0.25">
      <c r="A64" s="19" t="s">
        <v>57</v>
      </c>
      <c r="B64" t="s">
        <v>14551</v>
      </c>
      <c r="C64" s="18" t="s">
        <v>15060</v>
      </c>
      <c r="D64" s="1" t="s">
        <v>70</v>
      </c>
      <c r="E64" s="1" t="s">
        <v>25</v>
      </c>
      <c r="F64" s="1">
        <v>6</v>
      </c>
      <c r="G64" s="1">
        <v>6</v>
      </c>
      <c r="H64" s="1">
        <v>6</v>
      </c>
      <c r="I64" s="22" t="s">
        <v>70</v>
      </c>
      <c r="J64" s="1">
        <v>6</v>
      </c>
      <c r="L64"/>
    </row>
    <row r="65" spans="1:12" ht="19" x14ac:dyDescent="0.25">
      <c r="A65" s="19" t="s">
        <v>58</v>
      </c>
      <c r="B65" t="s">
        <v>14447</v>
      </c>
      <c r="C65" s="18" t="s">
        <v>15060</v>
      </c>
      <c r="D65" s="1" t="s">
        <v>70</v>
      </c>
      <c r="E65" s="1" t="s">
        <v>70</v>
      </c>
      <c r="F65" s="1" t="s">
        <v>190</v>
      </c>
      <c r="G65" s="22" t="s">
        <v>190</v>
      </c>
      <c r="H65" s="1" t="s">
        <v>190</v>
      </c>
      <c r="I65" s="1" t="s">
        <v>190</v>
      </c>
      <c r="J65" s="1" t="s">
        <v>190</v>
      </c>
      <c r="L65"/>
    </row>
    <row r="66" spans="1:12" ht="19" x14ac:dyDescent="0.25">
      <c r="A66" s="19" t="s">
        <v>59</v>
      </c>
      <c r="B66" t="s">
        <v>190</v>
      </c>
      <c r="C66" s="18" t="s">
        <v>15060</v>
      </c>
      <c r="D66" s="1" t="s">
        <v>70</v>
      </c>
      <c r="E66" s="1" t="s">
        <v>70</v>
      </c>
      <c r="F66" s="1" t="s">
        <v>190</v>
      </c>
      <c r="G66" s="22" t="s">
        <v>190</v>
      </c>
      <c r="H66" s="1" t="s">
        <v>190</v>
      </c>
      <c r="I66" s="1" t="s">
        <v>190</v>
      </c>
      <c r="J66" s="1" t="s">
        <v>190</v>
      </c>
      <c r="L66"/>
    </row>
    <row r="67" spans="1:12" ht="19" x14ac:dyDescent="0.25">
      <c r="A67" s="19" t="s">
        <v>60</v>
      </c>
      <c r="B67" t="s">
        <v>190</v>
      </c>
      <c r="C67" s="18" t="s">
        <v>15060</v>
      </c>
      <c r="D67" s="1" t="s">
        <v>70</v>
      </c>
      <c r="E67" s="1" t="s">
        <v>70</v>
      </c>
      <c r="F67" s="1" t="s">
        <v>190</v>
      </c>
      <c r="G67" s="22" t="s">
        <v>190</v>
      </c>
      <c r="H67" s="1" t="s">
        <v>190</v>
      </c>
      <c r="I67" s="1" t="s">
        <v>190</v>
      </c>
      <c r="J67" s="1" t="s">
        <v>190</v>
      </c>
      <c r="L67"/>
    </row>
    <row r="68" spans="1:12" ht="19" x14ac:dyDescent="0.25">
      <c r="A68" s="19" t="s">
        <v>62</v>
      </c>
      <c r="B68" t="s">
        <v>14460</v>
      </c>
      <c r="C68" s="18" t="s">
        <v>15060</v>
      </c>
      <c r="D68" s="1" t="s">
        <v>70</v>
      </c>
      <c r="E68" s="1" t="s">
        <v>70</v>
      </c>
      <c r="F68" s="1" t="s">
        <v>190</v>
      </c>
      <c r="G68" s="22" t="s">
        <v>190</v>
      </c>
      <c r="H68" s="1" t="s">
        <v>190</v>
      </c>
      <c r="I68" s="1" t="s">
        <v>190</v>
      </c>
      <c r="J68" s="1" t="s">
        <v>190</v>
      </c>
      <c r="L68"/>
    </row>
    <row r="69" spans="1:12" ht="19" x14ac:dyDescent="0.25">
      <c r="A69" s="19" t="s">
        <v>21</v>
      </c>
      <c r="B69" t="s">
        <v>15093</v>
      </c>
      <c r="C69" t="s">
        <v>15061</v>
      </c>
      <c r="D69" s="1" t="s">
        <v>25</v>
      </c>
      <c r="E69" s="1" t="s">
        <v>25</v>
      </c>
      <c r="F69" s="1">
        <v>6</v>
      </c>
      <c r="G69" s="1">
        <v>0</v>
      </c>
      <c r="H69" s="1">
        <v>6</v>
      </c>
      <c r="I69" s="1" t="s">
        <v>70</v>
      </c>
      <c r="J69" s="1">
        <v>0</v>
      </c>
      <c r="L69"/>
    </row>
    <row r="70" spans="1:12" ht="19" x14ac:dyDescent="0.25">
      <c r="A70" s="19" t="s">
        <v>14824</v>
      </c>
      <c r="B70" t="s">
        <v>15078</v>
      </c>
      <c r="C70" t="s">
        <v>15065</v>
      </c>
      <c r="D70" s="1" t="s">
        <v>70</v>
      </c>
      <c r="E70" s="1" t="s">
        <v>70</v>
      </c>
      <c r="F70" s="1" t="s">
        <v>190</v>
      </c>
      <c r="G70" s="22" t="s">
        <v>190</v>
      </c>
      <c r="H70" s="1" t="s">
        <v>190</v>
      </c>
      <c r="I70" s="1" t="s">
        <v>190</v>
      </c>
      <c r="J70" s="1" t="s">
        <v>190</v>
      </c>
      <c r="L70"/>
    </row>
    <row r="71" spans="1:12" ht="19" x14ac:dyDescent="0.25">
      <c r="A71" s="19" t="s">
        <v>14826</v>
      </c>
      <c r="B71" t="s">
        <v>15087</v>
      </c>
      <c r="C71" t="s">
        <v>15065</v>
      </c>
      <c r="D71" s="1" t="s">
        <v>70</v>
      </c>
      <c r="E71" s="1" t="s">
        <v>70</v>
      </c>
      <c r="F71" s="1" t="s">
        <v>190</v>
      </c>
      <c r="G71" s="22" t="s">
        <v>190</v>
      </c>
      <c r="H71" s="1" t="s">
        <v>190</v>
      </c>
      <c r="I71" s="1" t="s">
        <v>190</v>
      </c>
      <c r="J71" s="1" t="s">
        <v>190</v>
      </c>
      <c r="L71"/>
    </row>
    <row r="72" spans="1:12" ht="19" x14ac:dyDescent="0.25">
      <c r="A72" s="19" t="s">
        <v>14828</v>
      </c>
      <c r="B72" t="s">
        <v>15077</v>
      </c>
      <c r="C72" t="s">
        <v>15065</v>
      </c>
      <c r="D72" s="1" t="s">
        <v>70</v>
      </c>
      <c r="E72" s="1" t="s">
        <v>70</v>
      </c>
      <c r="F72" s="1" t="s">
        <v>190</v>
      </c>
      <c r="G72" s="22" t="s">
        <v>190</v>
      </c>
      <c r="H72" s="1" t="s">
        <v>190</v>
      </c>
      <c r="I72" s="1" t="s">
        <v>190</v>
      </c>
      <c r="J72" s="1" t="s">
        <v>190</v>
      </c>
      <c r="L72"/>
    </row>
    <row r="73" spans="1:12" ht="19" x14ac:dyDescent="0.25">
      <c r="A73" s="19" t="s">
        <v>14829</v>
      </c>
      <c r="B73" t="s">
        <v>15097</v>
      </c>
      <c r="C73" t="s">
        <v>15065</v>
      </c>
      <c r="D73" s="1" t="s">
        <v>70</v>
      </c>
      <c r="E73" s="1" t="s">
        <v>70</v>
      </c>
      <c r="F73" s="1" t="s">
        <v>190</v>
      </c>
      <c r="G73" s="22" t="s">
        <v>190</v>
      </c>
      <c r="H73" s="1" t="s">
        <v>190</v>
      </c>
      <c r="I73" s="1" t="s">
        <v>190</v>
      </c>
      <c r="J73" s="1" t="s">
        <v>190</v>
      </c>
      <c r="L73"/>
    </row>
    <row r="74" spans="1:12" ht="19" x14ac:dyDescent="0.25">
      <c r="A74" s="19" t="s">
        <v>14844</v>
      </c>
      <c r="B74" t="s">
        <v>15086</v>
      </c>
      <c r="C74" t="s">
        <v>15065</v>
      </c>
      <c r="D74" s="1" t="s">
        <v>70</v>
      </c>
      <c r="E74" s="1" t="s">
        <v>70</v>
      </c>
      <c r="F74" s="1" t="s">
        <v>190</v>
      </c>
      <c r="G74" s="22" t="s">
        <v>190</v>
      </c>
      <c r="H74" s="1" t="s">
        <v>190</v>
      </c>
      <c r="I74" s="1" t="s">
        <v>190</v>
      </c>
      <c r="J74" s="1" t="s">
        <v>190</v>
      </c>
      <c r="L74"/>
    </row>
    <row r="75" spans="1:12" ht="19" x14ac:dyDescent="0.25">
      <c r="A75" s="19" t="s">
        <v>14845</v>
      </c>
      <c r="B75" t="s">
        <v>15085</v>
      </c>
      <c r="C75" t="s">
        <v>15065</v>
      </c>
      <c r="D75" s="1" t="s">
        <v>70</v>
      </c>
      <c r="E75" s="1" t="s">
        <v>70</v>
      </c>
      <c r="F75" s="1" t="s">
        <v>190</v>
      </c>
      <c r="G75" s="22" t="s">
        <v>190</v>
      </c>
      <c r="H75" s="1" t="s">
        <v>190</v>
      </c>
      <c r="I75" s="1" t="s">
        <v>190</v>
      </c>
      <c r="J75" s="1" t="s">
        <v>190</v>
      </c>
      <c r="L75"/>
    </row>
    <row r="76" spans="1:12" ht="19" x14ac:dyDescent="0.25">
      <c r="A76" s="19" t="s">
        <v>14849</v>
      </c>
      <c r="B76" t="s">
        <v>15082</v>
      </c>
      <c r="C76" t="s">
        <v>15065</v>
      </c>
      <c r="D76" s="1" t="s">
        <v>70</v>
      </c>
      <c r="E76" s="1" t="s">
        <v>70</v>
      </c>
      <c r="F76" s="1" t="s">
        <v>190</v>
      </c>
      <c r="G76" s="22" t="s">
        <v>190</v>
      </c>
      <c r="H76" s="1" t="s">
        <v>190</v>
      </c>
      <c r="I76" s="1" t="s">
        <v>190</v>
      </c>
      <c r="J76" s="1" t="s">
        <v>190</v>
      </c>
      <c r="L76"/>
    </row>
    <row r="77" spans="1:12" ht="19" x14ac:dyDescent="0.25">
      <c r="A77" s="19" t="s">
        <v>14859</v>
      </c>
      <c r="B77" t="s">
        <v>15088</v>
      </c>
      <c r="C77" t="s">
        <v>15065</v>
      </c>
      <c r="D77" s="1" t="s">
        <v>70</v>
      </c>
      <c r="E77" s="1" t="s">
        <v>70</v>
      </c>
      <c r="F77" s="1" t="s">
        <v>190</v>
      </c>
      <c r="G77" s="22" t="s">
        <v>190</v>
      </c>
      <c r="H77" s="1" t="s">
        <v>190</v>
      </c>
      <c r="I77" s="1" t="s">
        <v>190</v>
      </c>
      <c r="J77" s="1" t="s">
        <v>190</v>
      </c>
      <c r="L77"/>
    </row>
    <row r="78" spans="1:12" ht="19" x14ac:dyDescent="0.25">
      <c r="A78" s="19" t="s">
        <v>14871</v>
      </c>
      <c r="B78" t="s">
        <v>15075</v>
      </c>
      <c r="C78" t="s">
        <v>15065</v>
      </c>
      <c r="D78" s="1" t="s">
        <v>70</v>
      </c>
      <c r="E78" s="1" t="s">
        <v>70</v>
      </c>
      <c r="F78" s="1" t="s">
        <v>190</v>
      </c>
      <c r="G78" s="22" t="s">
        <v>190</v>
      </c>
      <c r="H78" s="1" t="s">
        <v>190</v>
      </c>
      <c r="I78" s="1" t="s">
        <v>190</v>
      </c>
      <c r="J78" s="1" t="s">
        <v>190</v>
      </c>
      <c r="L78"/>
    </row>
    <row r="79" spans="1:12" ht="19" x14ac:dyDescent="0.25">
      <c r="A79" s="19" t="s">
        <v>14873</v>
      </c>
      <c r="B79" t="s">
        <v>15099</v>
      </c>
      <c r="C79" t="s">
        <v>15065</v>
      </c>
      <c r="D79" s="1" t="s">
        <v>70</v>
      </c>
      <c r="E79" s="1" t="s">
        <v>70</v>
      </c>
      <c r="F79" s="1" t="s">
        <v>190</v>
      </c>
      <c r="G79" s="22" t="s">
        <v>190</v>
      </c>
      <c r="H79" s="1" t="s">
        <v>190</v>
      </c>
      <c r="I79" s="1" t="s">
        <v>190</v>
      </c>
      <c r="J79" s="1" t="s">
        <v>190</v>
      </c>
      <c r="L79"/>
    </row>
    <row r="80" spans="1:12" ht="19" x14ac:dyDescent="0.25">
      <c r="A80" s="19" t="s">
        <v>14875</v>
      </c>
      <c r="B80" t="s">
        <v>15084</v>
      </c>
      <c r="C80" t="s">
        <v>15065</v>
      </c>
      <c r="D80" s="1" t="s">
        <v>70</v>
      </c>
      <c r="E80" s="1" t="s">
        <v>70</v>
      </c>
      <c r="F80" s="1" t="s">
        <v>190</v>
      </c>
      <c r="G80" s="22" t="s">
        <v>190</v>
      </c>
      <c r="H80" s="1" t="s">
        <v>190</v>
      </c>
      <c r="I80" s="1" t="s">
        <v>190</v>
      </c>
      <c r="J80" s="1" t="s">
        <v>190</v>
      </c>
      <c r="L80"/>
    </row>
    <row r="81" spans="1:12" ht="19" x14ac:dyDescent="0.25">
      <c r="A81" s="19" t="s">
        <v>14877</v>
      </c>
      <c r="B81" t="s">
        <v>15074</v>
      </c>
      <c r="C81" t="s">
        <v>15065</v>
      </c>
      <c r="D81" s="1" t="s">
        <v>70</v>
      </c>
      <c r="E81" s="1" t="s">
        <v>70</v>
      </c>
      <c r="F81" s="1" t="s">
        <v>190</v>
      </c>
      <c r="G81" s="22" t="s">
        <v>190</v>
      </c>
      <c r="H81" s="1" t="s">
        <v>190</v>
      </c>
      <c r="I81" s="1" t="s">
        <v>190</v>
      </c>
      <c r="J81" s="1" t="s">
        <v>190</v>
      </c>
      <c r="L81"/>
    </row>
    <row r="82" spans="1:12" ht="19" x14ac:dyDescent="0.25">
      <c r="A82" s="19" t="s">
        <v>14884</v>
      </c>
      <c r="B82" t="s">
        <v>15083</v>
      </c>
      <c r="C82" t="s">
        <v>15065</v>
      </c>
      <c r="D82" s="1" t="s">
        <v>70</v>
      </c>
      <c r="E82" s="1" t="s">
        <v>70</v>
      </c>
      <c r="F82" s="1" t="s">
        <v>190</v>
      </c>
      <c r="G82" s="22" t="s">
        <v>190</v>
      </c>
      <c r="H82" s="1" t="s">
        <v>190</v>
      </c>
      <c r="I82" s="1" t="s">
        <v>190</v>
      </c>
      <c r="J82" s="1" t="s">
        <v>190</v>
      </c>
      <c r="L82"/>
    </row>
    <row r="83" spans="1:12" ht="19" x14ac:dyDescent="0.25">
      <c r="A83" s="19" t="s">
        <v>14887</v>
      </c>
      <c r="B83" t="s">
        <v>15098</v>
      </c>
      <c r="C83" t="s">
        <v>15065</v>
      </c>
      <c r="D83" s="1" t="s">
        <v>70</v>
      </c>
      <c r="E83" s="1" t="s">
        <v>70</v>
      </c>
      <c r="F83" s="1" t="s">
        <v>190</v>
      </c>
      <c r="G83" s="22" t="s">
        <v>190</v>
      </c>
      <c r="H83" s="1" t="s">
        <v>190</v>
      </c>
      <c r="I83" s="1" t="s">
        <v>190</v>
      </c>
      <c r="J83" s="1" t="s">
        <v>190</v>
      </c>
      <c r="L83"/>
    </row>
    <row r="84" spans="1:12" ht="19" x14ac:dyDescent="0.25">
      <c r="A84" s="19" t="s">
        <v>14900</v>
      </c>
      <c r="B84" t="s">
        <v>15079</v>
      </c>
      <c r="C84" t="s">
        <v>15065</v>
      </c>
      <c r="D84" s="1" t="s">
        <v>70</v>
      </c>
      <c r="E84" s="1" t="s">
        <v>70</v>
      </c>
      <c r="F84" s="1" t="s">
        <v>190</v>
      </c>
      <c r="G84" s="22" t="s">
        <v>190</v>
      </c>
      <c r="H84" s="1" t="s">
        <v>190</v>
      </c>
      <c r="I84" s="1" t="s">
        <v>190</v>
      </c>
      <c r="J84" s="1" t="s">
        <v>190</v>
      </c>
      <c r="L84"/>
    </row>
    <row r="85" spans="1:12" ht="19" x14ac:dyDescent="0.25">
      <c r="A85" s="19" t="s">
        <v>52</v>
      </c>
      <c r="B85" t="s">
        <v>14947</v>
      </c>
      <c r="C85" t="s">
        <v>15061</v>
      </c>
      <c r="D85" s="1" t="s">
        <v>70</v>
      </c>
      <c r="E85" s="1" t="s">
        <v>70</v>
      </c>
      <c r="F85" s="1" t="s">
        <v>190</v>
      </c>
      <c r="G85" s="22" t="s">
        <v>190</v>
      </c>
      <c r="H85" s="1" t="s">
        <v>190</v>
      </c>
      <c r="I85" s="1" t="s">
        <v>190</v>
      </c>
      <c r="J85" s="1" t="s">
        <v>190</v>
      </c>
      <c r="L85"/>
    </row>
    <row r="86" spans="1:12" ht="19" x14ac:dyDescent="0.25">
      <c r="A86" s="19" t="s">
        <v>14909</v>
      </c>
      <c r="B86" t="s">
        <v>15089</v>
      </c>
      <c r="C86" t="s">
        <v>15065</v>
      </c>
      <c r="D86" s="1" t="s">
        <v>70</v>
      </c>
      <c r="E86" s="1" t="s">
        <v>70</v>
      </c>
      <c r="F86" s="1" t="s">
        <v>190</v>
      </c>
      <c r="G86" s="22" t="s">
        <v>190</v>
      </c>
      <c r="H86" s="1" t="s">
        <v>190</v>
      </c>
      <c r="I86" s="1" t="s">
        <v>190</v>
      </c>
      <c r="J86" s="1" t="s">
        <v>190</v>
      </c>
      <c r="L86"/>
    </row>
    <row r="87" spans="1:12" ht="19" x14ac:dyDescent="0.25">
      <c r="A87" s="19" t="s">
        <v>14911</v>
      </c>
      <c r="B87" t="s">
        <v>15092</v>
      </c>
      <c r="C87" t="s">
        <v>15065</v>
      </c>
      <c r="D87" s="1" t="s">
        <v>70</v>
      </c>
      <c r="E87" s="1" t="s">
        <v>70</v>
      </c>
      <c r="F87" s="1" t="s">
        <v>190</v>
      </c>
      <c r="G87" s="22" t="s">
        <v>190</v>
      </c>
      <c r="H87" s="1" t="s">
        <v>190</v>
      </c>
      <c r="I87" s="1" t="s">
        <v>190</v>
      </c>
      <c r="J87" s="1" t="s">
        <v>190</v>
      </c>
      <c r="L87"/>
    </row>
    <row r="88" spans="1:12" ht="19" x14ac:dyDescent="0.25">
      <c r="A88" s="19" t="s">
        <v>14912</v>
      </c>
      <c r="B88" t="s">
        <v>15091</v>
      </c>
      <c r="C88" t="s">
        <v>15065</v>
      </c>
      <c r="D88" s="1" t="s">
        <v>70</v>
      </c>
      <c r="E88" s="1" t="s">
        <v>70</v>
      </c>
      <c r="F88" s="1" t="s">
        <v>190</v>
      </c>
      <c r="G88" s="22" t="s">
        <v>190</v>
      </c>
      <c r="H88" s="1" t="s">
        <v>190</v>
      </c>
      <c r="I88" s="1" t="s">
        <v>190</v>
      </c>
      <c r="J88" s="1" t="s">
        <v>190</v>
      </c>
      <c r="L88"/>
    </row>
    <row r="89" spans="1:12" ht="19" x14ac:dyDescent="0.25">
      <c r="A89" s="19" t="s">
        <v>14916</v>
      </c>
      <c r="B89" t="s">
        <v>15094</v>
      </c>
      <c r="C89" t="s">
        <v>15065</v>
      </c>
      <c r="D89" s="1" t="s">
        <v>70</v>
      </c>
      <c r="E89" s="1" t="s">
        <v>70</v>
      </c>
      <c r="F89" s="1" t="s">
        <v>190</v>
      </c>
      <c r="G89" s="22" t="s">
        <v>190</v>
      </c>
      <c r="H89" s="1" t="s">
        <v>190</v>
      </c>
      <c r="I89" s="1" t="s">
        <v>190</v>
      </c>
      <c r="J89" s="1" t="s">
        <v>190</v>
      </c>
      <c r="L89"/>
    </row>
    <row r="90" spans="1:12" ht="19" x14ac:dyDescent="0.25">
      <c r="A90" s="19" t="s">
        <v>14917</v>
      </c>
      <c r="B90" t="s">
        <v>15096</v>
      </c>
      <c r="C90" t="s">
        <v>15065</v>
      </c>
      <c r="D90" s="1" t="s">
        <v>70</v>
      </c>
      <c r="E90" s="1" t="s">
        <v>70</v>
      </c>
      <c r="F90" s="1" t="s">
        <v>190</v>
      </c>
      <c r="G90" s="22" t="s">
        <v>190</v>
      </c>
      <c r="H90" s="1" t="s">
        <v>190</v>
      </c>
      <c r="I90" s="1" t="s">
        <v>190</v>
      </c>
      <c r="J90" s="1" t="s">
        <v>190</v>
      </c>
      <c r="L90"/>
    </row>
    <row r="91" spans="1:12" ht="19" x14ac:dyDescent="0.25">
      <c r="A91" s="19" t="s">
        <v>14918</v>
      </c>
      <c r="B91" t="s">
        <v>15095</v>
      </c>
      <c r="C91" t="s">
        <v>15065</v>
      </c>
      <c r="D91" s="1" t="s">
        <v>70</v>
      </c>
      <c r="E91" s="1" t="s">
        <v>70</v>
      </c>
      <c r="F91" s="1" t="s">
        <v>190</v>
      </c>
      <c r="G91" s="22" t="s">
        <v>190</v>
      </c>
      <c r="H91" s="1" t="s">
        <v>190</v>
      </c>
      <c r="I91" s="1" t="s">
        <v>190</v>
      </c>
      <c r="J91" s="1" t="s">
        <v>190</v>
      </c>
      <c r="L91"/>
    </row>
    <row r="92" spans="1:12" ht="19" x14ac:dyDescent="0.25">
      <c r="A92" s="19" t="s">
        <v>14920</v>
      </c>
      <c r="B92" t="s">
        <v>15073</v>
      </c>
      <c r="C92" t="s">
        <v>15065</v>
      </c>
      <c r="D92" s="1" t="s">
        <v>70</v>
      </c>
      <c r="E92" s="1" t="s">
        <v>70</v>
      </c>
      <c r="F92" s="1" t="s">
        <v>190</v>
      </c>
      <c r="G92" s="22" t="s">
        <v>190</v>
      </c>
      <c r="H92" s="1" t="s">
        <v>190</v>
      </c>
      <c r="I92" s="1" t="s">
        <v>190</v>
      </c>
      <c r="J92" s="1" t="s">
        <v>190</v>
      </c>
      <c r="L92"/>
    </row>
    <row r="93" spans="1:12" ht="19" x14ac:dyDescent="0.25">
      <c r="A93" s="19" t="s">
        <v>14921</v>
      </c>
      <c r="B93" t="s">
        <v>15090</v>
      </c>
      <c r="C93" t="s">
        <v>15065</v>
      </c>
      <c r="D93" s="1" t="s">
        <v>70</v>
      </c>
      <c r="E93" s="1" t="s">
        <v>70</v>
      </c>
      <c r="F93" s="1" t="s">
        <v>190</v>
      </c>
      <c r="G93" s="22" t="s">
        <v>190</v>
      </c>
      <c r="H93" s="1" t="s">
        <v>190</v>
      </c>
      <c r="I93" s="1" t="s">
        <v>190</v>
      </c>
      <c r="J93" s="1" t="s">
        <v>190</v>
      </c>
      <c r="L93"/>
    </row>
    <row r="94" spans="1:12" ht="19" x14ac:dyDescent="0.25">
      <c r="A94" s="19" t="s">
        <v>61</v>
      </c>
      <c r="B94" t="s">
        <v>15076</v>
      </c>
      <c r="C94" t="s">
        <v>15061</v>
      </c>
      <c r="D94" s="1" t="s">
        <v>70</v>
      </c>
      <c r="E94" s="1" t="s">
        <v>70</v>
      </c>
      <c r="F94" s="1" t="s">
        <v>190</v>
      </c>
      <c r="G94" s="22" t="s">
        <v>190</v>
      </c>
      <c r="H94" s="1" t="s">
        <v>190</v>
      </c>
      <c r="I94" s="1" t="s">
        <v>190</v>
      </c>
      <c r="J94" s="1" t="s">
        <v>190</v>
      </c>
      <c r="L94"/>
    </row>
    <row r="95" spans="1:12" ht="19" x14ac:dyDescent="0.25">
      <c r="A95" s="19" t="s">
        <v>40</v>
      </c>
      <c r="B95" t="s">
        <v>14343</v>
      </c>
      <c r="C95" t="s">
        <v>15060</v>
      </c>
      <c r="D95" s="1" t="s">
        <v>70</v>
      </c>
      <c r="E95" s="1" t="s">
        <v>25</v>
      </c>
      <c r="F95" s="1">
        <v>6</v>
      </c>
      <c r="G95" s="1">
        <v>6</v>
      </c>
      <c r="H95" s="1">
        <v>4</v>
      </c>
      <c r="I95" s="1" t="s">
        <v>25</v>
      </c>
      <c r="J95" s="1">
        <v>5</v>
      </c>
      <c r="L95"/>
    </row>
  </sheetData>
  <autoFilter ref="A6:C95" xr:uid="{E9A2C9A3-CBAE-D54B-9859-C56133095CE0}"/>
  <mergeCells count="1">
    <mergeCell ref="A3:R3"/>
  </mergeCells>
  <conditionalFormatting sqref="F7:G95">
    <cfRule type="containsBlanks" dxfId="2" priority="4">
      <formula>LEN(TRIM(F7))=0</formula>
    </cfRule>
  </conditionalFormatting>
  <conditionalFormatting sqref="H6:H95">
    <cfRule type="containsBlanks" dxfId="1" priority="3">
      <formula>LEN(TRIM(H6))=0</formula>
    </cfRule>
  </conditionalFormatting>
  <conditionalFormatting sqref="J8:J95">
    <cfRule type="containsBlanks" dxfId="0" priority="1">
      <formula>LEN(TRIM(J8))=0</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Contents</vt:lpstr>
      <vt:lpstr>Table S1</vt:lpstr>
      <vt:lpstr>Table S2</vt:lpstr>
      <vt:lpstr>Table S3</vt:lpstr>
      <vt:lpstr>Table S4</vt:lpstr>
      <vt:lpstr>Table S5</vt:lpstr>
      <vt:lpstr>Table S6</vt:lpstr>
      <vt:lpstr>Table S7</vt:lpstr>
      <vt:lpstr>Table S8</vt:lpstr>
      <vt:lpstr>Table S9</vt:lpstr>
      <vt:lpstr>Table S10</vt:lpstr>
      <vt:lpstr>'Table S9'!cut_before_after_stop_identity.table</vt:lpstr>
      <vt:lpstr>'Table S9'!stop_codon_filtering.table_1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Peers (EI)</dc:creator>
  <cp:lastModifiedBy>Jessica Peers (EI)</cp:lastModifiedBy>
  <dcterms:created xsi:type="dcterms:W3CDTF">2024-02-05T15:34:24Z</dcterms:created>
  <dcterms:modified xsi:type="dcterms:W3CDTF">2025-11-11T16:36:28Z</dcterms:modified>
</cp:coreProperties>
</file>